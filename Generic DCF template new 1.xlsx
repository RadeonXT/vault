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xl/comments4.xml" ContentType="application/vnd.openxmlformats-officedocument.spreadsheetml.comments+xml"/>
  <Override PartName="/xl/charts/chart2.xml" ContentType="application/vnd.openxmlformats-officedocument.drawingml.chart+xml"/>
  <Override PartName="/xl/drawings/drawing4.xml" ContentType="application/vnd.openxmlformats-officedocument.drawingml.chartshape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codeName="ThisWorkbook" defaultThemeVersion="124226"/>
  <xr:revisionPtr revIDLastSave="233" documentId="8_{52C69866-CE3D-492B-BAC4-B23FB1D76554}" xr6:coauthVersionLast="47" xr6:coauthVersionMax="47" xr10:uidLastSave="{E44678EB-0D92-497F-B048-465640726075}"/>
  <bookViews>
    <workbookView xWindow="-120" yWindow="-120" windowWidth="29040" windowHeight="15720" tabRatio="930" activeTab="5" xr2:uid="{00000000-000D-0000-FFFF-FFFF00000000}"/>
  </bookViews>
  <sheets>
    <sheet name="instructions" sheetId="25" r:id="rId1"/>
    <sheet name="summary" sheetId="21" r:id="rId2"/>
    <sheet name="NPV PT" sheetId="20" r:id="rId3"/>
    <sheet name="NPV NTE" sheetId="19" r:id="rId4"/>
    <sheet name="Chart1 CashFlow" sheetId="1" r:id="rId5"/>
    <sheet name="Chart2 Tornado" sheetId="8" r:id="rId6"/>
    <sheet name="BB inflation" sheetId="22" state="hidden" r:id="rId7"/>
    <sheet name="BB FX" sheetId="23" state="hidden" r:id="rId8"/>
    <sheet name="countries" sheetId="26" state="hidden" r:id="rId9"/>
    <sheet name="tax rates" sheetId="24" state="hidden" r:id="rId10"/>
    <sheet name="Capex&amp;Depr" sheetId="27" r:id="rId11"/>
    <sheet name="Capex Estimate" sheetId="35" r:id="rId12"/>
    <sheet name="Working - MY OU 5% Imrpovement" sheetId="34" r:id="rId13"/>
    <sheet name="List for asset Useful lives" sheetId="28" r:id="rId14"/>
    <sheet name="FM Common mistakes " sheetId="29"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s>
  <definedNames>
    <definedName name="\0" localSheetId="11">#REF!</definedName>
    <definedName name="\0">#REF!</definedName>
    <definedName name="\a">#REF!</definedName>
    <definedName name="\c">#REF!</definedName>
    <definedName name="\g">[1]BP!#REF!</definedName>
    <definedName name="\k">[2]KP1590_E!#REF!</definedName>
    <definedName name="\L" localSheetId="11">#REF!</definedName>
    <definedName name="\L">#REF!</definedName>
    <definedName name="\O" localSheetId="11">#REF!</definedName>
    <definedName name="\O">#REF!</definedName>
    <definedName name="\p" localSheetId="11">'[3]7-2'!#REF!</definedName>
    <definedName name="\p">'[3]7-2'!#REF!</definedName>
    <definedName name="\r" localSheetId="11">#REF!</definedName>
    <definedName name="\r">#REF!</definedName>
    <definedName name="\u">#N/A</definedName>
    <definedName name="\V" localSheetId="11">#REF!</definedName>
    <definedName name="\V">#REF!</definedName>
    <definedName name="\x" localSheetId="11">[2]KP1590_E!#REF!</definedName>
    <definedName name="\x">[2]KP1590_E!#REF!</definedName>
    <definedName name="\z" localSheetId="11">#REF!</definedName>
    <definedName name="\z">#REF!</definedName>
    <definedName name="____ig541" localSheetId="11">#REF!</definedName>
    <definedName name="____ig541">#REF!</definedName>
    <definedName name="___ann6" localSheetId="11">[4]!___ann6</definedName>
    <definedName name="___ann6">[5]!___ann6</definedName>
    <definedName name="___Dec1" localSheetId="11">#REF!</definedName>
    <definedName name="___Dec1">#REF!</definedName>
    <definedName name="___det1855" localSheetId="11">#REF!</definedName>
    <definedName name="___det1855">#REF!</definedName>
    <definedName name="___det2173" localSheetId="11">#REF!</definedName>
    <definedName name="___det2173">#REF!</definedName>
    <definedName name="___det2362">#REF!</definedName>
    <definedName name="___det2403">#REF!</definedName>
    <definedName name="___ig541">#REF!</definedName>
    <definedName name="___KC139">#REF!</definedName>
    <definedName name="___Nov02">#REF!</definedName>
    <definedName name="___tp1855">#REF!</definedName>
    <definedName name="___tp2362">#REF!</definedName>
    <definedName name="___tp2403">#REF!</definedName>
    <definedName name="___TR1">#REF!</definedName>
    <definedName name="__a5">[6]!Module1.UNITOK</definedName>
    <definedName name="__a6">[7]!UNITOK</definedName>
    <definedName name="__ann6" localSheetId="11">[4]!__ann6</definedName>
    <definedName name="__ann6">[5]!__ann6</definedName>
    <definedName name="__CHF1" localSheetId="11">#REF!</definedName>
    <definedName name="__CHF1">#REF!</definedName>
    <definedName name="__DAT18" localSheetId="11">#REF!</definedName>
    <definedName name="__DAT18">#REF!</definedName>
    <definedName name="__Dec1" localSheetId="11">#REF!</definedName>
    <definedName name="__Dec1">#REF!</definedName>
    <definedName name="__det1855">#REF!</definedName>
    <definedName name="__det2173">#REF!</definedName>
    <definedName name="__det2362">#REF!</definedName>
    <definedName name="__det2403">#REF!</definedName>
    <definedName name="__dim4">#REF!</definedName>
    <definedName name="__ig541">#REF!</definedName>
    <definedName name="__KC139">#REF!</definedName>
    <definedName name="__Nov02">#REF!</definedName>
    <definedName name="__OPT8">[8]!_xlbgnm.OPT8</definedName>
    <definedName name="__OPT9">[8]!_xlbgnm.OPT9</definedName>
    <definedName name="__rim4" localSheetId="11">#REF!</definedName>
    <definedName name="__rim4">#REF!</definedName>
    <definedName name="__rm4" localSheetId="11">#REF!</definedName>
    <definedName name="__rm4">#REF!</definedName>
    <definedName name="__tp1855" localSheetId="11">#REF!</definedName>
    <definedName name="__tp1855">#REF!</definedName>
    <definedName name="__tp2362">#REF!</definedName>
    <definedName name="__tp2403">#REF!</definedName>
    <definedName name="__TR1">#REF!</definedName>
    <definedName name="__USD1">'[9]Exchange rate'!$B$5</definedName>
    <definedName name="_0_DA_Summary_Query">'[10]DA Summary'!$A$7</definedName>
    <definedName name="_0_DA_TWC_Summary_Query">'[10]DA TWC Summary'!$A$7</definedName>
    <definedName name="_0_DD_AcctSumry">'[11]Proj Cost Summary'!$A$7</definedName>
    <definedName name="_0_DD_Installation_Component_Details_Query">'[10]Component Details'!$A$7</definedName>
    <definedName name="_0_DD_Installation_Component_Details2_Query">'[10]Component Details by User Tag'!$A$7</definedName>
    <definedName name="_0_DD_Installation_Component_Location_Details_Query">'[10]Component Location Details'!$A$7</definedName>
    <definedName name="_0_DD_Installation_Details_Extended_Query">'[12]Installation Details Extended'!$A$7</definedName>
    <definedName name="_0_DD_Installation_Details_Full_Query">'[10]Installation Details Full'!$A$7</definedName>
    <definedName name="_0_DD_Installation_Details_Query">'[10]Installation Details'!$A$7</definedName>
    <definedName name="_0_DD_Page_Query" localSheetId="11">#REF!</definedName>
    <definedName name="_0_DD_Page_Query">#REF!</definedName>
    <definedName name="_0_DD_Ratio_Run_Query">'[10]Estimate Composition'!$A$7</definedName>
    <definedName name="_0_DD_Report_system_Version_BE">'[10]Basis of Estimate'!$A$6</definedName>
    <definedName name="_0_DD_Report_system_Version_CP">'[10]Cover Page'!$A$6</definedName>
    <definedName name="_0_DD_Report_system_Version_I">[10]Indirects!$A$6</definedName>
    <definedName name="_0_DD_Report_system_Version_NCE">'[10]Non Capital Estimate'!$A$6</definedName>
    <definedName name="_0_DD_Report_system_Version_SSS">'[10]Scope Summary and Schedule'!$A$6</definedName>
    <definedName name="_0_DD_Report_system_Version_TD">'[10]Term Definitions'!$A$6</definedName>
    <definedName name="_0_DD_Report_system_Version_WR">'[10]Wage Rates'!$A$6</definedName>
    <definedName name="_0_DD_SAP_Excel_Ath_Ctl_Query">'[10]SAP Estimate - ATH&amp;CTL'!$A$1</definedName>
    <definedName name="_0_DD_SAP_Excel_ITC_Query">'[10]SAP Estimate - ITC'!$A$1</definedName>
    <definedName name="_0_DD_SAP_Excel_Structure_Query">'[10]SAP Structure'!$A$1</definedName>
    <definedName name="_0_DD_SAP_Query">'[10]SAP Upload'!$A$1</definedName>
    <definedName name="_0_DD_TWC_Summary_Query">'[10]TWC Summary'!$A$7</definedName>
    <definedName name="_0_Direct_Query">'[10]Direct Discipline Summary'!$A$7</definedName>
    <definedName name="_0_ICQ_WageRate" localSheetId="11">#REF!</definedName>
    <definedName name="_0_ICQ_WageRate">#REF!</definedName>
    <definedName name="_0_Key_Quantities_By_TWC_Query">'[10]Key Quantities by TWC Summary'!$A$7</definedName>
    <definedName name="_0_Key_Quantities_Query">'[10]Key Quantities Summary'!$A$7</definedName>
    <definedName name="_0_SLQ_MetricsDIR" localSheetId="11">#REF!</definedName>
    <definedName name="_0_SLQ_MetricsDIR">#REF!</definedName>
    <definedName name="_0_SLQ_MetricsIND" localSheetId="11">#REF!</definedName>
    <definedName name="_0_SLQ_MetricsIND">#REF!</definedName>
    <definedName name="_0_TAQ_TDC_AcctSumry" localSheetId="11">#REF!</definedName>
    <definedName name="_0_TAQ_TDC_AcctSumry">#REF!</definedName>
    <definedName name="_0_TAQ_TDC_COAList">'[13]TDC COA Sumry'!$A$7</definedName>
    <definedName name="_0_TAQ_TDC_COAListArea">'[13]COA Sumry by Area'!$A$7</definedName>
    <definedName name="_0_TAQ_TDC_COAListContr">'[13]COA Sumry by Contr'!$A$7</definedName>
    <definedName name="_0_TAQ_TDC_COAListRepGrp">'[13]COA Sumry by RG'!$A$7</definedName>
    <definedName name="_0_TAQ_TDC_COASumry">'[13]TDC COA Grp Sumry'!$A$6</definedName>
    <definedName name="_0_TAQ_TDC_InstallDetsFull">'[13]TDC Item Dets-Full'!$A$6</definedName>
    <definedName name="_0_TAQ_TDC_InstallDetsIPMFull">'[14]TDC Item Dets-IPM-Full'!$A$6</definedName>
    <definedName name="_0_TAQ_TDC_ItemDetsByOrigin">'[13]TDC Item Dets'!$A$6</definedName>
    <definedName name="_0_TAQ_TDC_ItemSumry">'[13]TDC Item Sumry'!$A$6</definedName>
    <definedName name="_0_TAQ_TDC_KeyQtySumry">'[13]TDC Key Qty Sumry'!$A$6</definedName>
    <definedName name="_0_TAQ_TDC_ListCompProj">'[13]List - Components'!$A$7</definedName>
    <definedName name="_0_TAQ_TDC_ListEQProj">'[15]List - Equipment'!$A$6</definedName>
    <definedName name="_0_WBS_Summary_Query">'[10]WBS Summary'!$A$7</definedName>
    <definedName name="_00_Customer_Proj_Comments" localSheetId="11">#REF!</definedName>
    <definedName name="_00_Customer_Proj_Comments">#REF!</definedName>
    <definedName name="_00_ICQ_ConstInd" localSheetId="11">#REF!</definedName>
    <definedName name="_00_ICQ_ConstInd">#REF!</definedName>
    <definedName name="_00_ICQ_Contingency" localSheetId="11">'[16]Proj Cost Summary'!#REF!</definedName>
    <definedName name="_00_ICQ_Contingency">'[16]Proj Cost Summary'!#REF!</definedName>
    <definedName name="_00_ICQ_DirectWageBuild" localSheetId="11">#REF!</definedName>
    <definedName name="_00_ICQ_DirectWageBuild">#REF!</definedName>
    <definedName name="_00_ICQ_Engineering" localSheetId="11">#REF!</definedName>
    <definedName name="_00_ICQ_Engineering">#REF!</definedName>
    <definedName name="_00_ICQ_FldOfcInd" localSheetId="11">#REF!</definedName>
    <definedName name="_00_ICQ_FldOfcInd">#REF!</definedName>
    <definedName name="_00_ICQ_Freight">#REF!</definedName>
    <definedName name="_00_ICQ_OtherProjCosts">#REF!</definedName>
    <definedName name="_00_ICQ_TaxesPermits">#REF!</definedName>
    <definedName name="_1_4">#REF!</definedName>
    <definedName name="_1_USD">'[17]Exchange rate'!$B$4</definedName>
    <definedName name="_17" localSheetId="11">#REF!</definedName>
    <definedName name="_17">#REF!</definedName>
    <definedName name="_1Excel_BuiltIn_Print_Area_1_1" localSheetId="11">#REF!</definedName>
    <definedName name="_1Excel_BuiltIn_Print_Area_1_1">#REF!</definedName>
    <definedName name="_2_SLQ_NozzleList" localSheetId="11">#REF!</definedName>
    <definedName name="_2_SLQ_NozzleList">#REF!</definedName>
    <definedName name="_3_AQ_Acct3Pipe_AvgDiam">#REF!</definedName>
    <definedName name="_3_AQ_AGPipe_AvgDiam">#REF!</definedName>
    <definedName name="_3_AQ_AGPipe_AvgDiam_BoreLg">#REF!</definedName>
    <definedName name="_3_AQ_AGPipe_AvgDiam_BoreSm">#REF!</definedName>
    <definedName name="_3_AQ_AGPipe_AvgDiam_MatCS">#REF!</definedName>
    <definedName name="_3_AQ_AGPipe_AvgDiam_MatMisc">#REF!</definedName>
    <definedName name="_3_AQ_AGPipe_AvgDiam_MatSS">#REF!</definedName>
    <definedName name="_3_AQ_FBuriedPLPipe_AvgDiam">#REF!</definedName>
    <definedName name="_3_AQ_HBuriedPLPipe_AvgDiam">#REF!</definedName>
    <definedName name="_3_AQ_RestrainPLPipe_AvgDiam">#REF!</definedName>
    <definedName name="_3_AQ_UGPipe_AvgDiam">#REF!</definedName>
    <definedName name="_3_AQ_UnrestrainPLPipe_AvgDiam">#REF!</definedName>
    <definedName name="_3_KQQ_AGPipe_Sub1_BoreLg">#REF!</definedName>
    <definedName name="_3_KQQ_AGPipe_Sub1_BoreSm">#REF!</definedName>
    <definedName name="_3_KQQ_AGPipe_Sub2_InstPipe">#REF!</definedName>
    <definedName name="_3_KQQ_AGPipe_Sub2_Spool">#REF!</definedName>
    <definedName name="_3_KQQ_AGPipe_Sub2_StRun">#REF!</definedName>
    <definedName name="_3_KQQ_AGPipe_Sub3_FieldRunFab">#REF!</definedName>
    <definedName name="_3_KQQ_AGPipe_Sub3_RemoteFab">#REF!</definedName>
    <definedName name="_3_KQQ_AGPipeLength_MatCS">#REF!</definedName>
    <definedName name="_3_KQQ_AGPipeLength_MatMisc">#REF!</definedName>
    <definedName name="_3_KQQ_AGPipeLength_MatSS">#REF!</definedName>
    <definedName name="_3_KQQ_FBPipelineQty">#REF!</definedName>
    <definedName name="_3_KQQ_HBPipelineQty">#REF!</definedName>
    <definedName name="_3_KQQ_ResPipelineQty">#REF!</definedName>
    <definedName name="_3_KQQ_UnResPipelineQty">#REF!</definedName>
    <definedName name="_30cd___Horizontal_Strobe_light_speaker__wall_mounted">#REF!</definedName>
    <definedName name="_30cd__Vertical_strobe_light__wall_mounted">#REF!</definedName>
    <definedName name="_3551MTRC">#REF!</definedName>
    <definedName name="_4_KQQ_Conc_Sub1_BlkLg">#REF!</definedName>
    <definedName name="_4_KQQ_Conc_Sub1_BlkMed">#REF!</definedName>
    <definedName name="_4_KQQ_Conc_Sub1_BlkSm">#REF!</definedName>
    <definedName name="_4_KQQ_Conc_Sub1_DuctBank">#REF!</definedName>
    <definedName name="_4_KQQ_Conc_Sub1_Elev">#REF!</definedName>
    <definedName name="_4_KQQ_Conc_Sub1_MassLg">#REF!</definedName>
    <definedName name="_4_KQQ_Conc_Sub1_MassMed">#REF!</definedName>
    <definedName name="_4_KQQ_Conc_Sub1_MassSm">#REF!</definedName>
    <definedName name="_4_KQQ_Conc_Sub1_Piling">#REF!</definedName>
    <definedName name="_4_KQQ_ConcTot_Embeds">#REF!</definedName>
    <definedName name="_4_KQQ_ConcTot_ExcBF">#REF!</definedName>
    <definedName name="_4_KQQ_ConcTot_Forms">#REF!</definedName>
    <definedName name="_4_KQQ_ConcTot_Grout">#REF!</definedName>
    <definedName name="_4_KQQ_ConcTot_Rebar">#REF!</definedName>
    <definedName name="_4_KQQ_ConcTotQty">#REF!</definedName>
    <definedName name="_5_KQQ_TotQty_Sub1_ExLtLt">#REF!</definedName>
    <definedName name="_5_KQQ_TotQty_Sub1_HvyXHvy">#REF!</definedName>
    <definedName name="_5_KQQ_TotQty_Sub1_Ldr">#REF!</definedName>
    <definedName name="_5_KQQ_TotQty_Sub1_Med">#REF!</definedName>
    <definedName name="_5_KQQ_TotQty_Sub1_Misc">#REF!</definedName>
    <definedName name="_5_KQQ_TotQty_Sub1_PlatStrGrt">#REF!</definedName>
    <definedName name="_5_KQQ_TotQty_Sub2_FloorTread">#REF!</definedName>
    <definedName name="_5_KQQ_TotQty_Sub2_HR">#REF!</definedName>
    <definedName name="_5_KQQ_TotQty_Sub2_Ladder">#REF!</definedName>
    <definedName name="_5_KQQ_TotQty_Sub2_Other">#REF!</definedName>
    <definedName name="_5_KQQ_TotQty_Sub2_Piperack">#REF!</definedName>
    <definedName name="_5_KQQ_TotQty_Sub2_Platform">#REF!</definedName>
    <definedName name="_5_KQQ_TotQty_Sub2_Structure">#REF!</definedName>
    <definedName name="_5_KQQ_TotQty_Sub2_Suppts">#REF!</definedName>
    <definedName name="_5_KQQ_TotQty_Sub2_TowersTrusses">#REF!</definedName>
    <definedName name="_6_KQQ_InstTerms">#REF!</definedName>
    <definedName name="_6_KQQ_InstWire">#REF!</definedName>
    <definedName name="_6_KQQ_RacewayTot">#REF!</definedName>
    <definedName name="_6_KQQ_TotCount_InstJBox">#REF!</definedName>
    <definedName name="_7_KQQ_AGElecTerms">#REF!</definedName>
    <definedName name="_7_KQQ_AGJBox">#REF!</definedName>
    <definedName name="_7_KQQ_AGRacewayTot">#REF!</definedName>
    <definedName name="_7_KQQ_AGUGElecTerms">#REF!</definedName>
    <definedName name="_7_KQQ_AGUGJBox">#REF!</definedName>
    <definedName name="_7_KQQ_AGUGRacewayTot">#REF!</definedName>
    <definedName name="_a5">[6]!Module1.UNITOK</definedName>
    <definedName name="_a6">[7]!UNITOK</definedName>
    <definedName name="_ann6" localSheetId="11">[4]!_ann6</definedName>
    <definedName name="_ann6">[5]!_ann6</definedName>
    <definedName name="_CHF1" localSheetId="11">#REF!</definedName>
    <definedName name="_CHF1">#REF!</definedName>
    <definedName name="_Currency_Allowances_and_Overheads">'[10]Allowances and Overheads'!$J$5</definedName>
    <definedName name="_Currency_Allowances_and_Overheads_IPM">'[10]Allowances and Overheads IPM'!$J$5</definedName>
    <definedName name="_Currency_Basis_of_Estimate">'[10]Basis of Estimate'!$J$5</definedName>
    <definedName name="_Currency_COA_Sumry__Std_Imp">'[13]COA Sumry - Std Imp'!$F$6</definedName>
    <definedName name="_Currency_COA_Sumry_by_Area">'[13]COA Sumry by Area'!$J$6</definedName>
    <definedName name="_Currency_COA_Sumry_by_Contr">'[13]COA Sumry by Contr'!$J$6</definedName>
    <definedName name="_Currency_COA_Sumry_by_RG">'[13]COA Sumry by RG'!$J$6</definedName>
    <definedName name="_Currency_Component_Details">'[10]Component Details'!$L$5</definedName>
    <definedName name="_Currency_Component_Details_by_User_Tag">'[10]Component Details by User Tag'!$L$5</definedName>
    <definedName name="_Currency_Component_Location_Details">'[10]Component Location Details'!$J$5</definedName>
    <definedName name="_Currency_Contr_TDC__Std_Imp">'[13]Contr TDC - Std Imp'!$G$6</definedName>
    <definedName name="_Currency_Cover_Page">'[10]Cover Page'!$J$5</definedName>
    <definedName name="_Currency_DA_Summary">'[10]DA Summary'!$I$5</definedName>
    <definedName name="_Currency_DA_TWC_Summary">'[10]DA TWC Summary'!$I$5</definedName>
    <definedName name="_Currency_Direct_Discipline_Summary">'[10]Direct Discipline Summary'!$I$5</definedName>
    <definedName name="_Currency_Estimate_Composition">'[10]Estimate Composition'!$I$5</definedName>
    <definedName name="_Currency_Indirects">[10]Indirects!$K$5</definedName>
    <definedName name="_Currency_Installation_Details">'[10]Installation Details'!$O$5</definedName>
    <definedName name="_Currency_Installation_Details_Extended">'[12]Installation Details Extended'!$R$5</definedName>
    <definedName name="_Currency_Installation_Details_Full">'[10]Installation Details Full'!$J$5</definedName>
    <definedName name="_Currency_Item_Sumry__Std_Imp">'[13]Item Sumry - Std Imp'!$I$6</definedName>
    <definedName name="_Currency_Key_Quantities_By_TWC_Summary">'[10]Key Quantities by TWC Summary'!$J$5</definedName>
    <definedName name="_Currency_Key_Quantities_Summary">'[10]Key Quantities Summary'!$I$5</definedName>
    <definedName name="_Currency_List__Components">'[13]List - Components'!$G$6</definedName>
    <definedName name="_Currency_List__Equipment">'[15]List - Equipment'!$I$5</definedName>
    <definedName name="_Currency_Non_Capital_Estimate">'[10]Non Capital Estimate'!$J$5</definedName>
    <definedName name="_Currency_Proj_Cost_Summary">'[11]Proj Cost Summary'!$I$6</definedName>
    <definedName name="_Currency_Proj_Cost_Sumry" localSheetId="11">#REF!</definedName>
    <definedName name="_Currency_Proj_Cost_Sumry">#REF!</definedName>
    <definedName name="_Currency_Proj_TIC__Std_Imp">'[13]Proj TIC - Std Imp'!$F$6</definedName>
    <definedName name="_Currency_Project_Metrics">'[13]Project Metrics'!$O$5</definedName>
    <definedName name="_Currency_Scope_Summary_and_Schedule">'[10]Scope Summary and Schedule'!$J$5</definedName>
    <definedName name="_Currency_TDC_COA_Grp_Sumry">'[13]TDC COA Grp Sumry'!$K$5</definedName>
    <definedName name="_Currency_TDC_COA_Sumry">'[13]TDC COA Sumry'!$H$6</definedName>
    <definedName name="_Currency_TDC_Item_Dets">'[13]TDC Item Dets'!$P$5</definedName>
    <definedName name="_Currency_TDC_Item_DetsFull">'[13]TDC Item Dets-Full'!$V$5</definedName>
    <definedName name="_Currency_TDC_Item_DetsIPMFull">'[14]TDC Item Dets-IPM-Full'!$T$5</definedName>
    <definedName name="_Currency_TDC_Item_Sumry">'[13]TDC Item Sumry'!$O$5</definedName>
    <definedName name="_Currency_TDC_Key_Qty_Sumry">'[13]TDC Key Qty Sumry'!$J$5</definedName>
    <definedName name="_Currency_Term_Definitions">'[10]Term Definitions'!$J$5</definedName>
    <definedName name="_Currency_TWC_Summary">'[10]TWC Summary'!$I$5</definedName>
    <definedName name="_Currency_Unit_Costs__Std_Imp">'[13]Unit Costs - Std Imp'!$F$6</definedName>
    <definedName name="_Currency_Unit_MH__Std_Imp">'[13]Unit MH - Std Imp'!$F$6</definedName>
    <definedName name="_Currency_Wage_Rates">'[10]Wage Rates'!$K$5</definedName>
    <definedName name="_Currency_Wage_Rates_and_Issues" localSheetId="11">#REF!</definedName>
    <definedName name="_Currency_Wage_Rates_and_Issues">#REF!</definedName>
    <definedName name="_Currency_WBS_Summary">'[10]WBS Summary'!$J$5</definedName>
    <definedName name="_Currrency_List___Components">'[13]List - Components'!$G$6</definedName>
    <definedName name="_DAT1" localSheetId="11">'[18]2010 Non Capital Detail list'!#REF!</definedName>
    <definedName name="_DAT1">'[18]2010 Non Capital Detail list'!#REF!</definedName>
    <definedName name="_DAT10" localSheetId="11">'[18]2010 Non Capital Detail list'!#REF!</definedName>
    <definedName name="_DAT10">'[18]2010 Non Capital Detail list'!#REF!</definedName>
    <definedName name="_DAT11" localSheetId="11">'[18]2010 Non Capital Detail list'!#REF!</definedName>
    <definedName name="_DAT11">'[18]2010 Non Capital Detail list'!#REF!</definedName>
    <definedName name="_DAT12" localSheetId="11">'[18]2010 Non Capital Detail list'!#REF!</definedName>
    <definedName name="_DAT12">'[18]2010 Non Capital Detail list'!#REF!</definedName>
    <definedName name="_DAT13">'[18]2010 Non Capital Detail list'!#REF!</definedName>
    <definedName name="_DAT14">'[18]2010 Non Capital Detail list'!#REF!</definedName>
    <definedName name="_DAT15" localSheetId="11">#REF!</definedName>
    <definedName name="_DAT15">#REF!</definedName>
    <definedName name="_DAT16" localSheetId="11">#REF!</definedName>
    <definedName name="_DAT16">#REF!</definedName>
    <definedName name="_DAT17" localSheetId="11">#REF!</definedName>
    <definedName name="_DAT17">#REF!</definedName>
    <definedName name="_DAT18">#REF!</definedName>
    <definedName name="_DAT19">#REF!</definedName>
    <definedName name="_DAT2">'[18]2010 Non Capital Detail list'!#REF!</definedName>
    <definedName name="_DAT20" localSheetId="11">#REF!</definedName>
    <definedName name="_DAT20">#REF!</definedName>
    <definedName name="_DAT21" localSheetId="11">#REF!</definedName>
    <definedName name="_DAT21">#REF!</definedName>
    <definedName name="_DAT22" localSheetId="1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'[18]2010 Non Capital Detail list'!#REF!</definedName>
    <definedName name="_DAT30" localSheetId="11">#REF!</definedName>
    <definedName name="_DAT30">#REF!</definedName>
    <definedName name="_DAT31" localSheetId="11">#REF!</definedName>
    <definedName name="_DAT31">#REF!</definedName>
    <definedName name="_DAT32" localSheetId="1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'[18]2010 Non Capital Detail list'!#REF!</definedName>
    <definedName name="_DAT40" localSheetId="11">#REF!</definedName>
    <definedName name="_DAT40">#REF!</definedName>
    <definedName name="_DAT41" localSheetId="11">#REF!</definedName>
    <definedName name="_DAT41">#REF!</definedName>
    <definedName name="_DAT42" localSheetId="1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5">'[18]2010 Non Capital Detail list'!#REF!</definedName>
    <definedName name="_DAT6">'[18]2010 Non Capital Detail list'!#REF!</definedName>
    <definedName name="_DAT7">'[18]2010 Non Capital Detail list'!#REF!</definedName>
    <definedName name="_DAT8">'[18]2010 Non Capital Detail list'!#REF!</definedName>
    <definedName name="_DAT9">'[18]2010 Non Capital Detail list'!#REF!</definedName>
    <definedName name="_Dec1" localSheetId="11">#REF!</definedName>
    <definedName name="_Dec1">#REF!</definedName>
    <definedName name="_det1855" localSheetId="11">#REF!</definedName>
    <definedName name="_det1855">#REF!</definedName>
    <definedName name="_det2173" localSheetId="11">#REF!</definedName>
    <definedName name="_det2173">#REF!</definedName>
    <definedName name="_det2362">#REF!</definedName>
    <definedName name="_det2403">#REF!</definedName>
    <definedName name="_dim4">#REF!</definedName>
    <definedName name="_Estimate_Class_Allowances_and_Overheads">'[10]Allowances and Overheads'!$G$5</definedName>
    <definedName name="_Estimate_Class_Allowances_and_Overheads_IPM">'[10]Allowances and Overheads IPM'!$G$5</definedName>
    <definedName name="_Estimate_Class_Basis_of_Estimate">'[10]Basis of Estimate'!$G$5</definedName>
    <definedName name="_Estimate_Class_COA_Sumry__Std_Imp">'[13]COA Sumry - Std Imp'!$D$6</definedName>
    <definedName name="_Estimate_Class_COA_Sumry_by_Area">'[13]COA Sumry by Area'!$G$6</definedName>
    <definedName name="_Estimate_Class_COA_Sumry_by_Contr">'[13]COA Sumry by Contr'!$G$6</definedName>
    <definedName name="_Estimate_Class_COA_Sumry_by_RG">'[13]COA Sumry by RG'!$G$6</definedName>
    <definedName name="_Estimate_Class_Component_Details">'[10]Component Details'!$I$5</definedName>
    <definedName name="_Estimate_Class_Component_Details_by_User_Tag">'[10]Component Details by User Tag'!$I$5</definedName>
    <definedName name="_Estimate_Class_Component_Location_Details">'[10]Component Location Details'!$G$5</definedName>
    <definedName name="_Estimate_Class_Contr_TDC__Std_Imp">'[13]Contr TDC - Std Imp'!$E$6</definedName>
    <definedName name="_Estimate_Class_Cover_Page">'[10]Cover Page'!$G$5</definedName>
    <definedName name="_Estimate_Class_DA_Summary">'[10]DA Summary'!$F$5</definedName>
    <definedName name="_Estimate_Class_DA_TWC_Summary">'[10]DA TWC Summary'!$F$5</definedName>
    <definedName name="_Estimate_Class_Direct_Discipline_Summary">'[10]Direct Discipline Summary'!$F$5</definedName>
    <definedName name="_Estimate_Class_Estimate_Composition">'[10]Estimate Composition'!$F$5</definedName>
    <definedName name="_Estimate_Class_Indirects">[10]Indirects!$G$5</definedName>
    <definedName name="_Estimate_Class_Installation_Details">'[10]Installation Details'!$K$5</definedName>
    <definedName name="_Estimate_Class_Installation_Details_Extended">'[12]Installation Details Extended'!$M$5</definedName>
    <definedName name="_Estimate_Class_Installation_Details_Full">'[10]Installation Details Full'!$G$5</definedName>
    <definedName name="_Estimate_Class_Item_Sumry__Std_Imp">'[13]Item Sumry - Std Imp'!$F$6</definedName>
    <definedName name="_Estimate_Class_Key_Quantities_By_TWC_Summary">'[10]Key Quantities by TWC Summary'!$G$5</definedName>
    <definedName name="_Estimate_Class_Key_Quantities_Summary">'[10]Key Quantities Summary'!$F$5</definedName>
    <definedName name="_Estimate_Class_List__Components">'[13]List - Components'!$E$6</definedName>
    <definedName name="_Estimate_Class_List__Equipment">'[15]List - Equipment'!$D$5</definedName>
    <definedName name="_Estimate_Class_Non_Capital_Estimate">'[10]Non Capital Estimate'!$G$5</definedName>
    <definedName name="_Estimate_Class_Proj_Cost_Summary">'[11]Proj Cost Summary'!$E$6</definedName>
    <definedName name="_Estimate_Class_Proj_Cost_Sumry" localSheetId="11">#REF!</definedName>
    <definedName name="_Estimate_Class_Proj_Cost_Sumry">#REF!</definedName>
    <definedName name="_Estimate_Class_Proj_TIC__Std_Imp">'[13]Proj TIC - Std Imp'!$D$6</definedName>
    <definedName name="_Estimate_Class_Project_Metrics">'[13]Project Metrics'!$H$5</definedName>
    <definedName name="_Estimate_Class_Scope_Summary_and_Schedule">'[10]Scope Summary and Schedule'!$G$5</definedName>
    <definedName name="_Estimate_Class_TDC_COA_Grp_Sumry">'[13]TDC COA Grp Sumry'!$E$5</definedName>
    <definedName name="_Estimate_Class_TDC_COA_Sumry">'[13]TDC COA Sumry'!$E$6</definedName>
    <definedName name="_Estimate_Class_TDC_Item_Dets">'[13]TDC Item Dets'!$G$5</definedName>
    <definedName name="_Estimate_Class_TDC_Item_DetsFull">'[13]TDC Item Dets-Full'!$K$5</definedName>
    <definedName name="_Estimate_Class_TDC_Item_DetsIPMFull">'[14]TDC Item Dets-IPM-Full'!$I$5</definedName>
    <definedName name="_Estimate_Class_TDC_Item_Sumry">'[13]TDC Item Sumry'!$F$5</definedName>
    <definedName name="_Estimate_Class_TDC_Key_Qty_Sumry">'[13]TDC Key Qty Sumry'!$E$5</definedName>
    <definedName name="_Estimate_Class_Term_Definitions">'[10]Term Definitions'!$G$5</definedName>
    <definedName name="_Estimate_Class_TWC_Summary">'[10]TWC Summary'!$F$5</definedName>
    <definedName name="_Estimate_Class_Unit_Costs__Std_Imp">'[13]Unit Costs - Std Imp'!$D$6</definedName>
    <definedName name="_Estimate_Class_Unit_MH__Std_Imp">'[13]Unit MH - Std Imp'!$D$6</definedName>
    <definedName name="_Estimate_Class_Wage_Rates">'[10]Wage Rates'!$G$5</definedName>
    <definedName name="_Estimate_Class_Wage_Rates_and_Issues" localSheetId="11">#REF!</definedName>
    <definedName name="_Estimate_Class_Wage_Rates_and_Issues">#REF!</definedName>
    <definedName name="_Estimate_Class_WBS_Summary">'[10]WBS Summary'!$G$5</definedName>
    <definedName name="_Estimate_Date_Allowances_and_Overheads">'[10]Allowances and Overheads'!$B$6</definedName>
    <definedName name="_Estimate_Date_Allowances_and_Overheads_IPM">'[10]Allowances and Overheads IPM'!$B$6</definedName>
    <definedName name="_Estimate_Date_Basis_of_Estimate">'[10]Basis of Estimate'!$B$6</definedName>
    <definedName name="_Estimate_Date_COA_Sumry__Std_Imp">'[13]COA Sumry - Std Imp'!$B$6</definedName>
    <definedName name="_Estimate_Date_COA_Sumry_by_Area">'[13]COA Sumry by Area'!$C$6</definedName>
    <definedName name="_Estimate_Date_COA_Sumry_by_Contr">'[13]COA Sumry by Contr'!$C$6</definedName>
    <definedName name="_Estimate_Date_COA_Sumry_by_RG">'[13]COA Sumry by RG'!$C$6</definedName>
    <definedName name="_Estimate_Date_Component_Details">'[10]Component Details'!$B$6</definedName>
    <definedName name="_Estimate_Date_Component_Details_by_User_Tag">'[10]Component Details by User Tag'!$B$6</definedName>
    <definedName name="_Estimate_Date_Component_Location_Details">'[10]Component Location Details'!$B$6</definedName>
    <definedName name="_Estimate_Date_Contr_TDC__Std_Imp">'[13]Contr TDC - Std Imp'!$B$6</definedName>
    <definedName name="_Estimate_Date_Cover_Page">'[10]Cover Page'!$B$6</definedName>
    <definedName name="_Estimate_Date_DA_Summary">'[10]DA Summary'!$B$6</definedName>
    <definedName name="_Estimate_Date_DA_TWC_Summary">'[10]DA TWC Summary'!$B$6</definedName>
    <definedName name="_Estimate_Date_Direct_Discipline_Summary">'[10]Direct Discipline Summary'!$B$6</definedName>
    <definedName name="_Estimate_Date_Estimate_Composition">'[10]Estimate Composition'!$B$6</definedName>
    <definedName name="_Estimate_Date_Indirects">[10]Indirects!$B$6</definedName>
    <definedName name="_Estimate_Date_Installation_Details">'[10]Installation Details'!$B$6</definedName>
    <definedName name="_Estimate_Date_Installation_Details_Extended">'[12]Installation Details Extended'!$B$6</definedName>
    <definedName name="_Estimate_Date_Installation_Details_Full">'[10]Installation Details Full'!$B$6</definedName>
    <definedName name="_Estimate_Date_Item_DetsIPMFull">'[14]TDC Item Dets-IPM-Full'!$B$5</definedName>
    <definedName name="_Estimate_Date_Item_Sumry__Std_Imp">'[13]Item Sumry - Std Imp'!$B$6</definedName>
    <definedName name="_Estimate_Date_ItemDets_Full">'[13]TDC Item Dets-Full'!$B$5</definedName>
    <definedName name="_Estimate_Date_Key_Quantities_By_TWC_Summary">'[10]Key Quantities by TWC Summary'!$C$6</definedName>
    <definedName name="_Estimate_Date_Key_Quantities_Summary">'[10]Key Quantities Summary'!$B$6</definedName>
    <definedName name="_Estimate_Date_List__Components">'[13]List - Components'!$B$6</definedName>
    <definedName name="_Estimate_Date_List__Equipment">'[15]List - Equipment'!$B$5</definedName>
    <definedName name="_Estimate_Date_Non_Capital_Estimate">'[10]Non Capital Estimate'!$B$6</definedName>
    <definedName name="_Estimate_Date_Proj_Cost_Summary">'[11]Proj Cost Summary'!$B$6</definedName>
    <definedName name="_Estimate_Date_Proj_Cost_Sumry" localSheetId="11">#REF!</definedName>
    <definedName name="_Estimate_Date_Proj_Cost_Sumry">#REF!</definedName>
    <definedName name="_Estimate_Date_Proj_TIC__Std_Imp">'[13]Proj TIC - Std Imp'!$B$6</definedName>
    <definedName name="_Estimate_Date_Project_Metrics">'[13]Project Metrics'!$B$5</definedName>
    <definedName name="_Estimate_Date_Scope_Summary_and_Schedule">'[10]Scope Summary and Schedule'!$B$6</definedName>
    <definedName name="_Estimate_Date_TDC_COA_Grp_Sumry">'[13]TDC COA Grp Sumry'!$B$5</definedName>
    <definedName name="_Estimate_Date_TDC_COA_Sumry">'[13]TDC COA Sumry'!$B$6</definedName>
    <definedName name="_Estimate_Date_TDC_Item_Dets">'[13]TDC Item Dets'!$B$5</definedName>
    <definedName name="_Estimate_Date_TDC_Item_DetsFull">'[13]TDC Item Dets-Full'!$B$5</definedName>
    <definedName name="_Estimate_Date_TDC_Item_DetsIPMFull">'[14]TDC Item Dets-IPM-Full'!$B$5</definedName>
    <definedName name="_Estimate_Date_TDC_Item_Sumry">'[13]TDC Item Sumry'!$B$5</definedName>
    <definedName name="_Estimate_Date_TDC_Key_Qty_Sumry">'[13]TDC Key Qty Sumry'!$B$5</definedName>
    <definedName name="_Estimate_Date_Term_Definitions">'[10]Term Definitions'!$C$6</definedName>
    <definedName name="_Estimate_Date_TWC_Summary">'[10]TWC Summary'!$C$6</definedName>
    <definedName name="_Estimate_Date_Unit_Costs__Std_Imp">'[13]Unit Costs - Std Imp'!$B$6</definedName>
    <definedName name="_Estimate_Date_Unit_MH__Std_Imp">'[13]Unit MH - Std Imp'!$B$6</definedName>
    <definedName name="_Estimate_Date_Wage_Rates">'[10]Wage Rates'!$B$6</definedName>
    <definedName name="_Estimate_Date_Wage_Rates_and_Issues" localSheetId="11">#REF!</definedName>
    <definedName name="_Estimate_Date_Wage_Rates_and_Issues">#REF!</definedName>
    <definedName name="_Estimate_Date_WBS_Summary">'[10]WBS Summary'!$B$6</definedName>
    <definedName name="_EUR1011" localSheetId="11">#REF!</definedName>
    <definedName name="_EUR1011">#REF!</definedName>
    <definedName name="_Fill" localSheetId="11" hidden="1">#REF!</definedName>
    <definedName name="_Fill" hidden="1">#REF!</definedName>
    <definedName name="_xlnm._FilterDatabase" localSheetId="8" hidden="1">countries!$C$1:$D$75</definedName>
    <definedName name="_xlnm._FilterDatabase" localSheetId="9" hidden="1">'tax rates'!$B$6:$AF$71</definedName>
    <definedName name="_ig541" localSheetId="11">#REF!</definedName>
    <definedName name="_ig541">#REF!</definedName>
    <definedName name="_Job_Number_Allowances_and_Overheads">'[10]Allowances and Overheads'!$G$4</definedName>
    <definedName name="_Job_Number_Allowances_and_Overheads_IPM">'[10]Allowances and Overheads IPM'!$G$4</definedName>
    <definedName name="_Job_Number_Basis_of_Estimate">'[10]Basis of Estimate'!$G$4</definedName>
    <definedName name="_Job_Number_COA_Sumry__Std_Imp">'[13]COA Sumry - Std Imp'!$D$5</definedName>
    <definedName name="_Job_Number_COA_Sumry_by_Area">'[13]COA Sumry by Area'!$G$5</definedName>
    <definedName name="_Job_Number_COA_Sumry_by_Contr">'[13]COA Sumry by Contr'!$G$5</definedName>
    <definedName name="_Job_Number_COA_Sumry_by_RG">'[13]COA Sumry by RG'!$G$5</definedName>
    <definedName name="_Job_Number_Component_Details">'[10]Component Details'!$I$4</definedName>
    <definedName name="_Job_Number_Component_Details_by_User_Tag">'[10]Component Details by User Tag'!$I$4</definedName>
    <definedName name="_Job_Number_Component_Location_Details">'[10]Component Location Details'!$G$4</definedName>
    <definedName name="_Job_Number_Contr_TDC__Std_Imp">'[13]Contr TDC - Std Imp'!$E$5</definedName>
    <definedName name="_Job_Number_Cover_Page">'[10]Cover Page'!$G$4</definedName>
    <definedName name="_Job_Number_DA_Summary">'[10]DA Summary'!$F$4</definedName>
    <definedName name="_Job_Number_DA_TWC_Summary">'[10]DA TWC Summary'!$F$4</definedName>
    <definedName name="_Job_Number_Direct_Discipline_Summary">'[10]Direct Discipline Summary'!$F$4</definedName>
    <definedName name="_Job_Number_Estimate_Composition">'[10]Estimate Composition'!$F$4</definedName>
    <definedName name="_Job_Number_Indirects">[10]Indirects!$G$4</definedName>
    <definedName name="_Job_Number_Installation_Details">'[10]Installation Details'!$K$4</definedName>
    <definedName name="_Job_Number_Installation_Details_Extended">'[12]Installation Details Extended'!$M$4</definedName>
    <definedName name="_Job_Number_Installation_Details_Full">'[10]Installation Details Full'!$G$4</definedName>
    <definedName name="_Job_Number_Item_Sumry__Std_Imp">'[13]Item Sumry - Std Imp'!$F$5</definedName>
    <definedName name="_Job_Number_Key_Quantities_By_TWC_Summary">'[10]Key Quantities by TWC Summary'!$G$4</definedName>
    <definedName name="_Job_Number_Key_Quantities_Summary">'[10]Key Quantities Summary'!$F$4</definedName>
    <definedName name="_Job_Number_List__Components">'[13]List - Components'!$E$5</definedName>
    <definedName name="_Job_Number_List__Equipment">'[15]List - Equipment'!$G$5</definedName>
    <definedName name="_Job_Number_Non_Capital_Estimate">'[10]Non Capital Estimate'!$G$4</definedName>
    <definedName name="_Job_Number_Proj_Cost_Summary">'[11]Proj Cost Summary'!$E$5</definedName>
    <definedName name="_Job_Number_Proj_Cost_Sumry" localSheetId="11">#REF!</definedName>
    <definedName name="_Job_Number_Proj_Cost_Sumry">#REF!</definedName>
    <definedName name="_Job_Number_Proj_TIC__Std_Imp">'[13]Proj TIC - Std Imp'!$D$5</definedName>
    <definedName name="_Job_Number_Project_Metrics">'[13]Project Metrics'!$L$5</definedName>
    <definedName name="_Job_Number_Scope_Summary_and_Schedule">'[10]Scope Summary and Schedule'!$G$4</definedName>
    <definedName name="_Job_Number_TDC_COA_Grp_Sumry">'[13]TDC COA Grp Sumry'!$I$5</definedName>
    <definedName name="_Job_Number_TDC_COA_Sumry">'[13]TDC COA Sumry'!$E$5</definedName>
    <definedName name="_Job_Number_TDC_Item_Dets">'[13]TDC Item Dets'!$L$5</definedName>
    <definedName name="_Job_Number_TDC_Item_DetsFull">'[13]TDC Item Dets-Full'!$R$5</definedName>
    <definedName name="_Job_Number_TDC_Item_DetsIPMFull">'[14]TDC Item Dets-IPM-Full'!$P$5</definedName>
    <definedName name="_Job_Number_TDC_Item_Sumry">'[13]TDC Item Sumry'!$L$5</definedName>
    <definedName name="_Job_Number_TDC_Key_Qty_Sumry">'[13]TDC Key Qty Sumry'!$H$5</definedName>
    <definedName name="_Job_Number_Term_Definitions">'[10]Term Definitions'!$G$4</definedName>
    <definedName name="_Job_Number_TWC_Summary">'[10]TWC Summary'!$F$4</definedName>
    <definedName name="_Job_Number_Unit_Costs__Std_Imp">'[13]Unit Costs - Std Imp'!$D$5</definedName>
    <definedName name="_Job_Number_Unit_MH__Std_Imp">'[13]Unit MH - Std Imp'!$D$5</definedName>
    <definedName name="_Job_Number_Wage_Rates">'[10]Wage Rates'!$G$4</definedName>
    <definedName name="_Job_Number_Wage_Rates_and_Issues" localSheetId="11">#REF!</definedName>
    <definedName name="_Job_Number_Wage_Rates_and_Issues">#REF!</definedName>
    <definedName name="_Job_Number_WBS_Summary">'[10]WBS Summary'!$G$4</definedName>
    <definedName name="_JPY1011">[19]Remarks!$F$14</definedName>
    <definedName name="_KC139" localSheetId="11">#REF!</definedName>
    <definedName name="_KC139">#REF!</definedName>
    <definedName name="_mhr1" localSheetId="11">#REF!</definedName>
    <definedName name="_mhr1">#REF!</definedName>
    <definedName name="_mhr2" localSheetId="11">#REF!</definedName>
    <definedName name="_mhr2">#REF!</definedName>
    <definedName name="_mhr3">#REF!</definedName>
    <definedName name="_mhr4">#REF!</definedName>
    <definedName name="_ngl3">#REF!</definedName>
    <definedName name="_ngl4">#REF!</definedName>
    <definedName name="_Nov02">#REF!</definedName>
    <definedName name="_OPT8">[8]!_xlbgnm.OPT8</definedName>
    <definedName name="_OPT9">[8]!_xlbgnm.OPT9</definedName>
    <definedName name="_Order1" hidden="1">255</definedName>
    <definedName name="_Order2" hidden="1">255</definedName>
    <definedName name="_PG1" localSheetId="11">#REF!</definedName>
    <definedName name="_PG1">#REF!</definedName>
    <definedName name="_PG2" localSheetId="11">#REF!</definedName>
    <definedName name="_PG2">#REF!</definedName>
    <definedName name="_PG3" localSheetId="11">#REF!</definedName>
    <definedName name="_PG3">#REF!</definedName>
    <definedName name="_PG4">#REF!</definedName>
    <definedName name="_PG5">#REF!</definedName>
    <definedName name="_PG6">#REF!</definedName>
    <definedName name="_PG7">#REF!</definedName>
    <definedName name="_Prepared_By_Allowances_and_Overheads">'[10]Allowances and Overheads'!$J$4</definedName>
    <definedName name="_Prepared_By_Allowances_and_Overheads_IPM">'[10]Allowances and Overheads IPM'!$J$4</definedName>
    <definedName name="_Prepared_By_Basis_of_Estimate">'[10]Basis of Estimate'!$J$4</definedName>
    <definedName name="_Prepared_By_COA_Sumry__Std_Imp">'[13]COA Sumry - Std Imp'!$F$5</definedName>
    <definedName name="_Prepared_By_COA_Sumry_by_Area">'[13]COA Sumry by Area'!$J$5</definedName>
    <definedName name="_Prepared_By_COA_Sumry_by_Contr">'[13]COA Sumry by Contr'!$J$5</definedName>
    <definedName name="_Prepared_By_COA_Sumry_by_RG">'[13]COA Sumry by RG'!$J$5</definedName>
    <definedName name="_Prepared_By_Component_Details">'[10]Component Details'!$L$4</definedName>
    <definedName name="_Prepared_By_Component_Details_by_User_Tag">'[10]Component Details by User Tag'!$L$4</definedName>
    <definedName name="_Prepared_By_Component_Location_Details">'[10]Component Location Details'!$J$4</definedName>
    <definedName name="_Prepared_By_Contr_TDC__Std_Imp">'[13]Contr TDC - Std Imp'!$G$5</definedName>
    <definedName name="_Prepared_By_Cover_Page">'[10]Cover Page'!$J$4</definedName>
    <definedName name="_Prepared_By_DA_Summary">'[10]DA Summary'!$I$4</definedName>
    <definedName name="_Prepared_By_DA_TWC_Summary">'[10]DA TWC Summary'!$I$4</definedName>
    <definedName name="_Prepared_By_Direct_Discipline_Summary">'[10]Direct Discipline Summary'!$I$4</definedName>
    <definedName name="_Prepared_By_Estimate_Composition">'[10]Estimate Composition'!$I$4</definedName>
    <definedName name="_Prepared_By_Indirects">[10]Indirects!$K$4</definedName>
    <definedName name="_Prepared_By_Installation_Details">'[10]Installation Details'!$O$4</definedName>
    <definedName name="_Prepared_By_Installation_Details_Extended">'[12]Installation Details Extended'!$R$4</definedName>
    <definedName name="_Prepared_By_Installation_Details_Full">'[10]Installation Details Full'!$J$4</definedName>
    <definedName name="_Prepared_By_Item_Sumry__Std_Imp">'[13]Item Sumry - Std Imp'!$I$5</definedName>
    <definedName name="_Prepared_By_Key_Quantities_By_TWC_Summary">'[10]Key Quantities by TWC Summary'!$J$4</definedName>
    <definedName name="_Prepared_By_Key_Quantities_Summary">'[10]Key Quantities Summary'!$I$4</definedName>
    <definedName name="_Prepared_By_List__Components">'[13]List - Components'!$G$5</definedName>
    <definedName name="_Prepared_By_List__Equipment">'[15]List - Equipment'!$I$3</definedName>
    <definedName name="_Prepared_By_Non_Capital_Estimate">'[10]Non Capital Estimate'!$J$4</definedName>
    <definedName name="_Prepared_By_Proj_Cost_Summary">'[11]Proj Cost Summary'!$I$5</definedName>
    <definedName name="_Prepared_By_Proj_Cost_Sumry" localSheetId="11">#REF!</definedName>
    <definedName name="_Prepared_By_Proj_Cost_Sumry">#REF!</definedName>
    <definedName name="_Prepared_By_Proj_TIC__Std_Imp">'[13]Proj TIC - Std Imp'!$F$5</definedName>
    <definedName name="_Prepared_By_Project_Metrics">'[13]Project Metrics'!$O$3</definedName>
    <definedName name="_Prepared_By_Scope_Summary_and_Schedule">'[10]Scope Summary and Schedule'!$J$4</definedName>
    <definedName name="_Prepared_By_TDC_COA_Grp_Sumry">'[13]TDC COA Grp Sumry'!$K$3</definedName>
    <definedName name="_Prepared_By_TDC_COA_Sumry">'[13]TDC COA Sumry'!$H$5</definedName>
    <definedName name="_Prepared_By_TDC_Item_Dets">'[13]TDC Item Dets'!$P$3</definedName>
    <definedName name="_Prepared_By_TDC_Item_DetsFull">'[13]TDC Item Dets-Full'!$V$3</definedName>
    <definedName name="_Prepared_By_TDC_Item_DetsIPMFull">'[14]TDC Item Dets-IPM-Full'!$T$3</definedName>
    <definedName name="_Prepared_By_TDC_Item_Sumry">'[13]TDC Item Sumry'!$O$3</definedName>
    <definedName name="_Prepared_By_TDC_Key_Qty_Sumry">'[13]TDC Key Qty Sumry'!$J$3</definedName>
    <definedName name="_Prepared_By_Term_Definitions">'[10]Term Definitions'!$J$4</definedName>
    <definedName name="_Prepared_By_TWC_Summary">'[10]TWC Summary'!$I$4</definedName>
    <definedName name="_Prepared_By_Unit_Costs__Std_Imp">'[13]Unit Costs - Std Imp'!$F$5</definedName>
    <definedName name="_Prepared_By_Unit_MH__Std_Imp">'[13]Unit MH - Std Imp'!$F$5</definedName>
    <definedName name="_Prepared_By_Wage_Rates">'[10]Wage Rates'!$K$4</definedName>
    <definedName name="_Prepared_By_Wage_Rates_and_Issues" localSheetId="11">#REF!</definedName>
    <definedName name="_Prepared_By_Wage_Rates_and_Issues">#REF!</definedName>
    <definedName name="_Prepared_By_WBS_Summary">'[10]WBS Summary'!$J$4</definedName>
    <definedName name="_Project_Directory_Proj_Cost_Sumry" localSheetId="11">'[20]Proj Cost Summary'!#REF!</definedName>
    <definedName name="_Project_Directory_Proj_Cost_Sumry">'[20]Proj Cost Summary'!#REF!</definedName>
    <definedName name="_Project_Location_Allowances_and_Overheads">'[10]Allowances and Overheads'!$B$5</definedName>
    <definedName name="_Project_Location_Allowances_and_Overheads_IPM">'[10]Allowances and Overheads IPM'!$B$5</definedName>
    <definedName name="_Project_Location_Basis_of_Estimate">'[10]Basis of Estimate'!$B$5</definedName>
    <definedName name="_Project_Location_COA_Sumry__Std_Imp">'[13]COA Sumry - Std Imp'!$B$5</definedName>
    <definedName name="_Project_Location_COA_Sumry_by_Area">'[13]COA Sumry by Area'!$C$5</definedName>
    <definedName name="_Project_Location_COA_Sumry_by_Contr">'[13]COA Sumry by Contr'!$C$5</definedName>
    <definedName name="_Project_Location_COA_Sumry_by_RG">'[13]COA Sumry by RG'!$C$5</definedName>
    <definedName name="_Project_Location_Component_Details">'[10]Component Details'!$B$5</definedName>
    <definedName name="_Project_Location_Component_Details_by_User_Tag">'[10]Component Details by User Tag'!$B$5</definedName>
    <definedName name="_Project_Location_Component_Location_Details">'[10]Component Location Details'!$B$5</definedName>
    <definedName name="_Project_Location_Contr_TDC__Std_Imp">'[13]Contr TDC - Std Imp'!$B$5</definedName>
    <definedName name="_Project_Location_Cover_Page">'[10]Cover Page'!$B$5</definedName>
    <definedName name="_Project_Location_DA_Summary">'[10]DA Summary'!$B$5</definedName>
    <definedName name="_Project_Location_DA_TWC_Summary">'[10]DA TWC Summary'!$B$5</definedName>
    <definedName name="_Project_Location_Direct_Discipline_Summary">'[10]Direct Discipline Summary'!$B$5</definedName>
    <definedName name="_Project_Location_Estimate_Composition">'[10]Estimate Composition'!$B$5</definedName>
    <definedName name="_Project_Location_Indirects">[10]Indirects!$B$5</definedName>
    <definedName name="_Project_Location_Installation_Details">'[10]Installation Details'!$B$5</definedName>
    <definedName name="_Project_Location_Installation_Details_Extended">'[12]Installation Details Extended'!$B$5</definedName>
    <definedName name="_Project_Location_Installation_Details_Full">'[10]Installation Details Full'!$B$5</definedName>
    <definedName name="_Project_Location_Item_Sumry__Std_Imp">'[13]Item Sumry - Std Imp'!$B$5</definedName>
    <definedName name="_Project_Location_Key_Quantities_By_TWC_Summary">'[10]Key Quantities by TWC Summary'!$C$5</definedName>
    <definedName name="_Project_Location_Key_Quantities_Summary">'[10]Key Quantities Summary'!$B$5</definedName>
    <definedName name="_Project_Location_List__Components">'[13]List - Components'!$B$5</definedName>
    <definedName name="_Project_Location_List__Equipment">'[15]List - Equipment'!$G$4</definedName>
    <definedName name="_Project_Location_Non_Capital_Estimate">'[10]Non Capital Estimate'!$B$5</definedName>
    <definedName name="_Project_Location_Proj_Cost_Summary">'[11]Proj Cost Summary'!$B$5</definedName>
    <definedName name="_Project_Location_Proj_Cost_Sumry" localSheetId="11">#REF!</definedName>
    <definedName name="_Project_Location_Proj_Cost_Sumry">#REF!</definedName>
    <definedName name="_Project_Location_Proj_TIC__Std_Imp">'[13]Proj TIC - Std Imp'!$B$5</definedName>
    <definedName name="_Project_Location_Project_Metrics">'[13]Project Metrics'!$L$4</definedName>
    <definedName name="_Project_Location_Scope_Summary_and_Schedule">'[10]Scope Summary and Schedule'!$B$5</definedName>
    <definedName name="_Project_Location_TDC_COA_Grp_Sumry">'[13]TDC COA Grp Sumry'!$I$4</definedName>
    <definedName name="_Project_Location_TDC_COA_Sumry">'[13]TDC COA Sumry'!$B$5</definedName>
    <definedName name="_Project_Location_TDC_Item_Dets">'[13]TDC Item Dets'!$L$4</definedName>
    <definedName name="_Project_Location_TDC_Item_DetsFull">'[13]TDC Item Dets-Full'!$R$4</definedName>
    <definedName name="_Project_Location_TDC_Item_DetsIPMFull">'[14]TDC Item Dets-IPM-Full'!$P$4</definedName>
    <definedName name="_Project_Location_TDC_Item_Sumry">'[13]TDC Item Sumry'!$L$4</definedName>
    <definedName name="_Project_Location_TDC_Key_Qty_Sumry">'[13]TDC Key Qty Sumry'!$H$4</definedName>
    <definedName name="_Project_Location_Term_Definitions">'[10]Term Definitions'!$C$5</definedName>
    <definedName name="_Project_Location_TWC_Summary">'[10]TWC Summary'!$C$5</definedName>
    <definedName name="_Project_Location_Unit_Costs__Std_Imp">'[13]Unit Costs - Std Imp'!$B$5</definedName>
    <definedName name="_Project_Location_Unit_MH__Std_Imp">'[13]Unit MH - Std Imp'!$B$5</definedName>
    <definedName name="_Project_Location_Wage_Rates">'[10]Wage Rates'!$B$5</definedName>
    <definedName name="_Project_Location_Wage_Rates_and_Issues" localSheetId="11">#REF!</definedName>
    <definedName name="_Project_Location_Wage_Rates_and_Issues">#REF!</definedName>
    <definedName name="_Project_Location_WBS_Summary">'[10]WBS Summary'!$B$5</definedName>
    <definedName name="_Project_Name_Allowances_and_Overheads">'[10]Allowances and Overheads'!$B$4</definedName>
    <definedName name="_Project_Name_Allowances_and_Overheads_IPM">'[10]Allowances and Overheads IPM'!$B$4</definedName>
    <definedName name="_Project_Name_Basis_of_Estimate">'[10]Basis of Estimate'!$B$4</definedName>
    <definedName name="_Project_Name_COA_Sumry__Std_Imp">'[13]COA Sumry - Std Imp'!$B$4</definedName>
    <definedName name="_Project_Name_COA_Sumry_by_Area">'[13]COA Sumry by Area'!$C$4</definedName>
    <definedName name="_Project_Name_COA_Sumry_by_Contr">'[13]COA Sumry by Contr'!$C$4</definedName>
    <definedName name="_Project_Name_COA_Sumry_by_RG">'[13]COA Sumry by RG'!$C$4</definedName>
    <definedName name="_Project_Name_Component_Details">'[10]Component Details'!$B$4</definedName>
    <definedName name="_Project_Name_Component_Details_by_User_Tag">'[10]Component Details by User Tag'!$B$4</definedName>
    <definedName name="_Project_Name_Component_Location_Details">'[10]Component Location Details'!$B$4</definedName>
    <definedName name="_Project_Name_Contr_TDC__Std_Imp">'[13]Contr TDC - Std Imp'!$B$4</definedName>
    <definedName name="_Project_Name_Cover_Page">'[10]Cover Page'!$B$4</definedName>
    <definedName name="_Project_Name_DA_Summary">'[10]DA Summary'!$B$4</definedName>
    <definedName name="_Project_Name_DA_TWC_Summary">'[10]DA TWC Summary'!$B$4</definedName>
    <definedName name="_Project_Name_Direct_Discipline_Summary">'[10]Direct Discipline Summary'!$B$4</definedName>
    <definedName name="_Project_Name_Estimate_Composition">'[10]Estimate Composition'!$B$4</definedName>
    <definedName name="_Project_Name_Indirects">[10]Indirects!$B$4</definedName>
    <definedName name="_Project_Name_Installation_Details">'[10]Installation Details'!$B$4</definedName>
    <definedName name="_Project_Name_Installation_Details_Extended">'[12]Installation Details Extended'!$B$4</definedName>
    <definedName name="_Project_Name_Installation_Details_Full">'[10]Installation Details Full'!$B$4</definedName>
    <definedName name="_Project_Name_Item_Sumry__Std_Imp">'[13]Item Sumry - Std Imp'!$B$4</definedName>
    <definedName name="_Project_Name_Key_Quantities_By_TWC_Summary">'[10]Key Quantities by TWC Summary'!$C$4</definedName>
    <definedName name="_Project_Name_Key_Quantities_Summary">'[10]Key Quantities Summary'!$B$4</definedName>
    <definedName name="_Project_Name_List__Components">'[13]List - Components'!$B$4</definedName>
    <definedName name="_Project_Name_List__Equipment">'[15]List - Equipment'!$B$4</definedName>
    <definedName name="_Project_Name_Non_Capital_Estimate">'[10]Non Capital Estimate'!$B$4</definedName>
    <definedName name="_Project_Name_Proj_Cost_Summary">'[11]Proj Cost Summary'!$B$4</definedName>
    <definedName name="_Project_Name_Proj_Cost_Sumry" localSheetId="11">#REF!</definedName>
    <definedName name="_Project_Name_Proj_Cost_Sumry">#REF!</definedName>
    <definedName name="_Project_Name_Proj_TIC__Std_Imp">'[13]Proj TIC - Std Imp'!$B$4</definedName>
    <definedName name="_Project_Name_Project_Metrics">'[13]Project Metrics'!$B$4</definedName>
    <definedName name="_Project_Name_Scope_Summary_and_Schedule">'[10]Scope Summary and Schedule'!$B$4</definedName>
    <definedName name="_Project_Name_TDC_COA_Grp_Sumry">'[13]TDC COA Grp Sumry'!$B$4</definedName>
    <definedName name="_Project_Name_TDC_COA_Sumry">'[13]TDC COA Sumry'!$B$4</definedName>
    <definedName name="_Project_Name_TDC_Item_Dets">'[13]TDC Item Dets'!$B$4</definedName>
    <definedName name="_Project_Name_TDC_Item_DetsFull">'[13]TDC Item Dets-Full'!$B$4</definedName>
    <definedName name="_Project_Name_TDC_Item_DetsIPMFull">'[14]TDC Item Dets-IPM-Full'!$B$4</definedName>
    <definedName name="_Project_Name_TDC_Item_Sumry">'[13]TDC Item Sumry'!$B$4</definedName>
    <definedName name="_Project_Name_TDC_Key_Qty_Sumry">'[13]TDC Key Qty Sumry'!$B$4</definedName>
    <definedName name="_Project_Name_Term_Definitions">'[10]Term Definitions'!$C$4</definedName>
    <definedName name="_Project_Name_TWC_Summary">'[10]TWC Summary'!$C$4</definedName>
    <definedName name="_Project_Name_Unit_Costs__Std_Imp">'[13]Unit Costs - Std Imp'!$B$4</definedName>
    <definedName name="_Project_Name_Unit_MH__Std_Imp">'[13]Unit MH - Std Imp'!$B$4</definedName>
    <definedName name="_Project_Name_Wage_Rates">'[10]Wage Rates'!$B$4</definedName>
    <definedName name="_Project_Name_Wage_Rates_and_Issues" localSheetId="11">#REF!</definedName>
    <definedName name="_Project_Name_Wage_Rates_and_Issues">#REF!</definedName>
    <definedName name="_Project_Name_WBS_Summary">'[10]WBS Summary'!$B$4</definedName>
    <definedName name="_Project_Title_Allowances_and_Overheads">'[10]Allowances and Overheads'!$B$3</definedName>
    <definedName name="_Project_Title_Allowances_and_Overheads_IPM">'[10]Allowances and Overheads IPM'!$B$3</definedName>
    <definedName name="_Project_Title_Basis_of_Estimate">'[10]Basis of Estimate'!$B$3</definedName>
    <definedName name="_Project_Title_COA_Sumry__Std_Imp">'[13]COA Sumry - Std Imp'!$B$3</definedName>
    <definedName name="_Project_Title_COA_Sumry_by_Area">'[13]COA Sumry by Area'!$C$3</definedName>
    <definedName name="_Project_Title_COA_Sumry_by_Contr">'[13]COA Sumry by Contr'!$C$3</definedName>
    <definedName name="_Project_Title_COA_Sumry_by_RG">'[13]COA Sumry by RG'!$C$3</definedName>
    <definedName name="_Project_Title_Component_Details">'[10]Component Details'!$B$3</definedName>
    <definedName name="_Project_Title_Component_Details_by_User_Tag">'[10]Component Details by User Tag'!$B$3</definedName>
    <definedName name="_Project_Title_Component_Location_Details">'[10]Component Location Details'!$B$3</definedName>
    <definedName name="_Project_Title_Contr_TDC__Std_Imp">'[13]Contr TDC - Std Imp'!$B$3</definedName>
    <definedName name="_Project_Title_Cover_Page">'[10]Cover Page'!$B$3</definedName>
    <definedName name="_Project_Title_DA_Summary">'[10]DA Summary'!$B$3</definedName>
    <definedName name="_Project_Title_DA_TWC_Summary">'[10]DA TWC Summary'!$B$3</definedName>
    <definedName name="_Project_Title_Direct_Discipline_Summary">'[10]Direct Discipline Summary'!$B$3</definedName>
    <definedName name="_Project_Title_Estimate_Composition">'[10]Estimate Composition'!$B$3</definedName>
    <definedName name="_Project_Title_Indirects">[10]Indirects!$B$3</definedName>
    <definedName name="_Project_Title_Installation_Details">'[10]Installation Details'!$B$3</definedName>
    <definedName name="_Project_Title_Installation_Details_Extended">'[12]Installation Details Extended'!$B$3</definedName>
    <definedName name="_Project_Title_Installation_Details_Full">'[10]Installation Details Full'!$B$3</definedName>
    <definedName name="_Project_Title_Item_Sumry__Std_Imp">'[13]Item Sumry - Std Imp'!$B$3</definedName>
    <definedName name="_Project_Title_Key_Quantities_By_TWC_Summary">'[10]Key Quantities by TWC Summary'!$C$3</definedName>
    <definedName name="_Project_Title_Key_Quantities_Summary">'[10]Key Quantities Summary'!$B$3</definedName>
    <definedName name="_Project_Title_List__Components">'[13]List - Components'!$B$3</definedName>
    <definedName name="_Project_Title_List__Equipment">'[15]List - Equipment'!$B$3</definedName>
    <definedName name="_Project_Title_Non_Capital_Estimate">'[10]Non Capital Estimate'!$B$3</definedName>
    <definedName name="_Project_Title_Proj_Cost_Summary">'[11]Proj Cost Summary'!$B$3</definedName>
    <definedName name="_Project_Title_Proj_Cost_Sumry" localSheetId="11">#REF!</definedName>
    <definedName name="_Project_Title_Proj_Cost_Sumry">#REF!</definedName>
    <definedName name="_Project_Title_Proj_TIC__Std_Imp">'[13]Proj TIC - Std Imp'!$B$3</definedName>
    <definedName name="_Project_Title_Project_Metrics">'[13]Project Metrics'!$B$3</definedName>
    <definedName name="_Project_Title_Scope_Summary_and_Schedule">'[10]Scope Summary and Schedule'!$B$3</definedName>
    <definedName name="_Project_Title_TDC_COA_Grp_Sumry">'[13]TDC COA Grp Sumry'!$B$3</definedName>
    <definedName name="_Project_Title_TDC_COA_Sumry">'[13]TDC COA Sumry'!$B$3</definedName>
    <definedName name="_Project_Title_TDC_Item_Dets">'[13]TDC Item Dets'!$B$3</definedName>
    <definedName name="_Project_Title_TDC_Item_DetsFull">'[13]TDC Item Dets-Full'!$B$3</definedName>
    <definedName name="_Project_Title_TDC_Item_DetsIPMFull">'[14]TDC Item Dets-IPM-Full'!$B$3</definedName>
    <definedName name="_Project_Title_TDC_Item_Sumry">'[13]TDC Item Sumry'!$B$3</definedName>
    <definedName name="_Project_Title_TDC_Key_Qty_Sumry">'[13]TDC Key Qty Sumry'!$B$3</definedName>
    <definedName name="_Project_Title_Term_Definitions">'[10]Term Definitions'!$C$3</definedName>
    <definedName name="_Project_Title_TWC_Summary">'[10]TWC Summary'!$C$3</definedName>
    <definedName name="_Project_Title_Unit_Costs__Std_Imp">'[13]Unit Costs - Std Imp'!$B$3</definedName>
    <definedName name="_Project_Title_Unit_MH__Std_Imp">'[13]Unit MH - Std Imp'!$B$3</definedName>
    <definedName name="_Project_Title_Wage_Rates">'[10]Wage Rates'!$B$3</definedName>
    <definedName name="_Project_Title_Wage_Rates_and_Issues" localSheetId="11">#REF!</definedName>
    <definedName name="_Project_Title_Wage_Rates_and_Issues">#REF!</definedName>
    <definedName name="_Project_Title_WBS_Summary">'[10]WBS Summary'!$B$3</definedName>
    <definedName name="_qty1" localSheetId="11">#REF!</definedName>
    <definedName name="_qty1">#REF!</definedName>
    <definedName name="_qty2" localSheetId="11">#REF!</definedName>
    <definedName name="_qty2">#REF!</definedName>
    <definedName name="_qty3" localSheetId="11">#REF!</definedName>
    <definedName name="_qty3">#REF!</definedName>
    <definedName name="_qty4">#REF!</definedName>
    <definedName name="_Regression_Int">1</definedName>
    <definedName name="_rim4" localSheetId="11">#REF!</definedName>
    <definedName name="_rim4">#REF!</definedName>
    <definedName name="_rm4" localSheetId="11">#REF!</definedName>
    <definedName name="_rm4">#REF!</definedName>
    <definedName name="_Scenario_Name_Allowances_and_Overheads">'[10]Allowances and Overheads'!$G$3</definedName>
    <definedName name="_Scenario_Name_Allowances_and_Overheads_IPM">'[10]Allowances and Overheads IPM'!$G$3</definedName>
    <definedName name="_Scenario_Name_Basis_of_Estimate">'[10]Basis of Estimate'!$G$3</definedName>
    <definedName name="_Scenario_Name_COA_Sumry__Std_Imp">'[13]COA Sumry - Std Imp'!$E$4</definedName>
    <definedName name="_Scenario_Name_COA_Sumry_by_Area">'[13]COA Sumry by Area'!$H$4</definedName>
    <definedName name="_Scenario_Name_COA_Sumry_by_Contr">'[13]COA Sumry by Contr'!$H$4</definedName>
    <definedName name="_Scenario_Name_COA_Sumry_by_RG">'[13]COA Sumry by RG'!$H$4</definedName>
    <definedName name="_Scenario_Name_Component_Details">'[10]Component Details'!$I$3</definedName>
    <definedName name="_Scenario_Name_Component_Details_by_User_Tag">'[10]Component Details by User Tag'!$I$3</definedName>
    <definedName name="_Scenario_Name_Component_Location_Details">'[10]Component Location Details'!$G$3</definedName>
    <definedName name="_Scenario_Name_Contr_TDC__Std_Imp">'[13]Contr TDC - Std Imp'!$F$4</definedName>
    <definedName name="_Scenario_Name_Cover_Page">'[10]Cover Page'!$G$3</definedName>
    <definedName name="_Scenario_Name_DA_Summary">'[10]DA Summary'!$F$3</definedName>
    <definedName name="_Scenario_Name_DA_TWC_Summary">'[10]DA TWC Summary'!$F$3</definedName>
    <definedName name="_Scenario_Name_Direct_Discipline_Summary">'[10]Direct Discipline Summary'!$F$3</definedName>
    <definedName name="_Scenario_Name_Estimate_Composition">'[10]Estimate Composition'!$F$3</definedName>
    <definedName name="_Scenario_Name_Indirects">[10]Indirects!$G$3</definedName>
    <definedName name="_Scenario_Name_Installation_Details">'[10]Installation Details'!$K$3</definedName>
    <definedName name="_Scenario_Name_Installation_Details_Extended">'[12]Installation Details Extended'!$M$3</definedName>
    <definedName name="_Scenario_Name_Installation_Details_Full">'[10]Installation Details Full'!$G$3</definedName>
    <definedName name="_Scenario_Name_Item_Sumry__Std_Imp">'[13]Item Sumry - Std Imp'!$H$4</definedName>
    <definedName name="_Scenario_Name_Key_Quantities_By_TWC_Summary">'[10]Key Quantities by TWC Summary'!$G$3</definedName>
    <definedName name="_Scenario_Name_Key_Quantities_Summary">'[10]Key Quantities Summary'!$F$3</definedName>
    <definedName name="_Scenario_Name_List__Components">'[13]List - Components'!$F$4</definedName>
    <definedName name="_Scenario_Name_List__Equipment">'[15]List - Equipment'!$D$4</definedName>
    <definedName name="_Scenario_Name_Non_Capital_Estimate">'[10]Non Capital Estimate'!$G$3</definedName>
    <definedName name="_Scenario_Name_Proj_Cost_Summary">'[11]Proj Cost Summary'!$F$4</definedName>
    <definedName name="_Scenario_Name_Proj_Cost_Sumry" localSheetId="11">#REF!</definedName>
    <definedName name="_Scenario_Name_Proj_Cost_Sumry">#REF!</definedName>
    <definedName name="_Scenario_Name_Proj_TIC__Std_Imp">'[13]Proj TIC - Std Imp'!$E$4</definedName>
    <definedName name="_Scenario_Name_Project_Metrics">'[13]Project Metrics'!$H$4</definedName>
    <definedName name="_Scenario_Name_Scope_Summary_and_Schedule">'[10]Scope Summary and Schedule'!$G$3</definedName>
    <definedName name="_Scenario_Name_TDC_COA_Grp_Sumry">'[13]TDC COA Grp Sumry'!$E$4</definedName>
    <definedName name="_Scenario_Name_TDC_COA_Sumry">'[13]TDC COA Sumry'!$F$4</definedName>
    <definedName name="_Scenario_Name_TDC_Item_Dets">'[13]TDC Item Dets'!$G$4</definedName>
    <definedName name="_Scenario_Name_TDC_Item_DetsFull">'[13]TDC Item Dets-Full'!$K$4</definedName>
    <definedName name="_Scenario_Name_TDC_Item_DetsIPMFull">'[14]TDC Item Dets-IPM-Full'!$I$4</definedName>
    <definedName name="_Scenario_Name_TDC_Item_Sumry">'[13]TDC Item Sumry'!$F$4</definedName>
    <definedName name="_Scenario_Name_TDC_Key_Qty_Sumry">'[13]TDC Key Qty Sumry'!$E$4</definedName>
    <definedName name="_Scenario_Name_Term_Definitions">'[10]Term Definitions'!$G$3</definedName>
    <definedName name="_Scenario_Name_TWC_Summary">'[10]TWC Summary'!$F$3</definedName>
    <definedName name="_Scenario_Name_Unit_Costs__Std_Imp">'[13]Unit Costs - Std Imp'!$E$4</definedName>
    <definedName name="_Scenario_Name_Unit_MH__Std_Imp">'[13]Unit MH - Std Imp'!$E$4</definedName>
    <definedName name="_Scenario_Name_Wage_Rates">'[10]Wage Rates'!$G$3</definedName>
    <definedName name="_Scenario_Name_Wage_Rates_and_Issues" localSheetId="11">#REF!</definedName>
    <definedName name="_Scenario_Name_Wage_Rates_and_Issues">#REF!</definedName>
    <definedName name="_Scenario_Name_WBS_Summary">'[10]WBS Summary'!$G$3</definedName>
    <definedName name="_SI_0_TDC_COASumry">'[13]COA Sumry - Std Imp'!$A$7</definedName>
    <definedName name="_SI_0_TDC_ContrSumry">'[13]Contr TDC - Std Imp'!$A$7</definedName>
    <definedName name="_SI_0_TDC_ItemSumry">'[13]Item Sumry - Std Imp'!$A$7</definedName>
    <definedName name="_SI_0_TDC_UnitCosts">'[13]Unit Costs - Std Imp'!$A$7</definedName>
    <definedName name="_SI_0_TDC_UnitMH">'[13]Unit MH - Std Imp'!$A$7</definedName>
    <definedName name="_SI_0_TIC_Overall">'[13]Proj TIC - Std Imp'!$A$7</definedName>
    <definedName name="_tp1855" localSheetId="11">#REF!</definedName>
    <definedName name="_tp1855">#REF!</definedName>
    <definedName name="_tp2362" localSheetId="11">#REF!</definedName>
    <definedName name="_tp2362">#REF!</definedName>
    <definedName name="_tp2403" localSheetId="11">#REF!</definedName>
    <definedName name="_tp2403">#REF!</definedName>
    <definedName name="_TR1">#REF!</definedName>
    <definedName name="_USD1">'[21]Exchange rate'!$B$5</definedName>
    <definedName name="_USD1011" localSheetId="11">#REF!</definedName>
    <definedName name="_USD1011">#REF!</definedName>
    <definedName name="a" localSheetId="11">[22]boq!#REF!</definedName>
    <definedName name="a">[22]boq!#REF!</definedName>
    <definedName name="A1_" localSheetId="11">#REF!</definedName>
    <definedName name="A1_">#REF!</definedName>
    <definedName name="A10_" localSheetId="11">#REF!</definedName>
    <definedName name="A10_">#REF!</definedName>
    <definedName name="A13_" localSheetId="11">#REF!</definedName>
    <definedName name="A13_">#REF!</definedName>
    <definedName name="A2_">#REF!</definedName>
    <definedName name="A3_">#REF!</definedName>
    <definedName name="A4_">#REF!</definedName>
    <definedName name="A5_">#REF!</definedName>
    <definedName name="A6_">#REF!</definedName>
    <definedName name="A7_">#REF!</definedName>
    <definedName name="A8_">#REF!</definedName>
    <definedName name="A9_">#REF!</definedName>
    <definedName name="aa">#REF!</definedName>
    <definedName name="aaa" localSheetId="11">[4]!aaa</definedName>
    <definedName name="aaa">[5]!aaa</definedName>
    <definedName name="aaaa" localSheetId="11">#REF!</definedName>
    <definedName name="aaaa">#REF!</definedName>
    <definedName name="aaaaa" localSheetId="11">[4]!aaaaa</definedName>
    <definedName name="aaaaa">[5]!aaaaa</definedName>
    <definedName name="aab" localSheetId="11">#REF!</definedName>
    <definedName name="aab">#REF!</definedName>
    <definedName name="abc" localSheetId="11">[4]!abc</definedName>
    <definedName name="abc">[5]!abc</definedName>
    <definedName name="abjhuy" localSheetId="11">#REF!</definedName>
    <definedName name="abjhuy">#REF!</definedName>
    <definedName name="abys" localSheetId="11">'[23]Fill this out first...'!#REF!</definedName>
    <definedName name="abys">'[23]Fill this out first...'!#REF!</definedName>
    <definedName name="AccountsPayables">[24]Calculations!$E$68:$AG$68</definedName>
    <definedName name="AccountsReceivable">[24]Calculations!$E$67:$AG$67</definedName>
    <definedName name="AccountsReceivables">[24]Calculations!$E$67:$AG$67</definedName>
    <definedName name="ACT">'[25]3MLKQ'!$A$3</definedName>
    <definedName name="ActivationRange">[26]Master!$O$1:$O$520</definedName>
    <definedName name="ActualCostOilTaken">[24]Calculations!$E$45:$AG$45</definedName>
    <definedName name="acv" localSheetId="11">#REF!</definedName>
    <definedName name="acv">#REF!</definedName>
    <definedName name="ad" localSheetId="11">'[23]Fill this out first...'!#REF!</definedName>
    <definedName name="ad">'[23]Fill this out first...'!#REF!</definedName>
    <definedName name="ads" localSheetId="11">#REF!</definedName>
    <definedName name="ads">#REF!</definedName>
    <definedName name="ahu" localSheetId="11">#REF!</definedName>
    <definedName name="ahu">#REF!</definedName>
    <definedName name="AL" localSheetId="11">#REF!</definedName>
    <definedName name="AL">#REF!</definedName>
    <definedName name="Alarm_current_Amp_In_Minutes">#REF!</definedName>
    <definedName name="ALF">#REF!</definedName>
    <definedName name="ALI">#REF!</definedName>
    <definedName name="ALL_SHEETS">[27]Insts!#REF!</definedName>
    <definedName name="Amit">'[23]Fill this out first...'!#REF!</definedName>
    <definedName name="Apr" localSheetId="11">#REF!</definedName>
    <definedName name="Apr">#REF!</definedName>
    <definedName name="aq" localSheetId="11">City&amp;" "&amp;State</definedName>
    <definedName name="aq">City&amp;" "&amp;State</definedName>
    <definedName name="AREA_CODE" localSheetId="11">#REF!</definedName>
    <definedName name="AREA_CODE">#REF!</definedName>
    <definedName name="ARGBAC">#REF!</definedName>
    <definedName name="AuthIndex">'[28]Component Index'!$E$3</definedName>
    <definedName name="AuthNo">'[28]Component Index'!$B$10:$B$12</definedName>
    <definedName name="AuthType">'[28]Component Index'!$A$10:$A$12</definedName>
    <definedName name="AUTO" localSheetId="11">[4]!AUTO</definedName>
    <definedName name="AUTO">[5]!AUTO</definedName>
    <definedName name="b" localSheetId="11">[22]boq!#REF!</definedName>
    <definedName name="b">[22]boq!#REF!</definedName>
    <definedName name="b6fv6fd" localSheetId="11">#REF!</definedName>
    <definedName name="b6fv6fd">#REF!</definedName>
    <definedName name="BB" localSheetId="11">#REF!</definedName>
    <definedName name="BB">#REF!</definedName>
    <definedName name="BBB" localSheetId="11">#REF!</definedName>
    <definedName name="BBB">#REF!</definedName>
    <definedName name="BELL__Polarised">#REF!</definedName>
    <definedName name="Bezel">'[29]Maping2008-8-26'!#REF!</definedName>
    <definedName name="BITSPILANI" localSheetId="11">#REF!</definedName>
    <definedName name="BITSPILANI">#REF!</definedName>
    <definedName name="BL" localSheetId="11">'[29]Maping2008-8-26'!#REF!</definedName>
    <definedName name="BL">'[29]Maping2008-8-26'!#REF!</definedName>
    <definedName name="BOD" localSheetId="11">#REF!</definedName>
    <definedName name="BOD">#REF!</definedName>
    <definedName name="BODY" localSheetId="11">#REF!</definedName>
    <definedName name="BODY">#REF!</definedName>
    <definedName name="BonusPaymentIn">[24]Inputs!$E$15:$AG$15</definedName>
    <definedName name="BookDepreciationUoP">[24]Calculations!$E$82:$AG$82</definedName>
    <definedName name="box_speaker" localSheetId="11">#REF!</definedName>
    <definedName name="box_speaker">#REF!</definedName>
    <definedName name="BPReserves">[24]Inputs!$J$12</definedName>
    <definedName name="BPWorkingInterestIn">[24]Inputs!$D$53</definedName>
    <definedName name="Budget" localSheetId="11" hidden="1">{#N/A,#N/A,TRUE,"Front";#N/A,#N/A,TRUE,"Simple Letter";#N/A,#N/A,TRUE,"Inside";#N/A,#N/A,TRUE,"Contents";#N/A,#N/A,TRUE,"Basis";#N/A,#N/A,TRUE,"Inclusions";#N/A,#N/A,TRUE,"Exclusions";#N/A,#N/A,TRUE,"Areas";#N/A,#N/A,TRUE,"Summary";#N/A,#N/A,TRUE,"Detail"}</definedName>
    <definedName name="Budget" hidden="1">{#N/A,#N/A,TRUE,"Front";#N/A,#N/A,TRUE,"Simple Letter";#N/A,#N/A,TRUE,"Inside";#N/A,#N/A,TRUE,"Contents";#N/A,#N/A,TRUE,"Basis";#N/A,#N/A,TRUE,"Inclusions";#N/A,#N/A,TRUE,"Exclusions";#N/A,#N/A,TRUE,"Areas";#N/A,#N/A,TRUE,"Summary";#N/A,#N/A,TRUE,"Detail"}</definedName>
    <definedName name="BudgetRange">[26]Master!$X$1:$X$516</definedName>
    <definedName name="BuiltIn_Print_Area___0" localSheetId="11">#REF!</definedName>
    <definedName name="BuiltIn_Print_Area___0">#REF!</definedName>
    <definedName name="Busduct" localSheetId="11">'[30]PRICE-COMP'!#REF!</definedName>
    <definedName name="Busduct">'[30]PRICE-COMP'!#REF!</definedName>
    <definedName name="Bwall" localSheetId="11" hidden="1">{"CASH FLOW",#N/A,FALSE,"A"}</definedName>
    <definedName name="Bwall" hidden="1">{"CASH FLOW",#N/A,FALSE,"A"}</definedName>
    <definedName name="bxevxed" localSheetId="11">#REF!</definedName>
    <definedName name="bxevxed">#REF!</definedName>
    <definedName name="bxnvxnd" localSheetId="11">#REF!</definedName>
    <definedName name="bxnvxnd">#REF!</definedName>
    <definedName name="cab21.5tp" localSheetId="11">#REF!</definedName>
    <definedName name="cab21.5tp">#REF!</definedName>
    <definedName name="cab21s">#REF!</definedName>
    <definedName name="cab21us">#REF!</definedName>
    <definedName name="cab31s">#REF!</definedName>
    <definedName name="cab31us">#REF!</definedName>
    <definedName name="cab41s">#REF!</definedName>
    <definedName name="cab41us">#REF!</definedName>
    <definedName name="caba">#REF!</definedName>
    <definedName name="caba1">#REF!</definedName>
    <definedName name="cabf">#REF!</definedName>
    <definedName name="cabinet">#REF!</definedName>
    <definedName name="CABLES">[27]Insts!#REF!</definedName>
    <definedName name="CALf" localSheetId="11">#REF!</definedName>
    <definedName name="CALf">#REF!</definedName>
    <definedName name="CapexBonusIn">[24]Inputs!$E$15:$AG$15</definedName>
    <definedName name="CapexBonusPayment">[24]Calculations!$E$29:$AG$29</definedName>
    <definedName name="CapexBonusPaymentIn">[24]Inputs!$E$15:$AG$15</definedName>
    <definedName name="CapexD_CIn">[24]Inputs!$E$18:$AG$18</definedName>
    <definedName name="CapexExp_AppraisalIn">[24]Inputs!$E$16:$AG$16</definedName>
    <definedName name="CapexExpl_AppraisalIn">[24]Inputs!$E$16:$AG$16</definedName>
    <definedName name="CapexFPSOIn">[24]Inputs!$E$20:$AG$20</definedName>
    <definedName name="CapexOwner_sCostsIn">[24]Inputs!$E$22:$AG$22</definedName>
    <definedName name="CapexOwnersCostsIn">[24]Inputs!$E$22:$AG$22</definedName>
    <definedName name="CapexPSADepreciation">[24]Calculations!$E$37:$AG$37</definedName>
    <definedName name="CapexSURFIn">[24]Inputs!$E$21:$AG$21</definedName>
    <definedName name="CapexUpliftPerctgIn">[24]Inputs!$D$36</definedName>
    <definedName name="CapexWellworkIn">[24]Inputs!$E$19:$AG$19</definedName>
    <definedName name="cbhg" localSheetId="11">[22]boq!#REF!</definedName>
    <definedName name="cbhg">[22]boq!#REF!</definedName>
    <definedName name="cca" localSheetId="11">#REF!</definedName>
    <definedName name="cca">#REF!</definedName>
    <definedName name="CCAuth" localSheetId="11">#REF!</definedName>
    <definedName name="CCAuth">#REF!</definedName>
    <definedName name="CCBudg" localSheetId="11">#REF!</definedName>
    <definedName name="CCBudg">#REF!</definedName>
    <definedName name="ccc">#REF!</definedName>
    <definedName name="CCCom">#REF!</definedName>
    <definedName name="CCCtrl">#REF!</definedName>
    <definedName name="cci">#REF!</definedName>
    <definedName name="CCITC">#REF!</definedName>
    <definedName name="CCLTD">#REF!</definedName>
    <definedName name="CCLTDCom">#REF!</definedName>
    <definedName name="CCMth">#REF!</definedName>
    <definedName name="ccs">'[31]sc-mar2000'!$B$1:$AF$29</definedName>
    <definedName name="ccv" localSheetId="11">#REF!</definedName>
    <definedName name="ccv">#REF!</definedName>
    <definedName name="CCYTD" localSheetId="11">#REF!</definedName>
    <definedName name="CCYTD">#REF!</definedName>
    <definedName name="cDate">[26]Menu!$J$4</definedName>
    <definedName name="cDay">[26]Menu!$M$4</definedName>
    <definedName name="CDWSSM" localSheetId="11">#REF!</definedName>
    <definedName name="CDWSSM">#REF!</definedName>
    <definedName name="CDWSSP" localSheetId="11">#REF!</definedName>
    <definedName name="CDWSSP">#REF!</definedName>
    <definedName name="Ceiling_speaker" localSheetId="11">#REF!</definedName>
    <definedName name="Ceiling_speaker">#REF!</definedName>
    <definedName name="Ceiling_Speaker_Unsupervised">#REF!</definedName>
    <definedName name="cfl" localSheetId="11" hidden="1">{"CASH FLOW",#N/A,FALSE,"A"}</definedName>
    <definedName name="cfl" hidden="1">{"CASH FLOW",#N/A,FALSE,"A"}</definedName>
    <definedName name="cflo" localSheetId="11" hidden="1">{"CASH FLOW",#N/A,FALSE,"A"}</definedName>
    <definedName name="cflo" hidden="1">{"CASH FLOW",#N/A,FALSE,"A"}</definedName>
    <definedName name="cflo1" localSheetId="11" hidden="1">{"CASH FLOW",#N/A,FALSE,"A"}</definedName>
    <definedName name="cflo1" hidden="1">{"CASH FLOW",#N/A,FALSE,"A"}</definedName>
    <definedName name="ChangeLogCCCtrl">'[32]Change Order Details'!$L$8:$L$38</definedName>
    <definedName name="ChangeLogStatus">'[32]Change Order Details'!$D$8:$D$38</definedName>
    <definedName name="ChangeLogWBS">'[32]Change Order Details'!$H$8:$H$38</definedName>
    <definedName name="Channel_data_full">'[33]by channel_Total'!$B$4:$AU$105</definedName>
    <definedName name="Channel_header">'[33]by channel_baseline'!$B$1:$CQ$1</definedName>
    <definedName name="ChartStartCell">[28]Charts!$A$4</definedName>
    <definedName name="Chemicals" localSheetId="11">#REF!</definedName>
    <definedName name="Chemicals">#REF!</definedName>
    <definedName name="CHF" localSheetId="11">#REF!</definedName>
    <definedName name="CHF">#REF!</definedName>
    <definedName name="CHFRMB" localSheetId="11">[34]Factor!#REF!</definedName>
    <definedName name="CHFRMB">[34]Factor!#REF!</definedName>
    <definedName name="chiller" localSheetId="11">#REF!</definedName>
    <definedName name="chiller">#REF!</definedName>
    <definedName name="CIVIL_WORKS" localSheetId="11">[27]Insts!#REF!</definedName>
    <definedName name="CIVIL_WORKS">[27]Insts!#REF!</definedName>
    <definedName name="CLEAN_ROOM_PARTITION_WALLS_WITH__INBUILT_RETURN_AIR_RISERS__AND_WALK_ON_FALSE_CEILING_INCLUDING_DOORS__VIEW_PANELS__CUTOUTS_FOR_LIGHTS__DIFFUSERS_AND__RETURN_AIR_RISERS" localSheetId="11">#REF!</definedName>
    <definedName name="CLEAN_ROOM_PARTITION_WALLS_WITH__INBUILT_RETURN_AIR_RISERS__AND_WALK_ON_FALSE_CEILING_INCLUDING_DOORS__VIEW_PANELS__CUTOUTS_FOR_LIGHTS__DIFFUSERS_AND__RETURN_AIR_RISERS">#REF!</definedName>
    <definedName name="CLIENT" localSheetId="11">#REF!</definedName>
    <definedName name="CLIENT">#REF!</definedName>
    <definedName name="ClosingFixedAssets">[24]Calculations!$E$83:$AG$83</definedName>
    <definedName name="cMonth">[26]Menu!$L$4</definedName>
    <definedName name="CNY">[35]Remarks!$E$11</definedName>
    <definedName name="CODES" localSheetId="11">#REF!</definedName>
    <definedName name="CODES">#REF!</definedName>
    <definedName name="COLUMNHIDE" localSheetId="11">#REF!,#REF!,#REF!,#REF!,#REF!,#REF!</definedName>
    <definedName name="COLUMNHIDE">#REF!,#REF!,#REF!,#REF!,#REF!,#REF!</definedName>
    <definedName name="coma" localSheetId="11">#REF!</definedName>
    <definedName name="coma">#REF!</definedName>
    <definedName name="CompDate">[28]Input!$B$22</definedName>
    <definedName name="condf" localSheetId="11">#REF!</definedName>
    <definedName name="condf">#REF!</definedName>
    <definedName name="conf" localSheetId="11">#REF!</definedName>
    <definedName name="conf">#REF!</definedName>
    <definedName name="CONT" localSheetId="11">#REF!</definedName>
    <definedName name="CONT">#REF!</definedName>
    <definedName name="CorporationTaxIn">[24]Inputs!$D$45</definedName>
    <definedName name="CorporationTaxRateIn">[24]Inputs!$D$45</definedName>
    <definedName name="COST" localSheetId="11">[36]Pricing!#REF!</definedName>
    <definedName name="COST">[36]Pricing!#REF!</definedName>
    <definedName name="COST_SUMMARY" localSheetId="11">#REF!</definedName>
    <definedName name="COST_SUMMARY">#REF!</definedName>
    <definedName name="CostCarriedForward">[24]Calculations!$E$44:$AG$44</definedName>
    <definedName name="costs" localSheetId="11">#REF!</definedName>
    <definedName name="costs">#REF!</definedName>
    <definedName name="_xlnm.Criteria" localSheetId="11">#REF!</definedName>
    <definedName name="_xlnm.Criteria">#REF!</definedName>
    <definedName name="CRITERIA_AC">'[37]DATABASE CRITERIA'!$T$4:$T$5</definedName>
    <definedName name="CRITERIA_ALLOW">'[37]DATABASE CRITERIA'!$AD$4:$AD$5</definedName>
    <definedName name="CRITERIA_BLDG">'[37]DATABASE CRITERIA'!$S$4:$S$5</definedName>
    <definedName name="CRITERIA_DCS">'[37]DATABASE CRITERIA'!$N$4:$N$5</definedName>
    <definedName name="CRITERIA_DR">'[37]DATABASE CRITERIA'!$V$4:$V$5</definedName>
    <definedName name="CRITERIA_EE">'[37]DATABASE CRITERIA'!$B$4:$B$5</definedName>
    <definedName name="CRITERIA_EEGCS">'[37]DATABASE CRITERIA'!$D$4:$D$5</definedName>
    <definedName name="CRITERIA_ELECT">'[37]DATABASE CRITERIA'!$O$4:$O$5</definedName>
    <definedName name="CRITERIA_ELM">'[37]DATABASE CRITERIA'!$Q$4:$Q$5</definedName>
    <definedName name="CRITERIA_EQINSUL">'[37]DATABASE CRITERIA'!$G$4:$G$5</definedName>
    <definedName name="CRITERIA_EWO">'[37]DATABASE CRITERIA'!$AB$4:$AB$5</definedName>
    <definedName name="CRITERIA_EXISTEQ">'[37]DATABASE CRITERIA'!$C$4:$C$5</definedName>
    <definedName name="CRITERIA_FDN">'[37]DATABASE CRITERIA'!$I$4:$I$5</definedName>
    <definedName name="CRITERIA_FE">'[37]DATABASE CRITERIA'!$H$4:$H$5</definedName>
    <definedName name="CRITERIA_FMFL">'[37]DATABASE CRITERIA'!$F$4:$F$5</definedName>
    <definedName name="CRITERIA_FRTDUTY">'[37]DATABASE CRITERIA'!$W$4:$W$5</definedName>
    <definedName name="CRITERIA_INSTR">'[37]DATABASE CRITERIA'!$M$4:$M$5</definedName>
    <definedName name="CRITERIA_LCP">'[37]DATABASE CRITERIA'!$AG$4:$AG$5</definedName>
    <definedName name="CRITERIA_LI">'[37]DATABASE CRITERIA'!$X$4:$X$5</definedName>
    <definedName name="CRITERIA_LM">'[37]DATABASE CRITERIA'!$R$4:$R$5</definedName>
    <definedName name="CRITERIA_MCC">'[37]DATABASE CRITERIA'!$P$4:$P$5</definedName>
    <definedName name="Criteria_MI" localSheetId="11">#REF!</definedName>
    <definedName name="Criteria_MI">#REF!</definedName>
    <definedName name="CRITERIA_MISCEQ">'[37]DATABASE CRITERIA'!$E$4:$E$5</definedName>
    <definedName name="CRITERIA_NONCAP">'[37]DATABASE CRITERIA'!$AF$4:$AF$5</definedName>
    <definedName name="CRITERIA_PAGESUB">'[37]DATABASE CRITERIA'!$AE$4:$AE$5</definedName>
    <definedName name="CRITERIA_PGS">'[37]DATABASE CRITERIA'!$U$4:$U$5</definedName>
    <definedName name="CRITERIA_PIPE">'[37]DATABASE CRITERIA'!$L$4:$L$5</definedName>
    <definedName name="CRITERIA_PL">'[37]DATABASE CRITERIA'!$AA$4:$AA$5</definedName>
    <definedName name="CRITERIA_PLTF">'[37]DATABASE CRITERIA'!$K$4:$K$5</definedName>
    <definedName name="CRITERIA_PORT">'[37]DATABASE CRITERIA'!$Y$4:$Y$5</definedName>
    <definedName name="CRITERIA_SPARE">'[37]DATABASE CRITERIA'!$Z$4:$Z$5</definedName>
    <definedName name="CRITERIA_SPEC">'[37]DATABASE CRITERIA'!$AC$4:$AC$5</definedName>
    <definedName name="CRITERIA_SUPP">'[37]DATABASE CRITERIA'!$J$4:$J$5</definedName>
    <definedName name="CrudeOilPrice">[24]Calculations!$E$15:$AG$15</definedName>
    <definedName name="CrudeOilPriceIn">[24]Inputs!$D$28</definedName>
    <definedName name="CumAmt">[28]Output!$F$3</definedName>
    <definedName name="cYear">[26]Menu!$K$4</definedName>
    <definedName name="d" localSheetId="11">'[23]Fill this out first...'!#REF!</definedName>
    <definedName name="d">'[23]Fill this out first...'!#REF!</definedName>
    <definedName name="D206xE206" localSheetId="11">'[38]p&amp;m'!#REF!</definedName>
    <definedName name="D206xE206">'[38]p&amp;m'!#REF!</definedName>
    <definedName name="data">'[39]labour coeff'!$A$3:$S$74</definedName>
    <definedName name="_xlnm.Database" localSheetId="11">#REF!</definedName>
    <definedName name="_xlnm.Database">#REF!</definedName>
    <definedName name="Database_MI" localSheetId="11">#REF!</definedName>
    <definedName name="Database_MI">#REF!</definedName>
    <definedName name="DataIndex">'[28]Component Index'!$E$1</definedName>
    <definedName name="DataNo">'[28]Component Index'!$B$2:$B$3</definedName>
    <definedName name="DataType">'[28]Component Index'!$A$2:$A$3</definedName>
    <definedName name="Date">'[23]Fill this out first...'!$D$14</definedName>
    <definedName name="DaysPayable">'[40]General Assumptions'!$C$10:$Q$10</definedName>
    <definedName name="DaysYear">'[40]Location Assumptions'!$C$59:$Q$59</definedName>
    <definedName name="dd" localSheetId="11">#REF!</definedName>
    <definedName name="dd">#REF!</definedName>
    <definedName name="ddd" localSheetId="11">#REF!</definedName>
    <definedName name="ddd">#REF!</definedName>
    <definedName name="dec" localSheetId="11">City&amp;" "&amp;State</definedName>
    <definedName name="dec">City&amp;" "&amp;State</definedName>
    <definedName name="decf" localSheetId="11">City&amp;" "&amp;State</definedName>
    <definedName name="decf">City&amp;" "&amp;State</definedName>
    <definedName name="DecisionYearIn">[24]Inputs!$D$10</definedName>
    <definedName name="deg" localSheetId="11">#REF!</definedName>
    <definedName name="deg">#REF!</definedName>
    <definedName name="DEL_HEADER" localSheetId="11">#REF!</definedName>
    <definedName name="DEL_HEADER">#REF!</definedName>
    <definedName name="DEMOLISION_INST" localSheetId="11">#REF!</definedName>
    <definedName name="DEMOLISION_INST">#REF!</definedName>
    <definedName name="DepreciableCapex">[24]Calculations!$E$73:$AG$73</definedName>
    <definedName name="DEPTH" localSheetId="11">#REF!</definedName>
    <definedName name="DEPTH">#REF!</definedName>
    <definedName name="DetailStartCell">[28]Output!$D$3</definedName>
    <definedName name="dinesh2012" localSheetId="11">[4]!dinesh2012</definedName>
    <definedName name="dinesh2012">[5]!dinesh2012</definedName>
    <definedName name="DiscountFactor">[24]Calculations!$E$9:$AG$9</definedName>
    <definedName name="DiscountRateIn">[24]Inputs!$D$57</definedName>
    <definedName name="DOW_CORNING_789_SILICONE_SEALANT" localSheetId="11">#REF!</definedName>
    <definedName name="DOW_CORNING_789_SILICONE_SEALANT">#REF!</definedName>
    <definedName name="downspout" localSheetId="11">#REF!</definedName>
    <definedName name="downspout">#REF!</definedName>
    <definedName name="DPMDAllOtherNCAuth" localSheetId="11">#REF!</definedName>
    <definedName name="DPMDAllOtherNCAuth">#REF!</definedName>
    <definedName name="DPMDAllOtherNCITC">#REF!</definedName>
    <definedName name="DPMDBusiness">#REF!</definedName>
    <definedName name="DPMDCapexID">#REF!</definedName>
    <definedName name="DPMDCapPlusNCAuth">#REF!</definedName>
    <definedName name="DPMDCapPlusNCITC">#REF!</definedName>
    <definedName name="DPMDConstrPhysComplete">#REF!</definedName>
    <definedName name="DPMDConstrStartAuth">#REF!</definedName>
    <definedName name="DPMDConstrStartPA">#REF!</definedName>
    <definedName name="DPMDContingencyAuth">#REF!</definedName>
    <definedName name="DPMDContingencyITC">#REF!</definedName>
    <definedName name="DPMDCurrency">#REF!</definedName>
    <definedName name="DPMDDesignPhyComplete">#REF!</definedName>
    <definedName name="DPMDDesignResponsibility">#REF!</definedName>
    <definedName name="DPMDEEAuth">#REF!</definedName>
    <definedName name="DPMDEEITC">#REF!</definedName>
    <definedName name="DPMDEHOContractorAuth">#REF!</definedName>
    <definedName name="DPMDEHOContractorITC">#REF!</definedName>
    <definedName name="DPMDEHODuPontAuth">#REF!</definedName>
    <definedName name="DPMDEHODuPontITC">#REF!</definedName>
    <definedName name="DPMDEngineeringMgr">#REF!</definedName>
    <definedName name="DPMDFELContractorAuth">#REF!</definedName>
    <definedName name="DPMDFELContractorITC">#REF!</definedName>
    <definedName name="DPMDFELDuPontAuth">#REF!</definedName>
    <definedName name="DPMDFELDuPontITC">#REF!</definedName>
    <definedName name="DPMDFLAuth">#REF!</definedName>
    <definedName name="DPMDFLITC">#REF!</definedName>
    <definedName name="DPMDFMAuth">#REF!</definedName>
    <definedName name="DPMDFMITC">#REF!</definedName>
    <definedName name="DPMDGate1Auth">#REF!</definedName>
    <definedName name="DPMDGate1PA">#REF!</definedName>
    <definedName name="DPMDGate2Auth">#REF!</definedName>
    <definedName name="DPMDGate2PA">#REF!</definedName>
    <definedName name="DPMDGate3Auth">#REF!</definedName>
    <definedName name="DPMDGate3Auth1">'[41]DPMD-1'!$G$52</definedName>
    <definedName name="DPMDGate3PA" localSheetId="11">#REF!</definedName>
    <definedName name="DPMDGate3PA">#REF!</definedName>
    <definedName name="DPMDGate3PA1">'[41]DPMD-1'!$I$52</definedName>
    <definedName name="DPMDIFCAuth" localSheetId="11">#REF!</definedName>
    <definedName name="DPMDIFCAuth">#REF!</definedName>
    <definedName name="DPMDIFCAuth1">'[41]DPMD-1'!$G$28</definedName>
    <definedName name="DPMDIFCITC" localSheetId="11">#REF!</definedName>
    <definedName name="DPMDIFCITC">#REF!</definedName>
    <definedName name="DPMDIFCITC1">'[41]DPMD-1'!$I$28</definedName>
    <definedName name="DPMDLSUPAuth" localSheetId="11">#REF!</definedName>
    <definedName name="DPMDLSUPAuth">#REF!</definedName>
    <definedName name="DPMDLSUPAuth1">'[41]DPMD-1'!$G$29</definedName>
    <definedName name="DPMDLSUPITC" localSheetId="11">#REF!</definedName>
    <definedName name="DPMDLSUPITC">#REF!</definedName>
    <definedName name="DPMDLSUPITC1">'[41]DPMD-1'!$I$29</definedName>
    <definedName name="DPMDMechComplAuth" localSheetId="11">#REF!</definedName>
    <definedName name="DPMDMechComplAuth">#REF!</definedName>
    <definedName name="DPMDMechComplAuth1">'[41]DPMD-1'!$G$56</definedName>
    <definedName name="DPMDMechComplPA" localSheetId="11">#REF!</definedName>
    <definedName name="DPMDMechComplPA">#REF!</definedName>
    <definedName name="DPMDMechComplPA1">'[41]DPMD-1'!$I$56</definedName>
    <definedName name="DPMDPCNAuth" localSheetId="11">#REF!</definedName>
    <definedName name="DPMDPCNAuth">#REF!</definedName>
    <definedName name="DPMDPCNAuth1">'[41]DPMD-1'!$G$58</definedName>
    <definedName name="DPMDPCNPA" localSheetId="11">#REF!</definedName>
    <definedName name="DPMDPCNPA">#REF!</definedName>
    <definedName name="DPMDPCNPA1">'[41]DPMD-1'!$I$58</definedName>
    <definedName name="DPMDProdDesignCompleteAuth" localSheetId="11">#REF!</definedName>
    <definedName name="DPMDProdDesignCompleteAuth">#REF!</definedName>
    <definedName name="DPMDProdDesignCompletePA" localSheetId="11">#REF!</definedName>
    <definedName name="DPMDProdDesignCompletePA">#REF!</definedName>
    <definedName name="DPMDProjAuth" localSheetId="11">#REF!</definedName>
    <definedName name="DPMDProjAuth">#REF!</definedName>
    <definedName name="DPMDProjAuthPA">#REF!</definedName>
    <definedName name="DPMDProjectLeader">#REF!</definedName>
    <definedName name="DPMDProjectNumber">#REF!</definedName>
    <definedName name="DPMDProjectTitle">#REF!</definedName>
    <definedName name="DPMDSite">#REF!</definedName>
    <definedName name="DPMDStartupAuth">#REF!</definedName>
    <definedName name="DPMDStartupPA">#REF!</definedName>
    <definedName name="DPMDTotalCapAuth">#REF!</definedName>
    <definedName name="DPMDTotalCapITC">#REF!</definedName>
    <definedName name="DPMDTotalNCAuth">#REF!</definedName>
    <definedName name="DPMDTotalNCITC">#REF!</definedName>
    <definedName name="DPMDUpdatedBy">#REF!</definedName>
    <definedName name="DPMDUpdatedDate">#REF!</definedName>
    <definedName name="DRIVER">#REF!</definedName>
    <definedName name="Drwgreg" localSheetId="11" hidden="1">{#N/A,#N/A,TRUE,"Front";#N/A,#N/A,TRUE,"Simple Letter";#N/A,#N/A,TRUE,"Inside";#N/A,#N/A,TRUE,"Contents";#N/A,#N/A,TRUE,"Basis";#N/A,#N/A,TRUE,"Inclusions";#N/A,#N/A,TRUE,"Exclusions";#N/A,#N/A,TRUE,"Areas";#N/A,#N/A,TRUE,"Summary";#N/A,#N/A,TRUE,"Detail"}</definedName>
    <definedName name="Drwgreg" hidden="1">{#N/A,#N/A,TRUE,"Front";#N/A,#N/A,TRUE,"Simple Letter";#N/A,#N/A,TRUE,"Inside";#N/A,#N/A,TRUE,"Contents";#N/A,#N/A,TRUE,"Basis";#N/A,#N/A,TRUE,"Inclusions";#N/A,#N/A,TRUE,"Exclusions";#N/A,#N/A,TRUE,"Areas";#N/A,#N/A,TRUE,"Summary";#N/A,#N/A,TRUE,"Detail"}</definedName>
    <definedName name="ds" localSheetId="11">#REF!</definedName>
    <definedName name="ds">#REF!</definedName>
    <definedName name="dsdud" localSheetId="11">#REF!</definedName>
    <definedName name="dsdud">#REF!</definedName>
    <definedName name="dukhan" localSheetId="11">#REF!</definedName>
    <definedName name="dukhan">#REF!</definedName>
    <definedName name="DUMMY">#REF!</definedName>
    <definedName name="DuPontBusinesses">#REF!</definedName>
    <definedName name="E">#REF!</definedName>
    <definedName name="EARTHING_MATERI">[27]Insts!#REF!</definedName>
    <definedName name="ee" localSheetId="11">#REF!</definedName>
    <definedName name="ee">#REF!</definedName>
    <definedName name="eeee" localSheetId="11">#REF!</definedName>
    <definedName name="eeee">#REF!</definedName>
    <definedName name="EF">'[25]3MLKQ'!$D$3</definedName>
    <definedName name="EFA" localSheetId="11">'[25]3MLKQ'!#REF!</definedName>
    <definedName name="EFA">'[25]3MLKQ'!#REF!</definedName>
    <definedName name="eg" localSheetId="11">#REF!</definedName>
    <definedName name="eg">#REF!</definedName>
    <definedName name="egt301d" localSheetId="11">#REF!</definedName>
    <definedName name="egt301d">#REF!</definedName>
    <definedName name="egt330d" localSheetId="11">#REF!</definedName>
    <definedName name="egt330d">#REF!</definedName>
    <definedName name="ELE_CODE">#REF!</definedName>
    <definedName name="election">#REF!</definedName>
    <definedName name="ElectricityCostkwh">'[42]General Assumptions'!#REF!</definedName>
    <definedName name="EndYearOfPSAIn">[24]Inputs!$D$12</definedName>
    <definedName name="EQ" localSheetId="11">'[43]Detailed Report'!#REF!</definedName>
    <definedName name="EQ">'[43]Detailed Report'!#REF!</definedName>
    <definedName name="eqjwd" localSheetId="11">#REF!</definedName>
    <definedName name="eqjwd">#REF!</definedName>
    <definedName name="EQUIPMENT_DESIG" localSheetId="11">#REF!</definedName>
    <definedName name="EQUIPMENT_DESIG">#REF!</definedName>
    <definedName name="EQUIPMENT_NO." localSheetId="11">#REF!</definedName>
    <definedName name="EQUIPMENT_NO.">#REF!</definedName>
    <definedName name="eqwf" localSheetId="11">[4]!eqwf</definedName>
    <definedName name="eqwf">[5]!eqwf</definedName>
    <definedName name="Es">'[25]3MLKQ'!$C$3</definedName>
    <definedName name="ESA" localSheetId="11">'[25]3MLKQ'!#REF!</definedName>
    <definedName name="ESA">'[25]3MLKQ'!#REF!</definedName>
    <definedName name="escalation">[44]Remarks!$F$20</definedName>
    <definedName name="eses" localSheetId="11">#REF!</definedName>
    <definedName name="eses">#REF!</definedName>
    <definedName name="eseses" localSheetId="11">#REF!</definedName>
    <definedName name="eseses">#REF!</definedName>
    <definedName name="estim" localSheetId="11">'[45]Cost summary'!#REF!</definedName>
    <definedName name="estim">'[45]Cost summary'!#REF!</definedName>
    <definedName name="ESTIMATE" localSheetId="11">'[45]Cost summary'!#REF!</definedName>
    <definedName name="ESTIMATE">'[45]Cost summary'!#REF!</definedName>
    <definedName name="Estimate_Class" localSheetId="11">#REF!</definedName>
    <definedName name="Estimate_Class">#REF!</definedName>
    <definedName name="EstType">[28]Output!$B$11</definedName>
    <definedName name="eu" localSheetId="11">#REF!</definedName>
    <definedName name="eu">#REF!</definedName>
    <definedName name="EUR" localSheetId="11">#REF!</definedName>
    <definedName name="EUR">#REF!</definedName>
    <definedName name="EURMB">[46]Factor!$D$6</definedName>
    <definedName name="EURO">[47]Factor!$D$2</definedName>
    <definedName name="EV__LASTREFTIME__" hidden="1">43901.5720138889</definedName>
    <definedName name="Excel_BuiltIn_Print_Area_1" localSheetId="11">#REF!</definedName>
    <definedName name="Excel_BuiltIn_Print_Area_1">#REF!</definedName>
    <definedName name="Excel_BuiltIn_Print_Area_1_1" localSheetId="11">#REF!</definedName>
    <definedName name="Excel_BuiltIn_Print_Area_1_1">#REF!</definedName>
    <definedName name="Excel_BuiltIn_Print_Area_1_1_1" localSheetId="11">#REF!</definedName>
    <definedName name="Excel_BuiltIn_Print_Area_1_1_1">#REF!</definedName>
    <definedName name="Excel_BuiltIn_Print_Area_1_1_1_1">#REF!</definedName>
    <definedName name="Excel_BuiltIn_Print_Area_1_1_1_1_1">#REF!</definedName>
    <definedName name="Excel_BuiltIn_Print_Area_1_1_1_1_1_1">#REF!</definedName>
    <definedName name="Excel_BuiltIn_Print_Area_1_1_1_1_1_1_1">#REF!</definedName>
    <definedName name="Excel_BuiltIn_Print_Area_1_1_1_1_1_1_1_1_1">#REF!</definedName>
    <definedName name="Excel_BuiltIn_Print_Area_1_1_1_1_1_1_1_1_1_1">#REF!</definedName>
    <definedName name="Excel_BuiltIn_Print_Area_1_1_1_1_1_1_1_1_1_1_1">"$#REF!.$A$1:$C$7"</definedName>
    <definedName name="Excel_BuiltIn_Print_Area_1_1_1_1_1_1_3" localSheetId="11">#REF!</definedName>
    <definedName name="Excel_BuiltIn_Print_Area_1_1_1_1_1_1_3">#REF!</definedName>
    <definedName name="Excel_BuiltIn_Print_Area_1_1_1_1_1_1_3_1">"$#REF!.$A$1:$G$11"</definedName>
    <definedName name="Excel_BuiltIn_Print_Area_1_1_1_1_1_3" localSheetId="11">#REF!</definedName>
    <definedName name="Excel_BuiltIn_Print_Area_1_1_1_1_1_3">#REF!</definedName>
    <definedName name="Excel_BuiltIn_Print_Area_1_1_1_1_3" localSheetId="11">#REF!</definedName>
    <definedName name="Excel_BuiltIn_Print_Area_1_1_1_1_3">#REF!</definedName>
    <definedName name="Excel_BuiltIn_Print_Area_1_1_1_3" localSheetId="11">#REF!</definedName>
    <definedName name="Excel_BuiltIn_Print_Area_1_1_1_3">#REF!</definedName>
    <definedName name="Excel_BuiltIn_Print_Area_1_1_3">#REF!</definedName>
    <definedName name="Excel_BuiltIn_Print_Area_2">#REF!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3">#REF!</definedName>
    <definedName name="Excel_BuiltIn_Print_Area_2_1_1_1_1_1_1_3">#REF!</definedName>
    <definedName name="Excel_BuiltIn_Print_Area_2_1_1_1_1_1_3">"$#REF!.$A$1:$I$7"</definedName>
    <definedName name="Excel_BuiltIn_Print_Area_2_1_1_1_1_3">"$#REF!.$A$1:$I$7"</definedName>
    <definedName name="Excel_BuiltIn_Print_Area_2_1_1_1_3">"$#REF!.$A$1:$G$11"</definedName>
    <definedName name="Excel_BuiltIn_Print_Area_2_1_1_3" localSheetId="11">#REF!</definedName>
    <definedName name="Excel_BuiltIn_Print_Area_2_1_1_3">#REF!</definedName>
    <definedName name="Excel_BuiltIn_Print_Area_2_1_3" localSheetId="11">#REF!</definedName>
    <definedName name="Excel_BuiltIn_Print_Area_2_1_3">#REF!</definedName>
    <definedName name="Excel_BuiltIn_Print_Area_2_3">"$#REF!.$A$1:$L$23"</definedName>
    <definedName name="Excel_BuiltIn_Print_Area_3_1" localSheetId="11">#REF!</definedName>
    <definedName name="Excel_BuiltIn_Print_Area_3_1">#REF!</definedName>
    <definedName name="Excel_BuiltIn_Print_Area_3_1_1_1_1" localSheetId="11">#REF!</definedName>
    <definedName name="Excel_BuiltIn_Print_Area_3_1_1_1_1">#REF!</definedName>
    <definedName name="Excel_BuiltIn_Print_Area_3_1_1_1_1_1_1" localSheetId="11">#REF!</definedName>
    <definedName name="Excel_BuiltIn_Print_Area_3_1_1_1_1_1_1">#REF!</definedName>
    <definedName name="Excel_BuiltIn_Print_Area_3_1_1_1_1_1_1_3">"$#REF!.$A$1:$J$7"</definedName>
    <definedName name="Excel_BuiltIn_Print_Area_3_1_1_1_1_1_3" localSheetId="11">#REF!</definedName>
    <definedName name="Excel_BuiltIn_Print_Area_3_1_1_1_1_1_3">#REF!</definedName>
    <definedName name="Excel_BuiltIn_Print_Area_3_1_1_1_1_3">"$#REF!.$A$1:$J$7"</definedName>
    <definedName name="Excel_BuiltIn_Print_Area_3_1_1_1_3" localSheetId="11">#REF!</definedName>
    <definedName name="Excel_BuiltIn_Print_Area_3_1_1_1_3">#REF!</definedName>
    <definedName name="Excel_BuiltIn_Print_Area_3_1_1_3" localSheetId="11">#REF!</definedName>
    <definedName name="Excel_BuiltIn_Print_Area_3_1_1_3">#REF!</definedName>
    <definedName name="Excel_BuiltIn_Print_Area_3_4" localSheetId="11">#REF!</definedName>
    <definedName name="Excel_BuiltIn_Print_Area_3_4">#REF!</definedName>
    <definedName name="Excel_BuiltIn_Print_Area_3_4_3">"$#REF!.$A$1:$J$30"</definedName>
    <definedName name="Excel_BuiltIn_Print_Area_3_5" localSheetId="11">#REF!</definedName>
    <definedName name="Excel_BuiltIn_Print_Area_3_5">#REF!</definedName>
    <definedName name="Excel_BuiltIn_Print_Area_3_5_3">"$#REF!.$A$1:$J$30"</definedName>
    <definedName name="Excel_BuiltIn_Print_Area_4_1" localSheetId="11">#REF!</definedName>
    <definedName name="Excel_BuiltIn_Print_Area_4_1">#REF!</definedName>
    <definedName name="Excel_BuiltIn_Print_Area_4_1_1" localSheetId="11">#REF!</definedName>
    <definedName name="Excel_BuiltIn_Print_Area_4_1_1">#REF!</definedName>
    <definedName name="Excel_BuiltIn_Print_Area_4_1_1_3">"$#REF!.$A$1:$I$7"</definedName>
    <definedName name="Excel_BuiltIn_Print_Area_4_1_3">"$#REF!.$A$1:$I$7"</definedName>
    <definedName name="Excel_BuiltIn_Print_Area_4_4" localSheetId="11">#REF!</definedName>
    <definedName name="Excel_BuiltIn_Print_Area_4_4">#REF!</definedName>
    <definedName name="Excel_BuiltIn_Print_Area_4_4_3">"$#REF!.$A$1:$I$7"</definedName>
    <definedName name="Excel_BuiltIn_Print_Area_4_5" localSheetId="11">#REF!</definedName>
    <definedName name="Excel_BuiltIn_Print_Area_4_5">#REF!</definedName>
    <definedName name="Excel_BuiltIn_Print_Area_4_5_3">"$#REF!.$A$1:$I$7"</definedName>
    <definedName name="Excel_BuiltIn_Print_Area_5_1" localSheetId="11">#REF!</definedName>
    <definedName name="Excel_BuiltIn_Print_Area_5_1">#REF!</definedName>
    <definedName name="Excel_BuiltIn_Print_Area_5_1_3">"$#REF!.$A$1:$I$7"</definedName>
    <definedName name="Excel_BuiltIn_Print_Area_5_4" localSheetId="11">#REF!</definedName>
    <definedName name="Excel_BuiltIn_Print_Area_5_4">#REF!</definedName>
    <definedName name="Excel_BuiltIn_Print_Area_5_4_3">"$#REF!.$A$1:$I$30"</definedName>
    <definedName name="Excel_BuiltIn_Print_Area_5_5" localSheetId="11">#REF!</definedName>
    <definedName name="Excel_BuiltIn_Print_Area_5_5">#REF!</definedName>
    <definedName name="Excel_BuiltIn_Print_Area_5_5_3">"$#REF!.$A$1:$I$30"</definedName>
    <definedName name="Excel_BuiltIn_Print_Area_8" localSheetId="11">#REF!</definedName>
    <definedName name="Excel_BuiltIn_Print_Area_8">#REF!</definedName>
    <definedName name="Excel_BuiltIn_Print_Titles_1_1" localSheetId="11">#REF!</definedName>
    <definedName name="Excel_BuiltIn_Print_Titles_1_1">#REF!</definedName>
    <definedName name="Excel_BuiltIn_Print_Titles_1_1_1" localSheetId="11">#REF!</definedName>
    <definedName name="Excel_BuiltIn_Print_Titles_1_1_1">#REF!</definedName>
    <definedName name="Excel_BuiltIn_Print_Titles_1_1_1_1">#REF!</definedName>
    <definedName name="Excel_BuiltIn_Print_Titles_1_1_1_1_1">#REF!</definedName>
    <definedName name="Excel_BuiltIn_Print_Titles_1_1_1_1_1_1">#REF!</definedName>
    <definedName name="Excel_BuiltIn_Print_Titles_1_1_1_1_1_1_1">#REF!</definedName>
    <definedName name="Excel_BuiltIn_Print_Titles_2_1">#REF!</definedName>
    <definedName name="Excel_BuiltIn_Print_Titles_2_1_3">#REF!</definedName>
    <definedName name="Excel_BuiltIn_Print_Titles_3">#REF!</definedName>
    <definedName name="Excel_BuiltIn_Print_Titles_3_1">#REF!</definedName>
    <definedName name="Excel_BuiltIn_Print_Titles_3_1_1">#REF!</definedName>
    <definedName name="Excel_BuiltIn_Print_Titles_3_1_1_1">#REF!</definedName>
    <definedName name="Excel_BuiltIn_Print_Titles_3_1_1_1_3">"$#REF!.$A$6:$IS$6"</definedName>
    <definedName name="Excel_BuiltIn_Print_Titles_3_1_1_3">"$#REF!.$A$6:$IS$6"</definedName>
    <definedName name="Excel_BuiltIn_Print_Titles_3_1_3" localSheetId="11">#REF!</definedName>
    <definedName name="Excel_BuiltIn_Print_Titles_3_1_3">#REF!</definedName>
    <definedName name="Excel_BuiltIn_Print_Titles_5" localSheetId="11">#REF!</definedName>
    <definedName name="Excel_BuiltIn_Print_Titles_5">#REF!</definedName>
    <definedName name="Excel_BuiltIn_Print_Titles_5_1" localSheetId="11">#REF!</definedName>
    <definedName name="Excel_BuiltIn_Print_Titles_5_1">#REF!</definedName>
    <definedName name="Excel_BuiltIn_Print_Titles_5_1_1">#REF!</definedName>
    <definedName name="Excel_BuiltIn_Print_Titles_5_1_1_3">"$#REF!.$#REF!$#REF!:$#REF!$#REF!"</definedName>
    <definedName name="Excel_BuiltIn_Print_Titles_5_1_3">"$#REF!.$#REF!$#REF!:$#REF!$#REF!"</definedName>
    <definedName name="Excel_BuiltIn_Print_Titles_5_1_5" localSheetId="11">#REF!</definedName>
    <definedName name="Excel_BuiltIn_Print_Titles_5_1_5">#REF!</definedName>
    <definedName name="Excel_BuiltIn_Print_Titles_5_1_5_3">"$#REF!.$#REF!$#REF!:$#REF!$#REF!"</definedName>
    <definedName name="Excel_Unprint" localSheetId="11">#REF!</definedName>
    <definedName name="Excel_Unprint">#REF!</definedName>
    <definedName name="ExpendAmt" localSheetId="11">[28]Input!#REF!</definedName>
    <definedName name="ExpendAmt">[28]Input!#REF!</definedName>
    <definedName name="ExpendDate" localSheetId="11">[28]Input!#REF!</definedName>
    <definedName name="ExpendDate">[28]Input!#REF!</definedName>
    <definedName name="Expl_AppraisalSpendIn">[24]Inputs!$E$16:$AG$16</definedName>
    <definedName name="_xlnm.Extract" localSheetId="11">#REF!</definedName>
    <definedName name="_xlnm.Extract">#REF!</definedName>
    <definedName name="EXTRW" localSheetId="11">#REF!</definedName>
    <definedName name="EXTRW">#REF!</definedName>
    <definedName name="eyrlp" localSheetId="11">#REF!</definedName>
    <definedName name="eyrlp">#REF!</definedName>
    <definedName name="Factor">#REF!</definedName>
    <definedName name="Fall">#REF!</definedName>
    <definedName name="FC">#REF!</definedName>
    <definedName name="fds">#REF!</definedName>
    <definedName name="Feb">#REF!</definedName>
    <definedName name="ff">#REF!</definedName>
    <definedName name="fgh">#REF!</definedName>
    <definedName name="fhi">#REF!</definedName>
    <definedName name="FI">#REF!</definedName>
    <definedName name="firealarm">'[30]PRICE-COMP'!#REF!</definedName>
    <definedName name="FirstOilYearIn">[24]Inputs!$D$11</definedName>
    <definedName name="FixedOpexIn">[24]Inputs!$D$33</definedName>
    <definedName name="FL" localSheetId="11">'[29]Maping2008-8-26'!#REF!</definedName>
    <definedName name="FL">'[29]Maping2008-8-26'!#REF!</definedName>
    <definedName name="FOCsCorporationTax">[24]Calculations!$E$64:$AG$64</definedName>
    <definedName name="FOCsProfitOil">[24]Calculations!$E$53:$AG$53</definedName>
    <definedName name="FOCsProfitOilShare">[24]Calculations!$E$55:$AG$55</definedName>
    <definedName name="FOCsProfitSplit">[24]Calculations!$E$54:$AG$54</definedName>
    <definedName name="FPC" localSheetId="11">'[29]Maping2008-8-26'!#REF!</definedName>
    <definedName name="FPC">'[29]Maping2008-8-26'!#REF!</definedName>
    <definedName name="ftss" localSheetId="11" hidden="1">{"FTS",#N/A,FALSE,"E"}</definedName>
    <definedName name="ftss" hidden="1">{"FTS",#N/A,FALSE,"E"}</definedName>
    <definedName name="Function" localSheetId="11">#REF!</definedName>
    <definedName name="Function">#REF!</definedName>
    <definedName name="GA_408">"GA-408"</definedName>
    <definedName name="GAIL_EIL_Ferozabad_Main" localSheetId="11">[48]Submitted!#REF!</definedName>
    <definedName name="GAIL_EIL_Ferozabad_Main">[48]Submitted!#REF!</definedName>
    <definedName name="GapCount">[26]Master!$A$1:$A$520</definedName>
    <definedName name="GDFAC" localSheetId="11">#REF!</definedName>
    <definedName name="GDFAC">#REF!</definedName>
    <definedName name="Generator" localSheetId="11">'[30]PRICE-COMP'!#REF!</definedName>
    <definedName name="Generator">'[30]PRICE-COMP'!#REF!</definedName>
    <definedName name="gffgfg" localSheetId="11">#REF!</definedName>
    <definedName name="gffgfg">#REF!</definedName>
    <definedName name="gfgfg" localSheetId="11">#REF!</definedName>
    <definedName name="gfgfg">#REF!</definedName>
    <definedName name="gfhfg" localSheetId="11">#REF!</definedName>
    <definedName name="gfhfg">#REF!</definedName>
    <definedName name="gfhg">#REF!</definedName>
    <definedName name="GHJT">#REF!</definedName>
    <definedName name="GLANDS">[27]Insts!#REF!</definedName>
    <definedName name="Glazingcabins" localSheetId="11">#REF!</definedName>
    <definedName name="Glazingcabins">#REF!</definedName>
    <definedName name="GlazingMeeting" localSheetId="11">#REF!</definedName>
    <definedName name="GlazingMeeting">#REF!</definedName>
    <definedName name="h">[49]DPMD!$G$39</definedName>
    <definedName name="HEAD" localSheetId="11">#REF!</definedName>
    <definedName name="HEAD">#REF!</definedName>
    <definedName name="HEIGHT" localSheetId="11">#REF!</definedName>
    <definedName name="HEIGHT">#REF!</definedName>
    <definedName name="hg" localSheetId="11">[4]!hg</definedName>
    <definedName name="hg">[5]!hg</definedName>
    <definedName name="HOOK_UP_MATERIA" localSheetId="11">[27]Insts!#REF!</definedName>
    <definedName name="HOOK_UP_MATERIA">[27]Insts!#REF!</definedName>
    <definedName name="Horn_Speaker" localSheetId="11">#REF!</definedName>
    <definedName name="Horn_Speaker">#REF!</definedName>
    <definedName name="HOUR20" localSheetId="11">#REF!</definedName>
    <definedName name="HOUR20">#REF!</definedName>
    <definedName name="HOUR22" localSheetId="11">#REF!</definedName>
    <definedName name="HOUR22">#REF!</definedName>
    <definedName name="HOUR30">#REF!</definedName>
    <definedName name="HOUR45">#REF!</definedName>
    <definedName name="Hourly">#REF!</definedName>
    <definedName name="IMPRESSION">#REF!</definedName>
    <definedName name="indf">#REF!</definedName>
    <definedName name="IndTotalCost">[28]Input!#REF!</definedName>
    <definedName name="Inf_Ind_2011" localSheetId="11">#REF!</definedName>
    <definedName name="Inf_Ind_2011">#REF!</definedName>
    <definedName name="Inf_Ind_2012" localSheetId="11">#REF!</definedName>
    <definedName name="Inf_Ind_2012">#REF!</definedName>
    <definedName name="Inf_Ind_2013" localSheetId="11">#REF!</definedName>
    <definedName name="Inf_Ind_2013">#REF!</definedName>
    <definedName name="Inf_Ind_Y1">#REF!</definedName>
    <definedName name="Inf_Ind_Y2">#REF!</definedName>
    <definedName name="Inf_Rate_2012">#REF!</definedName>
    <definedName name="Inf_Rate_2013">#REF!</definedName>
    <definedName name="Inf_Rate_Y2">#REF!</definedName>
    <definedName name="infa">#REF!</definedName>
    <definedName name="infc">#REF!</definedName>
    <definedName name="infi">#REF!</definedName>
    <definedName name="InflationIndex">[24]Calculations!$E$8:$AG$8</definedName>
    <definedName name="InflationRateIn">[24]Inputs!$D$56</definedName>
    <definedName name="Info">[50]lists!$B$4:$B$5</definedName>
    <definedName name="ins">#REF!</definedName>
    <definedName name="instf" localSheetId="11">#REF!</definedName>
    <definedName name="instf">#REF!</definedName>
    <definedName name="INSTRUMENTS" localSheetId="11">[27]Insts!#REF!</definedName>
    <definedName name="INSTRUMENTS">[27]Insts!#REF!</definedName>
    <definedName name="INSULATION_CODE" localSheetId="11">#REF!</definedName>
    <definedName name="INSULATION_CODE">#REF!</definedName>
    <definedName name="INSULATION_THIC" localSheetId="11">#REF!</definedName>
    <definedName name="INSULATION_THIC">#REF!</definedName>
    <definedName name="Interior" localSheetId="11">#REF!</definedName>
    <definedName name="Interior">#REF!</definedName>
    <definedName name="INTROD" localSheetId="11">[2]KP1590_E!#REF!</definedName>
    <definedName name="INTROD">[2]KP1590_E!#REF!</definedName>
    <definedName name="Inventory">[24]Calculations!$E$69:$AG$69</definedName>
    <definedName name="IRR">[24]Inputs!$J$9</definedName>
    <definedName name="isolator" localSheetId="11">'[30]PRICE-COMP'!#REF!</definedName>
    <definedName name="isolator">'[30]PRICE-COMP'!#REF!</definedName>
    <definedName name="Item" localSheetId="11">#REF!</definedName>
    <definedName name="Item">#REF!</definedName>
    <definedName name="j" localSheetId="11">#REF!</definedName>
    <definedName name="j">#REF!</definedName>
    <definedName name="Jan" localSheetId="11">#REF!</definedName>
    <definedName name="Jan">#REF!</definedName>
    <definedName name="jjjjjjj">#REF!</definedName>
    <definedName name="JPY">#REF!</definedName>
    <definedName name="JPYY">[51]Remarks!$E$11</definedName>
    <definedName name="JUNCTION_BOXE" localSheetId="11">[27]Insts!#REF!</definedName>
    <definedName name="JUNCTION_BOXE">[27]Insts!#REF!</definedName>
    <definedName name="kiran" localSheetId="11">#REF!</definedName>
    <definedName name="kiran">#REF!</definedName>
    <definedName name="kkk" localSheetId="11">[27]Insts!#REF!</definedName>
    <definedName name="kkk">[27]Insts!#REF!</definedName>
    <definedName name="kkkk" localSheetId="11">#REF!</definedName>
    <definedName name="kkkk">#REF!</definedName>
    <definedName name="LAB" localSheetId="11">#REF!</definedName>
    <definedName name="LAB">#REF!</definedName>
    <definedName name="LABOUR" localSheetId="11">#REF!</definedName>
    <definedName name="LABOUR">#REF!</definedName>
    <definedName name="LabourDirectSalary" localSheetId="11">'[42]General Assumptions'!#REF!</definedName>
    <definedName name="LabourDirectSalary">'[42]General Assumptions'!#REF!</definedName>
    <definedName name="LabourIndirectSalary" localSheetId="11">'[42]General Assumptions'!#REF!</definedName>
    <definedName name="LabourIndirectSalary">'[42]General Assumptions'!#REF!</definedName>
    <definedName name="language" localSheetId="11">'[30]PRICE-COMP'!#REF!</definedName>
    <definedName name="language">'[30]PRICE-COMP'!#REF!</definedName>
    <definedName name="LastPublishedITC">'[52]NOC-FCR Form'!$F$71</definedName>
    <definedName name="LCAR100" localSheetId="11">#REF!</definedName>
    <definedName name="LCAR100">#REF!</definedName>
    <definedName name="LENGTH" localSheetId="11">#REF!</definedName>
    <definedName name="LENGTH">#REF!</definedName>
    <definedName name="LF" localSheetId="11">#REF!</definedName>
    <definedName name="LF">#REF!</definedName>
    <definedName name="LF_T1">#REF!</definedName>
    <definedName name="LFA">#REF!</definedName>
    <definedName name="LFA_T1">#REF!</definedName>
    <definedName name="LIGHT_FITTINGS">[27]Insts!#REF!</definedName>
    <definedName name="Lighting">'[30]PRICE-COMP'!#REF!</definedName>
    <definedName name="LL" localSheetId="11">#REF!</definedName>
    <definedName name="LL">#REF!</definedName>
    <definedName name="LLL" localSheetId="11">#REF!</definedName>
    <definedName name="LLL">#REF!</definedName>
    <definedName name="LMP_TOT" localSheetId="11">#REF!</definedName>
    <definedName name="LMP_TOT">#REF!</definedName>
    <definedName name="LMPAMT">#REF!</definedName>
    <definedName name="LMPO1">#REF!</definedName>
    <definedName name="LMPRT">#REF!</definedName>
    <definedName name="LMPSUM">#REF!</definedName>
    <definedName name="LMPTOT">#REF!</definedName>
    <definedName name="Location" localSheetId="11">City&amp;" "&amp;State</definedName>
    <definedName name="Location">City&amp;" "&amp;State</definedName>
    <definedName name="LocIndex">'[28]Component Index'!$E$2</definedName>
    <definedName name="LocNo">'[28]Component Index'!$B$6:$B$7</definedName>
    <definedName name="LocType">'[28]Component Index'!$A$6:$A$7</definedName>
    <definedName name="loopline" localSheetId="11">#REF!</definedName>
    <definedName name="loopline">#REF!</definedName>
    <definedName name="LS" localSheetId="11">#REF!</definedName>
    <definedName name="LS">#REF!</definedName>
    <definedName name="LSA" localSheetId="11">#REF!</definedName>
    <definedName name="LSA">#REF!</definedName>
    <definedName name="LSD_4100">#REF!</definedName>
    <definedName name="LSNO1">[53]Lead!$P$6</definedName>
    <definedName name="LSNO3">[53]Lead!$P$8</definedName>
    <definedName name="Lump_Sum_Discount" localSheetId="11">#REF!</definedName>
    <definedName name="Lump_Sum_Discount">#REF!</definedName>
    <definedName name="Macro6" localSheetId="11">[4]!Macro6</definedName>
    <definedName name="Macro6">[5]!Macro6</definedName>
    <definedName name="MAIN_AB" localSheetId="11">#REF!</definedName>
    <definedName name="MAIN_AB">#REF!</definedName>
    <definedName name="MAIN_CR" localSheetId="11">#REF!</definedName>
    <definedName name="MAIN_CR">#REF!</definedName>
    <definedName name="MAIN_DB" localSheetId="11">#REF!</definedName>
    <definedName name="MAIN_DB">#REF!</definedName>
    <definedName name="MAIN_DF">#REF!</definedName>
    <definedName name="MAIN_EN">#REF!</definedName>
    <definedName name="MAIN_MA">#REF!</definedName>
    <definedName name="Mar">#REF!</definedName>
    <definedName name="MATERIAL">#REF!</definedName>
    <definedName name="matlN">#REF!</definedName>
    <definedName name="matlP">#REF!</definedName>
    <definedName name="matlP2">#REF!</definedName>
    <definedName name="MaxCostOil">[24]Calculations!$E$42:$AG$42</definedName>
    <definedName name="MaxCostOilShare">[24]Calculations!$E$41:$AG$41</definedName>
    <definedName name="MaxCostOilShareIn">[24]Inputs!$D$37</definedName>
    <definedName name="MaxIRR">[24]Inputs!$D$39</definedName>
    <definedName name="may" localSheetId="11">City&amp;" "&amp;State</definedName>
    <definedName name="may">City&amp;" "&amp;State</definedName>
    <definedName name="MechDate">[28]Input!$B$21</definedName>
    <definedName name="MENU1" localSheetId="11">[2]KP1590_E!#REF!</definedName>
    <definedName name="MENU1">[2]KP1590_E!#REF!</definedName>
    <definedName name="MenuPage">[26]Menu!$B$1</definedName>
    <definedName name="MISADN" localSheetId="11">#REF!</definedName>
    <definedName name="MISADN">#REF!</definedName>
    <definedName name="MM" localSheetId="11">#REF!</definedName>
    <definedName name="MM">#REF!</definedName>
    <definedName name="MMM" localSheetId="11">#REF!</definedName>
    <definedName name="MMM">#REF!</definedName>
    <definedName name="MN">#REF!</definedName>
    <definedName name="ModelStartYearIn">[24]Inputs!$D$9</definedName>
    <definedName name="Module1.NOTES" localSheetId="11">[4]!Module1.NOTES</definedName>
    <definedName name="Module1.NOTES">[5]!Module1.NOTES</definedName>
    <definedName name="Module1.UNITOK">[54]!Module1.UNITOK</definedName>
    <definedName name="MQAmt">[28]Output!$E$3</definedName>
    <definedName name="MQYear">[28]Output!$D$3</definedName>
    <definedName name="MSB" localSheetId="11">'[30]PRICE-COMP'!#REF!</definedName>
    <definedName name="MSB">'[30]PRICE-COMP'!#REF!</definedName>
    <definedName name="myBC">"19-2945"</definedName>
    <definedName name="myclient">"Pan Century Oleochemicals"</definedName>
    <definedName name="mydate">"16 August 2005"</definedName>
    <definedName name="mylocation">"Johor,Malaysia"</definedName>
    <definedName name="myplant">"Methanol Production Plant"</definedName>
    <definedName name="nagaraj" localSheetId="11">#REF!</definedName>
    <definedName name="nagaraj">#REF!</definedName>
    <definedName name="NameInit">[28]Input!$B$4</definedName>
    <definedName name="Neew" localSheetId="11">#REF!</definedName>
    <definedName name="Neew">#REF!</definedName>
    <definedName name="Neg_Flex" localSheetId="11">#REF!</definedName>
    <definedName name="Neg_Flex">#REF!</definedName>
    <definedName name="NewSheet" localSheetId="11">#REF!</definedName>
    <definedName name="NewSheet">#REF!</definedName>
    <definedName name="ngl4tank">#REF!</definedName>
    <definedName name="NN">#REF!</definedName>
    <definedName name="NNN">#REF!</definedName>
    <definedName name="NonGlazingMeeting">#REF!</definedName>
    <definedName name="Nov">#REF!</definedName>
    <definedName name="NPV">[24]Inputs!$J$8</definedName>
    <definedName name="O11FAC" localSheetId="11">#REF!</definedName>
    <definedName name="O11FAC">#REF!</definedName>
    <definedName name="O11SUM" localSheetId="11">#REF!</definedName>
    <definedName name="O11SUM">#REF!</definedName>
    <definedName name="O12SUM" localSheetId="11">#REF!</definedName>
    <definedName name="O12SUM">#REF!</definedName>
    <definedName name="O1SPFAC">#REF!</definedName>
    <definedName name="O1SPMGN">#REF!</definedName>
    <definedName name="O2FAC">#REF!</definedName>
    <definedName name="Oct">#REF!</definedName>
    <definedName name="OD">#REF!</definedName>
    <definedName name="Oil_Price_In">#REF!</definedName>
    <definedName name="OilPriceDifferential">[24]Calculations!$E$16:$AG$16</definedName>
    <definedName name="OilPriceDifferrentialIn">[24]Inputs!$D$29</definedName>
    <definedName name="OilPriceIn">[24]Inputs!$D$28</definedName>
    <definedName name="OLE_LINK1_13" localSheetId="11">#REF!</definedName>
    <definedName name="OLE_LINK1_13">#REF!</definedName>
    <definedName name="OLE_LINK1_17" localSheetId="11">#REF!</definedName>
    <definedName name="OLE_LINK1_17">#REF!</definedName>
    <definedName name="OLE_LINK1_3" localSheetId="11">#REF!</definedName>
    <definedName name="OLE_LINK1_3">#REF!</definedName>
    <definedName name="OLE_LINK1_9">#REF!</definedName>
    <definedName name="ooopp">#REF!</definedName>
    <definedName name="OPERATING_TEMP.">#REF!</definedName>
    <definedName name="OrderNote">#REF!</definedName>
    <definedName name="ORIG._DEPT.">#REF!</definedName>
    <definedName name="ORPL">"""ORPL"""</definedName>
    <definedName name="Others" localSheetId="11">'[29]Maping2008-8-26'!#REF!</definedName>
    <definedName name="Others">'[29]Maping2008-8-26'!#REF!</definedName>
    <definedName name="OutProjName">[28]Output!$B$3</definedName>
    <definedName name="OutProjNo">[28]Output!$B$4</definedName>
    <definedName name="OutSite">[28]Output!$B$5</definedName>
    <definedName name="OVRFAC" localSheetId="11">#REF!</definedName>
    <definedName name="OVRFAC">#REF!</definedName>
    <definedName name="P" localSheetId="11" hidden="1">{#N/A,#N/A,TRUE,"Front";#N/A,#N/A,TRUE,"Simple Letter";#N/A,#N/A,TRUE,"Inside";#N/A,#N/A,TRUE,"Contents";#N/A,#N/A,TRUE,"Basis";#N/A,#N/A,TRUE,"Inclusions";#N/A,#N/A,TRUE,"Exclusions";#N/A,#N/A,TRUE,"Areas";#N/A,#N/A,TRUE,"Summary";#N/A,#N/A,TRUE,"Detail"}</definedName>
    <definedName name="P" hidden="1">{#N/A,#N/A,TRUE,"Front";#N/A,#N/A,TRUE,"Simple Letter";#N/A,#N/A,TRUE,"Inside";#N/A,#N/A,TRUE,"Contents";#N/A,#N/A,TRUE,"Basis";#N/A,#N/A,TRUE,"Inclusions";#N/A,#N/A,TRUE,"Exclusions";#N/A,#N/A,TRUE,"Areas";#N/A,#N/A,TRUE,"Summary";#N/A,#N/A,TRUE,"Detail"}</definedName>
    <definedName name="P_ID_NO." localSheetId="11">#REF!</definedName>
    <definedName name="P_ID_NO.">#REF!</definedName>
    <definedName name="P1R" localSheetId="11">'[23]Fill this out first...'!#REF!</definedName>
    <definedName name="P1R">'[23]Fill this out first...'!#REF!</definedName>
    <definedName name="P2R" localSheetId="11">'[23]Fill this out first...'!#REF!</definedName>
    <definedName name="P2R">'[23]Fill this out first...'!#REF!</definedName>
    <definedName name="P3R">'[23]Fill this out first...'!#REF!</definedName>
    <definedName name="P4R">'[23]Fill this out first...'!#REF!</definedName>
    <definedName name="P5R">'[23]Fill this out first...'!#REF!</definedName>
    <definedName name="PAINT_SYSTEM." localSheetId="11">#REF!</definedName>
    <definedName name="PAINT_SYSTEM.">#REF!</definedName>
    <definedName name="PART_OF_PACKAGE" localSheetId="11">#REF!</definedName>
    <definedName name="PART_OF_PACKAGE">#REF!</definedName>
    <definedName name="PayableCapexIn">[24]Inputs!$D$50</definedName>
    <definedName name="PayableIn">[24]Inputs!$D$49</definedName>
    <definedName name="PayableOtherCostsIn">[24]Inputs!$D$51</definedName>
    <definedName name="PayableTaxIn" localSheetId="11">[24]Inputs!#REF!</definedName>
    <definedName name="PayableTaxIn">[24]Inputs!#REF!</definedName>
    <definedName name="pc" localSheetId="11">#REF!</definedName>
    <definedName name="pc">#REF!</definedName>
    <definedName name="PCB" localSheetId="11">'[29]Maping2008-8-26'!#REF!</definedName>
    <definedName name="PCB">'[29]Maping2008-8-26'!#REF!</definedName>
    <definedName name="PCT" localSheetId="11">#REF!</definedName>
    <definedName name="PCT">#REF!</definedName>
    <definedName name="PctSpent">[28]Output!$G$3</definedName>
    <definedName name="pe" localSheetId="11">#REF!</definedName>
    <definedName name="pe">#REF!</definedName>
    <definedName name="peg" localSheetId="11">#REF!</definedName>
    <definedName name="peg">#REF!</definedName>
    <definedName name="perexp" localSheetId="11">#REF!</definedName>
    <definedName name="perexp">#REF!</definedName>
    <definedName name="PetroleumTaxRateIn">[24]Inputs!$D$45</definedName>
    <definedName name="pf_1a" localSheetId="11">#REF!</definedName>
    <definedName name="pf_1a">#REF!</definedName>
    <definedName name="pf_1c" localSheetId="11">#REF!</definedName>
    <definedName name="pf_1c">#REF!</definedName>
    <definedName name="pf_1i" localSheetId="11">#REF!</definedName>
    <definedName name="pf_1i">#REF!</definedName>
    <definedName name="pg">#REF!</definedName>
    <definedName name="PhaseCode">'[23]Fill this out first...'!$D$17</definedName>
    <definedName name="photos" localSheetId="11" hidden="1">{#N/A,#N/A,TRUE,"Front";#N/A,#N/A,TRUE,"Simple Letter";#N/A,#N/A,TRUE,"Inside";#N/A,#N/A,TRUE,"Contents";#N/A,#N/A,TRUE,"Basis";#N/A,#N/A,TRUE,"Inclusions";#N/A,#N/A,TRUE,"Exclusions";#N/A,#N/A,TRUE,"Areas";#N/A,#N/A,TRUE,"Summary";#N/A,#N/A,TRUE,"Detail"}</definedName>
    <definedName name="photos" hidden="1">{#N/A,#N/A,TRUE,"Front";#N/A,#N/A,TRUE,"Simple Letter";#N/A,#N/A,TRUE,"Inside";#N/A,#N/A,TRUE,"Contents";#N/A,#N/A,TRUE,"Basis";#N/A,#N/A,TRUE,"Inclusions";#N/A,#N/A,TRUE,"Exclusions";#N/A,#N/A,TRUE,"Areas";#N/A,#N/A,TRUE,"Summary";#N/A,#N/A,TRUE,"Detail"}</definedName>
    <definedName name="PIPE40" localSheetId="11">#REF!</definedName>
    <definedName name="PIPE40">#REF!</definedName>
    <definedName name="pl" localSheetId="11" hidden="1">{"PLANT BREAKUP",#N/A,FALSE,"E"}</definedName>
    <definedName name="pl" hidden="1">{"PLANT BREAKUP",#N/A,FALSE,"E"}</definedName>
    <definedName name="PlatformRange">[26]Master!$I$1:$I$516</definedName>
    <definedName name="po" localSheetId="11">#REF!</definedName>
    <definedName name="po">#REF!</definedName>
    <definedName name="Polarizer" localSheetId="11">'[29]Maping2008-8-26'!#REF!</definedName>
    <definedName name="Polarizer">'[29]Maping2008-8-26'!#REF!</definedName>
    <definedName name="Pos_Flex" localSheetId="11">#REF!</definedName>
    <definedName name="Pos_Flex">#REF!</definedName>
    <definedName name="pp" localSheetId="11">#REF!</definedName>
    <definedName name="pp">#REF!</definedName>
    <definedName name="ppaz" localSheetId="11">#REF!</definedName>
    <definedName name="ppaz">#REF!</definedName>
    <definedName name="PQ" localSheetId="11">City&amp;" "&amp;State</definedName>
    <definedName name="PQ">City&amp;" "&amp;State</definedName>
    <definedName name="PrevYears" localSheetId="11">'[23]Fill this out first...'!#REF!</definedName>
    <definedName name="PrevYears">'[23]Fill this out first...'!#REF!</definedName>
    <definedName name="PRICE" localSheetId="11">#REF!</definedName>
    <definedName name="PRICE">#REF!</definedName>
    <definedName name="PriceDifferrentialIn">[24]Inputs!$D$29</definedName>
    <definedName name="PriceSqmAMAT_TW1" localSheetId="11">'[42]Location Assumptions'!#REF!</definedName>
    <definedName name="PriceSqmAMAT_TW1">'[42]Location Assumptions'!#REF!</definedName>
    <definedName name="PriceSqmUlvac_TW1" localSheetId="11">'[42]Location Assumptions'!#REF!</definedName>
    <definedName name="PriceSqmUlvac_TW1">'[42]Location Assumptions'!#REF!</definedName>
    <definedName name="_xlnm.Print_Area" localSheetId="11">#REF!</definedName>
    <definedName name="_xlnm.Print_Area">#REF!</definedName>
    <definedName name="PRINT_AREA_MI">#REF!</definedName>
    <definedName name="_xlnm.Print_Titles">#N/A</definedName>
    <definedName name="Print_Titles_MI" localSheetId="11">#REF!</definedName>
    <definedName name="Print_Titles_MI">#REF!</definedName>
    <definedName name="PRM" localSheetId="11">#REF!</definedName>
    <definedName name="PRM">#REF!</definedName>
    <definedName name="ProbeCard" localSheetId="11">'[29]Maping2008-8-26'!#REF!</definedName>
    <definedName name="ProbeCard">'[29]Maping2008-8-26'!#REF!</definedName>
    <definedName name="Product_data">'[33]by product composition_baseline'!$B$4:$AT$78</definedName>
    <definedName name="Product_header">'[33]by product composition_baseline'!$B$1:$CP$1</definedName>
    <definedName name="ProductionDailyIn">[24]Inputs!$E$25:$AG$25</definedName>
    <definedName name="ProejctNumber" localSheetId="11">#REF!</definedName>
    <definedName name="ProejctNumber">#REF!</definedName>
    <definedName name="ProfitOilAvailable">[24]Calculations!$E$53:$AG$53</definedName>
    <definedName name="ProfitSplitIn" localSheetId="11">[24]Inputs!#REF!</definedName>
    <definedName name="ProfitSplitIn">[24]Inputs!#REF!</definedName>
    <definedName name="ProjectLocation">'[23]Fill this out first...'!$D$10</definedName>
    <definedName name="ProjectNumber">'[23]Fill this out first...'!$D$16</definedName>
    <definedName name="ProjectRange">[26]Master!$C$1:$C$520</definedName>
    <definedName name="ProjectSalesVolume">[24]Calculations!$E$14:$AG$14</definedName>
    <definedName name="ProjectSubtitle">'[23]Fill this out first...'!$D$9</definedName>
    <definedName name="ProjectTitle">'[23]Fill this out first...'!$D$8</definedName>
    <definedName name="ProjectTurnover">[24]Calculations!$E$17:$AG$17</definedName>
    <definedName name="ProjName">[28]Input!$B$8</definedName>
    <definedName name="ProjNo">'[32]Change Order Details'!$B$2</definedName>
    <definedName name="ProjTitle">'[32]Change Order Details'!$B$3</definedName>
    <definedName name="PRONLY" localSheetId="11">#REF!</definedName>
    <definedName name="PRONLY">#REF!</definedName>
    <definedName name="PROPOSAL_SUMMARY" localSheetId="11">#REF!</definedName>
    <definedName name="PROPOSAL_SUMMARY">#REF!</definedName>
    <definedName name="PSADepreciationCharge">[24]Calculations!$E$38:$AG$38</definedName>
    <definedName name="PSADepreciationIn">[24]Inputs!$D$38</definedName>
    <definedName name="PSADepreciationPeriodIn">[24]Inputs!$D$38</definedName>
    <definedName name="PSR" localSheetId="11">'[23]Fill this out first...'!#REF!</definedName>
    <definedName name="PSR">'[23]Fill this out first...'!#REF!</definedName>
    <definedName name="Pt1AuthAmt">[28]Input!$B$19</definedName>
    <definedName name="Pt1AuthDate">[28]Input!$B$18</definedName>
    <definedName name="Pt2AuthAmt" localSheetId="11">[28]Input!#REF!</definedName>
    <definedName name="Pt2AuthAmt">[28]Input!#REF!</definedName>
    <definedName name="Pt2AuthDate" localSheetId="11">[28]Input!#REF!</definedName>
    <definedName name="Pt2AuthDate">[28]Input!#REF!</definedName>
    <definedName name="PUSH_BUTTONS" localSheetId="11">[27]Insts!#REF!</definedName>
    <definedName name="PUSH_BUTTONS">[27]Insts!#REF!</definedName>
    <definedName name="q" localSheetId="11">City&amp;" "&amp;State</definedName>
    <definedName name="q">City&amp;" "&amp;State</definedName>
    <definedName name="qa" localSheetId="11">#REF!</definedName>
    <definedName name="qa">#REF!</definedName>
    <definedName name="qaz">#REF!</definedName>
    <definedName name="QQQ">#REF!</definedName>
    <definedName name="qqqq">#REF!</definedName>
    <definedName name="qsa" localSheetId="11">'[23]Fill this out first...'!#REF!</definedName>
    <definedName name="qsa">'[23]Fill this out first...'!#REF!</definedName>
    <definedName name="QTY" localSheetId="11">#REF!</definedName>
    <definedName name="QTY">#REF!</definedName>
    <definedName name="qw" localSheetId="11">#REF!</definedName>
    <definedName name="qw">#REF!</definedName>
    <definedName name="rangeCapNonCap" localSheetId="11">#REF!</definedName>
    <definedName name="rangeCapNonCap">#REF!</definedName>
    <definedName name="rangeValCat">#REF!</definedName>
    <definedName name="rangeWBS">#REF!</definedName>
    <definedName name="RateIndex">'[28]Component Index'!$E$4</definedName>
    <definedName name="RateNo">'[28]Component Index'!$B$15:$B$16</definedName>
    <definedName name="RateType">'[28]Component Index'!$A$15:$A$16</definedName>
    <definedName name="ravi" localSheetId="11">#REF!</definedName>
    <definedName name="ravi">#REF!</definedName>
    <definedName name="RD">'[25]3MLKQ'!$E$3</definedName>
    <definedName name="rdrd" localSheetId="11">#REF!</definedName>
    <definedName name="rdrd">#REF!</definedName>
    <definedName name="rdtd" localSheetId="11">#REF!</definedName>
    <definedName name="rdtd">#REF!</definedName>
    <definedName name="re" localSheetId="11" hidden="1">{#N/A,#N/A,TRUE,"Front";#N/A,#N/A,TRUE,"Simple Letter";#N/A,#N/A,TRUE,"Inside";#N/A,#N/A,TRUE,"Contents";#N/A,#N/A,TRUE,"Basis";#N/A,#N/A,TRUE,"Inclusions";#N/A,#N/A,TRUE,"Exclusions";#N/A,#N/A,TRUE,"Areas";#N/A,#N/A,TRUE,"Summary";#N/A,#N/A,TRUE,"Detail"}</definedName>
    <definedName name="re" hidden="1">{#N/A,#N/A,TRUE,"Front";#N/A,#N/A,TRUE,"Simple Letter";#N/A,#N/A,TRUE,"Inside";#N/A,#N/A,TRUE,"Contents";#N/A,#N/A,TRUE,"Basis";#N/A,#N/A,TRUE,"Inclusions";#N/A,#N/A,TRUE,"Exclusions";#N/A,#N/A,TRUE,"Areas";#N/A,#N/A,TRUE,"Summary";#N/A,#N/A,TRUE,"Detail"}</definedName>
    <definedName name="REC" localSheetId="11" hidden="1">{#N/A,#N/A,TRUE,"Front";#N/A,#N/A,TRUE,"Simple Letter";#N/A,#N/A,TRUE,"Inside";#N/A,#N/A,TRUE,"Contents";#N/A,#N/A,TRUE,"Basis";#N/A,#N/A,TRUE,"Inclusions";#N/A,#N/A,TRUE,"Exclusions";#N/A,#N/A,TRUE,"Areas";#N/A,#N/A,TRUE,"Summary";#N/A,#N/A,TRUE,"Detail"}</definedName>
    <definedName name="REC" hidden="1">{#N/A,#N/A,TRUE,"Front";#N/A,#N/A,TRUE,"Simple Letter";#N/A,#N/A,TRUE,"Inside";#N/A,#N/A,TRUE,"Contents";#N/A,#N/A,TRUE,"Basis";#N/A,#N/A,TRUE,"Inclusions";#N/A,#N/A,TRUE,"Exclusions";#N/A,#N/A,TRUE,"Areas";#N/A,#N/A,TRUE,"Summary";#N/A,#N/A,TRUE,"Detail"}</definedName>
    <definedName name="ReceivableIn">[24]Inputs!$D$49</definedName>
    <definedName name="RecoverableCost">[24]Calculations!$E$43:$AG$43</definedName>
    <definedName name="RemainingReserveBalance">[24]Calculations!$E$78:$AG$78</definedName>
    <definedName name="REMARKS" localSheetId="11">#REF!</definedName>
    <definedName name="REMARKS">#REF!</definedName>
    <definedName name="Rep_names" localSheetId="11">#REF!</definedName>
    <definedName name="Rep_names">#REF!</definedName>
    <definedName name="ReqDate">[28]Output!$B$8</definedName>
    <definedName name="ReqName">[28]Output!$B$7</definedName>
    <definedName name="REQUISITION_NO." localSheetId="11">#REF!</definedName>
    <definedName name="REQUISITION_NO.">#REF!</definedName>
    <definedName name="Revenue10Range">[26]Master!$AD$1:$AD$516</definedName>
    <definedName name="REVISION" localSheetId="11">#REF!</definedName>
    <definedName name="REVISION">#REF!</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utoStopPercChange">1.5</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TRUE</definedName>
    <definedName name="RiskMonitorConvergence">FALSE</definedName>
    <definedName name="RiskNumIterations">500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Table">[55]Tables!$C$1:$D$11</definedName>
    <definedName name="RiskTemplateSheetName">"myTemplate"</definedName>
    <definedName name="RiskUpdateDisplay">FALSE</definedName>
    <definedName name="RiskUseDifferentSeedForEachSim">FALSE</definedName>
    <definedName name="RiskUseFixedSeed">FALSE</definedName>
    <definedName name="RiskUseMultipleCPUs">TRUE</definedName>
    <definedName name="ROWHIDE" localSheetId="11">#REF!,#REF!,#REF!,#REF!,#REF!,#REF!,#REF!</definedName>
    <definedName name="ROWHIDE">#REF!,#REF!,#REF!,#REF!,#REF!,#REF!,#REF!</definedName>
    <definedName name="Royalty" localSheetId="11">'[29]Maping2008-8-26'!#REF!</definedName>
    <definedName name="Royalty">'[29]Maping2008-8-26'!#REF!</definedName>
    <definedName name="RR" localSheetId="11">#REF!</definedName>
    <definedName name="RR">#REF!</definedName>
    <definedName name="RRR" localSheetId="11">#REF!</definedName>
    <definedName name="RRR">#REF!</definedName>
    <definedName name="rtr" localSheetId="11">#REF!</definedName>
    <definedName name="rtr">#REF!</definedName>
    <definedName name="s">#REF!</definedName>
    <definedName name="SAL">#REF!</definedName>
    <definedName name="SANITARY">#REF!</definedName>
    <definedName name="SANITARY_3">"$#REF!.$#REF!$#REF!"</definedName>
    <definedName name="SANITARY_4" localSheetId="11">#REF!</definedName>
    <definedName name="SANITARY_4">#REF!</definedName>
    <definedName name="SANITARY_4_3">"$#REF!.$#REF!$#REF!"</definedName>
    <definedName name="SANITARY_5" localSheetId="11">#REF!</definedName>
    <definedName name="SANITARY_5">#REF!</definedName>
    <definedName name="SANITARY_5_3">"$#REF!.$#REF!$#REF!"</definedName>
    <definedName name="SAPBEXrevision" hidden="1">2</definedName>
    <definedName name="SAPBEXsysID" hidden="1">"CRP"</definedName>
    <definedName name="SAPBEXwbID" hidden="1">"4G3WS38PNYDHS5LNJ1YU408K8"</definedName>
    <definedName name="sasasa" localSheetId="11" hidden="1">{"PLANNING",#N/A,FALSE,"A"}</definedName>
    <definedName name="sasasa" hidden="1">{"PLANNING",#N/A,FALSE,"A"}</definedName>
    <definedName name="saucomd" localSheetId="11">#REF!</definedName>
    <definedName name="saucomd">#REF!</definedName>
    <definedName name="saud" localSheetId="11">#REF!</definedName>
    <definedName name="saud">#REF!</definedName>
    <definedName name="sauf" localSheetId="11">#REF!</definedName>
    <definedName name="sauf">#REF!</definedName>
    <definedName name="sauspad">#REF!</definedName>
    <definedName name="sausysd">#REF!</definedName>
    <definedName name="SBUList">[56]information!#REF!</definedName>
    <definedName name="SC" localSheetId="11">#REF!</definedName>
    <definedName name="SC">#REF!</definedName>
    <definedName name="scc">'[31]óc-sepVdec99'!$A$1:$AC$29</definedName>
    <definedName name="ScienceAreaRange">[26]Master!$L$1:$L$520</definedName>
    <definedName name="sd" localSheetId="11">#REF!</definedName>
    <definedName name="sd">#REF!</definedName>
    <definedName name="sdsd" localSheetId="11">#REF!</definedName>
    <definedName name="sdsd">#REF!</definedName>
    <definedName name="SecFCphotos" localSheetId="11" hidden="1">{#N/A,#N/A,TRUE,"Front";#N/A,#N/A,TRUE,"Simple Letter";#N/A,#N/A,TRUE,"Inside";#N/A,#N/A,TRUE,"Contents";#N/A,#N/A,TRUE,"Basis";#N/A,#N/A,TRUE,"Inclusions";#N/A,#N/A,TRUE,"Exclusions";#N/A,#N/A,TRUE,"Areas";#N/A,#N/A,TRUE,"Summary";#N/A,#N/A,TRUE,"Detail"}</definedName>
    <definedName name="SecFCphotos" hidden="1">{#N/A,#N/A,TRUE,"Front";#N/A,#N/A,TRUE,"Simple Letter";#N/A,#N/A,TRUE,"Inside";#N/A,#N/A,TRUE,"Contents";#N/A,#N/A,TRUE,"Basis";#N/A,#N/A,TRUE,"Inclusions";#N/A,#N/A,TRUE,"Exclusions";#N/A,#N/A,TRUE,"Areas";#N/A,#N/A,TRUE,"Summary";#N/A,#N/A,TRUE,"Detail"}</definedName>
    <definedName name="Seck" localSheetId="11" hidden="1">{#N/A,#N/A,TRUE,"Front";#N/A,#N/A,TRUE,"Simple Letter";#N/A,#N/A,TRUE,"Inside";#N/A,#N/A,TRUE,"Contents";#N/A,#N/A,TRUE,"Basis";#N/A,#N/A,TRUE,"Inclusions";#N/A,#N/A,TRUE,"Exclusions";#N/A,#N/A,TRUE,"Areas";#N/A,#N/A,TRUE,"Summary";#N/A,#N/A,TRUE,"Detail"}</definedName>
    <definedName name="Seck" hidden="1">{#N/A,#N/A,TRUE,"Front";#N/A,#N/A,TRUE,"Simple Letter";#N/A,#N/A,TRUE,"Inside";#N/A,#N/A,TRUE,"Contents";#N/A,#N/A,TRUE,"Basis";#N/A,#N/A,TRUE,"Inclusions";#N/A,#N/A,TRUE,"Exclusions";#N/A,#N/A,TRUE,"Areas";#N/A,#N/A,TRUE,"Summary";#N/A,#N/A,TRUE,"Detail"}</definedName>
    <definedName name="selection" localSheetId="11">#REF!</definedName>
    <definedName name="selection">#REF!</definedName>
    <definedName name="servf" localSheetId="11">#REF!</definedName>
    <definedName name="servf">#REF!</definedName>
    <definedName name="SERVICE" localSheetId="11">#REF!</definedName>
    <definedName name="SERVICE">#REF!</definedName>
    <definedName name="SEWERAGE">#REF!</definedName>
    <definedName name="SEWERAGE_3">"$#REF!.$#REF!$#REF!"</definedName>
    <definedName name="SEWERAGE_4" localSheetId="11">#REF!</definedName>
    <definedName name="SEWERAGE_4">#REF!</definedName>
    <definedName name="SEWERAGE_4_3">"$#REF!.$#REF!$#REF!"</definedName>
    <definedName name="SEWERAGE_5" localSheetId="11">#REF!</definedName>
    <definedName name="SEWERAGE_5">#REF!</definedName>
    <definedName name="SEWERAGE_5_3">"$#REF!.$#REF!$#REF!"</definedName>
    <definedName name="SGD">'[9]Exchange rate'!$B$10</definedName>
    <definedName name="sharath" localSheetId="11">#REF!</definedName>
    <definedName name="sharath">#REF!</definedName>
    <definedName name="shiv" localSheetId="11">#REF!</definedName>
    <definedName name="shiv">#REF!</definedName>
    <definedName name="Site">'[32]Change Order Details'!$B$4</definedName>
    <definedName name="SLSAMT" localSheetId="11">#REF!</definedName>
    <definedName name="SLSAMT">#REF!</definedName>
    <definedName name="SLSRT" localSheetId="11">#REF!</definedName>
    <definedName name="SLSRT">#REF!</definedName>
    <definedName name="SOIL" localSheetId="11">#REF!</definedName>
    <definedName name="SOIL">#REF!</definedName>
    <definedName name="SOIL_3">"$#REF!.$#REF!$#REF!"</definedName>
    <definedName name="SOIL_4" localSheetId="11">#REF!</definedName>
    <definedName name="SOIL_4">#REF!</definedName>
    <definedName name="SOIL_4_3">"$#REF!.$#REF!$#REF!"</definedName>
    <definedName name="SOIL_5" localSheetId="11">#REF!</definedName>
    <definedName name="SOIL_5">#REF!</definedName>
    <definedName name="SOIL_5_3">"$#REF!.$#REF!$#REF!"</definedName>
    <definedName name="sond" localSheetId="11">#REF!</definedName>
    <definedName name="sond">#REF!</definedName>
    <definedName name="sondf" localSheetId="11">#REF!</definedName>
    <definedName name="sondf">#REF!</definedName>
    <definedName name="Spend2006Range">[26]Master!$AO$1:$AO$516</definedName>
    <definedName name="Spend2007Range">[26]Master!$V$1:$V$516</definedName>
    <definedName name="SpendingCurrent">[26]Actuals!$E$5:$L$200</definedName>
    <definedName name="SPFAC" localSheetId="11">#REF!</definedName>
    <definedName name="SPFAC">#REF!</definedName>
    <definedName name="SPFIN">#REF!</definedName>
    <definedName name="SPSUM">#REF!</definedName>
    <definedName name="sravya">'[38]p&amp;m'!#REF!</definedName>
    <definedName name="SS">'[57]scurve(2)'!$B$1:$AD$28</definedName>
    <definedName name="ssc">'[58]SC revtrgt'!$A$1:$Z$29</definedName>
    <definedName name="SSS" localSheetId="11">#REF!</definedName>
    <definedName name="SSS">#REF!</definedName>
    <definedName name="SSSSS" localSheetId="11">[4]!SSSSS</definedName>
    <definedName name="SSSSS">[5]!SSSSS</definedName>
    <definedName name="Stage">'[23]Fill this out first...'!$D$12</definedName>
    <definedName name="StageProgress2">[26]Master!$T$1:$T$520</definedName>
    <definedName name="StageProgress3">[26]Master!$U$1:$U$520</definedName>
    <definedName name="StageRange">[26]Master!$N$1:$N$516</definedName>
    <definedName name="StartDate" localSheetId="11">[28]Input!#REF!</definedName>
    <definedName name="StartDate">[28]Input!#REF!</definedName>
    <definedName name="StatusRange">[26]Master!$B$1:$B$516</definedName>
    <definedName name="Step_0__IJV_view" localSheetId="11">#REF!</definedName>
    <definedName name="Step_0__IJV_view">#REF!</definedName>
    <definedName name="Step1__Base_case__assumes_equity_funded_BP_s_share_only_local_taxes__trapped_cash_earns_deposit_rate_interest" localSheetId="11">#REF!</definedName>
    <definedName name="Step1__Base_case__assumes_equity_funded_BP_s_share_only_local_taxes__trapped_cash_earns_deposit_rate_interest">#REF!</definedName>
    <definedName name="Step2_3__3rd_party_loan_case" localSheetId="11">#REF!</definedName>
    <definedName name="Step2_3__3rd_party_loan_case">#REF!</definedName>
    <definedName name="SUFFIX">#REF!</definedName>
    <definedName name="Supply">#REF!</definedName>
    <definedName name="swf">#REF!</definedName>
    <definedName name="SWITCHGEAR_MCC">[27]Insts!#REF!</definedName>
    <definedName name="t" localSheetId="11">#REF!</definedName>
    <definedName name="t">#REF!</definedName>
    <definedName name="T900_949">#N/A</definedName>
    <definedName name="TableIssues" localSheetId="11">#REF!</definedName>
    <definedName name="TableIssues">#REF!</definedName>
    <definedName name="TB" localSheetId="11" hidden="1">{"PLANT BREAKUP",#N/A,FALSE,"E"}</definedName>
    <definedName name="TB" hidden="1">{"PLANT BREAKUP",#N/A,FALSE,"E"}</definedName>
    <definedName name="tbl">#REF!</definedName>
    <definedName name="TECHI" localSheetId="11">#REF!</definedName>
    <definedName name="TECHI">#REF!</definedName>
    <definedName name="TEMP" localSheetId="11">#REF!</definedName>
    <definedName name="TEMP">#REF!</definedName>
    <definedName name="TerminationRange">[26]Master!$Q$1:$Q$516</definedName>
    <definedName name="TEST" localSheetId="11">[2]KP1590_E!#REF!</definedName>
    <definedName name="TEST">[2]KP1590_E!#REF!</definedName>
    <definedName name="TEST0" localSheetId="11">'[18]2010 Non Capital Detail list'!#REF!</definedName>
    <definedName name="TEST0">'[18]2010 Non Capital Detail list'!#REF!</definedName>
    <definedName name="TEST1" localSheetId="11">#REF!</definedName>
    <definedName name="TEST1">#REF!</definedName>
    <definedName name="TEST2" localSheetId="11">#REF!</definedName>
    <definedName name="TEST2">#REF!</definedName>
    <definedName name="TEST3" localSheetId="11">#REF!</definedName>
    <definedName name="TEST3">#REF!</definedName>
    <definedName name="test4">#REF!</definedName>
    <definedName name="TESTKEYS">'[18]2010 Non Capital Detail list'!#REF!</definedName>
    <definedName name="TF">'[25]3MLKQ'!$F$3</definedName>
    <definedName name="TG" localSheetId="11">#REF!</definedName>
    <definedName name="TG">#REF!</definedName>
    <definedName name="TGX" localSheetId="11">#REF!</definedName>
    <definedName name="TGX">#REF!</definedName>
    <definedName name="THOUSANDS" localSheetId="11">#REF!</definedName>
    <definedName name="THOUSANDS">#REF!</definedName>
    <definedName name="ththth">#REF!</definedName>
    <definedName name="tilt">#REF!</definedName>
    <definedName name="Title" localSheetId="11">City&amp;" "&amp;State</definedName>
    <definedName name="Title">City&amp;" "&amp;State</definedName>
    <definedName name="tjpf" localSheetId="11">[22]boq!#REF!</definedName>
    <definedName name="tjpf">[22]boq!#REF!</definedName>
    <definedName name="TOP" localSheetId="11">#REF!</definedName>
    <definedName name="TOP">#REF!</definedName>
    <definedName name="TOPP">#REF!</definedName>
    <definedName name="TOTAL1">#N/A</definedName>
    <definedName name="TOTAL2">#N/A</definedName>
    <definedName name="TotalFixedCost">[24]Calculations!$E$25:$AG$25</definedName>
    <definedName name="TotalProjectCapex">[24]Calculations!$E$32:$AG$32</definedName>
    <definedName name="TOTALS" localSheetId="11">#REF!</definedName>
    <definedName name="TOTALS">#REF!</definedName>
    <definedName name="TotalVariableCost">[24]Calculations!$E$22:$AG$22</definedName>
    <definedName name="TotalVariableOpex">[24]Calculations!$E$22:$AG$22</definedName>
    <definedName name="TOTCDWSSM" localSheetId="11">#REF!</definedName>
    <definedName name="TOTCDWSSM">#REF!</definedName>
    <definedName name="TOTCDWSSP" localSheetId="11">#REF!</definedName>
    <definedName name="TOTCDWSSP">#REF!</definedName>
    <definedName name="TouchPanel" localSheetId="11">'[29]Maping2008-8-26'!#REF!</definedName>
    <definedName name="TouchPanel">'[29]Maping2008-8-26'!#REF!</definedName>
    <definedName name="TPP" localSheetId="11">#REF!</definedName>
    <definedName name="TPP">#REF!</definedName>
    <definedName name="TR" localSheetId="11">#REF!</definedName>
    <definedName name="TR">#REF!</definedName>
    <definedName name="TransportationCostIn">[24]Inputs!$D$32</definedName>
    <definedName name="TRAYS_CABLE" localSheetId="11">[27]Insts!#REF!</definedName>
    <definedName name="TRAYS_CABLE">[27]Insts!#REF!</definedName>
    <definedName name="TRS" localSheetId="11">#REF!</definedName>
    <definedName name="TRS">#REF!</definedName>
    <definedName name="TRSB" localSheetId="11">#REF!</definedName>
    <definedName name="TRSB">#REF!</definedName>
    <definedName name="TT" localSheetId="11">#REF!</definedName>
    <definedName name="TT">#REF!</definedName>
    <definedName name="TTP">#REF!</definedName>
    <definedName name="TTT">#REF!</definedName>
    <definedName name="TX">#REF!</definedName>
    <definedName name="TY">#REF!</definedName>
    <definedName name="TYP">#REF!</definedName>
    <definedName name="type">'[23]Fill this out first...'!$D$13</definedName>
    <definedName name="TYR" localSheetId="11">#REF!</definedName>
    <definedName name="TYR">#REF!</definedName>
    <definedName name="u" localSheetId="11">#REF!</definedName>
    <definedName name="u">#REF!</definedName>
    <definedName name="UNITOK">[59]!UNITOK</definedName>
    <definedName name="UnitSalesSqmAMAT_TW1" localSheetId="11">'[42]Location Assumptions'!#REF!</definedName>
    <definedName name="UnitSalesSqmAMAT_TW1">'[42]Location Assumptions'!#REF!</definedName>
    <definedName name="UnitSalesSqmOerl" localSheetId="11">'[42]Location Assumptions'!#REF!</definedName>
    <definedName name="UnitSalesSqmOerl">'[42]Location Assumptions'!#REF!</definedName>
    <definedName name="UnitSalesSqmOerl_TW1" localSheetId="11">'[42]Location Assumptions'!#REF!</definedName>
    <definedName name="UnitSalesSqmOerl_TW1">'[42]Location Assumptions'!#REF!</definedName>
    <definedName name="UnitSalesSqmUlvac_TW1" localSheetId="11">'[42]Location Assumptions'!#REF!</definedName>
    <definedName name="UnitSalesSqmUlvac_TW1">'[42]Location Assumptions'!#REF!</definedName>
    <definedName name="UnitSalesWpAMAT_TW1" localSheetId="11">'[42]Location Assumptions'!#REF!</definedName>
    <definedName name="UnitSalesWpAMAT_TW1">'[42]Location Assumptions'!#REF!</definedName>
    <definedName name="UnitSalesWpOerl_TW1">'[42]Location Assumptions'!#REF!</definedName>
    <definedName name="UnitSalesWpUlvac_TW1">'[42]Location Assumptions'!#REF!</definedName>
    <definedName name="UnitTransportationCost">[24]Calculations!$E$20:$AG$20</definedName>
    <definedName name="UnitTransportationCostIn">[24]Inputs!$D$32</definedName>
    <definedName name="UnitTransportCostIn">[24]Inputs!$D$32</definedName>
    <definedName name="UpliftPercentageIn">[24]Inputs!$D$36</definedName>
    <definedName name="US" localSheetId="11">#REF!</definedName>
    <definedName name="US">#REF!</definedName>
    <definedName name="USD">[60]Assumptions!$F$14</definedName>
    <definedName name="USDAuth" localSheetId="11">#REF!</definedName>
    <definedName name="USDAuth">#REF!</definedName>
    <definedName name="USDBudg">#REF!</definedName>
    <definedName name="USDCom">#REF!</definedName>
    <definedName name="USDCtrl">#REF!</definedName>
    <definedName name="usdd">[44]Remarks!$D$5</definedName>
    <definedName name="USDITC" localSheetId="11">#REF!</definedName>
    <definedName name="USDITC">#REF!</definedName>
    <definedName name="USDLTD" localSheetId="11">#REF!</definedName>
    <definedName name="USDLTD">#REF!</definedName>
    <definedName name="USDLTDCom" localSheetId="11">#REF!</definedName>
    <definedName name="USDLTDCom">#REF!</definedName>
    <definedName name="USDMth">#REF!</definedName>
    <definedName name="USDYTD">#REF!</definedName>
    <definedName name="USJPY">[61]Factor!$D$2</definedName>
    <definedName name="USNTD">[61]Factor!$D$3</definedName>
    <definedName name="V" localSheetId="11">#REF!</definedName>
    <definedName name="V">#REF!</definedName>
    <definedName name="valve2">#REF!</definedName>
    <definedName name="valve3">#REF!</definedName>
    <definedName name="valves">#REF!</definedName>
    <definedName name="var">#REF!</definedName>
    <definedName name="VAR_Contact">#REF!</definedName>
    <definedName name="VAR_Contacts">#REF!</definedName>
    <definedName name="VAR_List">#REF!</definedName>
    <definedName name="vatf">#REF!</definedName>
    <definedName name="VB">#REF!</definedName>
    <definedName name="VBA">#REF!</definedName>
    <definedName name="VCOGSSqmAMAT_TW1">'[42]General Assumptions'!#REF!</definedName>
    <definedName name="VCOGSSqmOerlikon_TW1">'[42]General Assumptions'!#REF!</definedName>
    <definedName name="VCOGSSqmUlvac_TW1">'[42]General Assumptions'!#REF!</definedName>
    <definedName name="vgacost">[62]Euip.list!#REF!</definedName>
    <definedName name="vgatype">[62]Euip.list!#REF!</definedName>
    <definedName name="VGE" localSheetId="11">#REF!</definedName>
    <definedName name="VGE">#REF!</definedName>
    <definedName name="VGS">#REF!</definedName>
    <definedName name="VV">#REF!</definedName>
    <definedName name="vvv">#REF!</definedName>
    <definedName name="w">'[23]Fill this out first...'!#REF!</definedName>
    <definedName name="Waiting">"Picture 1"</definedName>
    <definedName name="WATER" localSheetId="11">#REF!</definedName>
    <definedName name="WATER">#REF!</definedName>
    <definedName name="WATER_3">"$#REF!.$#REF!$#REF!"</definedName>
    <definedName name="WATER_4" localSheetId="11">#REF!</definedName>
    <definedName name="WATER_4">#REF!</definedName>
    <definedName name="WATER_4_3">"$#REF!.$#REF!$#REF!"</definedName>
    <definedName name="WATER_5" localSheetId="11">#REF!</definedName>
    <definedName name="WATER_5">#REF!</definedName>
    <definedName name="WATER_5_3">"$#REF!.$#REF!$#REF!"</definedName>
    <definedName name="wdfe" localSheetId="11">[4]!wdfe</definedName>
    <definedName name="wdfe">[5]!wdfe</definedName>
    <definedName name="WEIGHT" localSheetId="11">#REF!</definedName>
    <definedName name="WEIGHT">#REF!</definedName>
    <definedName name="WES" localSheetId="11">#REF!</definedName>
    <definedName name="WES">#REF!</definedName>
    <definedName name="wet" localSheetId="11">#REF!</definedName>
    <definedName name="wet">#REF!</definedName>
    <definedName name="wewe">#REF!</definedName>
    <definedName name="width">#REF!</definedName>
    <definedName name="WIL">#REF!</definedName>
    <definedName name="WILM">#REF!</definedName>
    <definedName name="wirilight">'[30]PRICE-COMP'!#REF!</definedName>
    <definedName name="workstream" localSheetId="11">#REF!</definedName>
    <definedName name="workstream">#REF!</definedName>
    <definedName name="wrn.CASH._.FLOW." localSheetId="11" hidden="1">{"CASH FLOW",#N/A,FALSE,"A"}</definedName>
    <definedName name="wrn.CASH._.FLOW." hidden="1">{"CASH FLOW",#N/A,FALSE,"A"}</definedName>
    <definedName name="wrn.FTS." localSheetId="11" hidden="1">{"FTS",#N/A,FALSE,"E"}</definedName>
    <definedName name="wrn.FTS." hidden="1">{"FTS",#N/A,FALSE,"E"}</definedName>
    <definedName name="wrn.FTS._.PLANT._.BREAKUP." localSheetId="11" hidden="1">{"PLANT BREAKUP",#N/A,FALSE,"E"}</definedName>
    <definedName name="wrn.FTS._.PLANT._.BREAKUP." hidden="1">{"PLANT BREAKUP",#N/A,FALSE,"E"}</definedName>
    <definedName name="wrn.Full._.Report." localSheetId="1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PAGE2." localSheetId="11" hidden="1">{#N/A,#N/A,FALSE,"PIPE-FAC";#N/A,#N/A,FALSE,"PIPE-FAC"}</definedName>
    <definedName name="wrn.PAGE2." hidden="1">{#N/A,#N/A,FALSE,"PIPE-FAC";#N/A,#N/A,FALSE,"PIPE-FAC"}</definedName>
    <definedName name="wrn.PLANNING." localSheetId="11" hidden="1">{"PLANNING",#N/A,FALSE,"A"}</definedName>
    <definedName name="wrn.PLANNING." hidden="1">{"PLANNING",#N/A,FALSE,"A"}</definedName>
    <definedName name="wrn.SUM." localSheetId="11" hidden="1">{#N/A,#N/A,FALSE,"PIPE-FAC"}</definedName>
    <definedName name="wrn.SUM." hidden="1">{#N/A,#N/A,FALSE,"PIPE-FAC"}</definedName>
    <definedName name="wrn.summary." localSheetId="11" hidden="1">{"SUMMARY",#N/A,FALSE,"C"}</definedName>
    <definedName name="wrn.summary." hidden="1">{"SUMMARY",#N/A,FALSE,"C"}</definedName>
    <definedName name="wrn.WAGE._.RATES." localSheetId="11" hidden="1">{#N/A,#N/A,FALSE,"WAGE FORM - UNION";#N/A,#N/A,FALSE,"EST. WAGE RATES - UNION";#N/A,#N/A,FALSE,"WAGE RATE DETAILS - UNION"}</definedName>
    <definedName name="wrn.WAGE._.RATES." hidden="1">{#N/A,#N/A,FALSE,"WAGE FORM - UNION";#N/A,#N/A,FALSE,"EST. WAGE RATES - UNION";#N/A,#N/A,FALSE,"WAGE RATE DETAILS - UNION"}</definedName>
    <definedName name="wrong" localSheetId="11">#REF!</definedName>
    <definedName name="wrong">#REF!</definedName>
    <definedName name="www" localSheetId="11">#REF!</definedName>
    <definedName name="www">#REF!</definedName>
    <definedName name="wwww" localSheetId="11">[4]!wwww</definedName>
    <definedName name="wwww">[5]!wwww</definedName>
    <definedName name="x" localSheetId="11">[4]!x</definedName>
    <definedName name="x">[5]!x</definedName>
    <definedName name="XX" localSheetId="11" hidden="1">{#N/A,#N/A,FALSE,"PIPE-FAC";#N/A,#N/A,FALSE,"PIPE-FAC"}</definedName>
    <definedName name="XX" hidden="1">{#N/A,#N/A,FALSE,"PIPE-FAC";#N/A,#N/A,FALSE,"PIPE-FAC"}</definedName>
    <definedName name="XXX" localSheetId="11" hidden="1">{#N/A,#N/A,FALSE,"PIPE-FAC"}</definedName>
    <definedName name="XXX" hidden="1">{#N/A,#N/A,FALSE,"PIPE-FAC"}</definedName>
    <definedName name="YES" localSheetId="11">#REF!</definedName>
    <definedName name="YES">#REF!</definedName>
    <definedName name="YY" localSheetId="11">#REF!</definedName>
    <definedName name="YY">#REF!</definedName>
    <definedName name="YYY" localSheetId="11">#REF!</definedName>
    <definedName name="YYY">#REF!</definedName>
    <definedName name="zq" localSheetId="11">#REF!</definedName>
    <definedName name="zq">#REF!</definedName>
    <definedName name="ZXC">#REF!</definedName>
    <definedName name="ZZ">#REF!</definedName>
    <definedName name="ZZZ">#REF!</definedName>
    <definedName name="ZZZZ" localSheetId="11" hidden="1">{#N/A,#N/A,FALSE,"PIPE-FAC";#N/A,#N/A,FALSE,"PIPE-FAC"}</definedName>
    <definedName name="ZZZZ" hidden="1">{#N/A,#N/A,FALSE,"PIPE-FAC";#N/A,#N/A,FALSE,"PIPE-FAC"}</definedName>
    <definedName name="공구손료" localSheetId="11">#REF!</definedName>
    <definedName name="공구손료">#REF!</definedName>
    <definedName name="노무단가할증" localSheetId="11">#REF!</definedName>
    <definedName name="노무단가할증">#REF!</definedName>
    <definedName name="노무수량할증" localSheetId="11">#REF!</definedName>
    <definedName name="노무수량할증">#REF!</definedName>
    <definedName name="도급2">#REF!</definedName>
    <definedName name="ㅁ">#REF!</definedName>
    <definedName name="자재단가할증">#REF!</definedName>
    <definedName name="자재수량할증">#REF!</definedName>
    <definedName name="자재수할증">#REF!</definedName>
    <definedName name="ㅎ503">'[63]광통신 견적내역서1'!#REF!</definedName>
    <definedName name="ㅗ" localSheetId="11">#REF!</definedName>
    <definedName name="ㅗ">#REF!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00" i="19" l="1"/>
  <c r="N100" i="19"/>
  <c r="M100" i="19"/>
  <c r="L100" i="19"/>
  <c r="K100" i="19"/>
  <c r="J100" i="19"/>
  <c r="I100" i="19"/>
  <c r="H100" i="19"/>
  <c r="G100" i="19"/>
  <c r="F100" i="19"/>
  <c r="E100" i="19"/>
  <c r="O98" i="19"/>
  <c r="N98" i="19"/>
  <c r="M98" i="19"/>
  <c r="L98" i="19"/>
  <c r="K98" i="19"/>
  <c r="J98" i="19"/>
  <c r="I98" i="19"/>
  <c r="H98" i="19"/>
  <c r="G98" i="19"/>
  <c r="F98" i="19"/>
  <c r="E98" i="19"/>
  <c r="O97" i="19"/>
  <c r="N97" i="19"/>
  <c r="M97" i="19"/>
  <c r="L97" i="19"/>
  <c r="K97" i="19"/>
  <c r="J97" i="19"/>
  <c r="I97" i="19"/>
  <c r="H97" i="19"/>
  <c r="G97" i="19"/>
  <c r="F97" i="19"/>
  <c r="O92" i="19"/>
  <c r="N92" i="19"/>
  <c r="M92" i="19"/>
  <c r="L92" i="19"/>
  <c r="K92" i="19"/>
  <c r="J92" i="19"/>
  <c r="I92" i="19"/>
  <c r="H92" i="19"/>
  <c r="G92" i="19"/>
  <c r="F92" i="19"/>
  <c r="E92" i="19"/>
  <c r="F7" i="27"/>
  <c r="F6" i="27"/>
  <c r="O54" i="19"/>
  <c r="N54" i="19"/>
  <c r="M54" i="19"/>
  <c r="L54" i="19"/>
  <c r="K54" i="19"/>
  <c r="J54" i="19"/>
  <c r="I54" i="19"/>
  <c r="H54" i="19"/>
  <c r="G54" i="19"/>
  <c r="F54" i="19"/>
  <c r="E54" i="19"/>
  <c r="C41" i="27"/>
  <c r="C40" i="27"/>
  <c r="C39" i="27"/>
  <c r="C38" i="27"/>
  <c r="F41" i="27"/>
  <c r="F40" i="27"/>
  <c r="F39" i="27"/>
  <c r="F38" i="27"/>
  <c r="N98" i="20"/>
  <c r="M98" i="20"/>
  <c r="L98" i="20"/>
  <c r="K98" i="20"/>
  <c r="J98" i="20"/>
  <c r="I98" i="20"/>
  <c r="H98" i="20"/>
  <c r="G98" i="20"/>
  <c r="F98" i="20"/>
  <c r="E98" i="20"/>
  <c r="D98" i="20"/>
  <c r="D97" i="20"/>
  <c r="N97" i="20"/>
  <c r="M97" i="20"/>
  <c r="L97" i="20"/>
  <c r="K97" i="20"/>
  <c r="J97" i="20"/>
  <c r="I97" i="20"/>
  <c r="H97" i="20"/>
  <c r="G97" i="20"/>
  <c r="F97" i="20"/>
  <c r="E97" i="20"/>
  <c r="N100" i="20"/>
  <c r="N92" i="20"/>
  <c r="M92" i="20"/>
  <c r="L92" i="20"/>
  <c r="K92" i="20"/>
  <c r="J92" i="20"/>
  <c r="I92" i="20"/>
  <c r="H92" i="20"/>
  <c r="G92" i="20"/>
  <c r="F92" i="20"/>
  <c r="E92" i="20"/>
  <c r="N54" i="20"/>
  <c r="F5" i="27"/>
  <c r="F4" i="27"/>
  <c r="D12" i="34"/>
  <c r="F6" i="34"/>
  <c r="G6" i="34"/>
  <c r="H6" i="34"/>
  <c r="I6" i="34"/>
  <c r="E6" i="34"/>
  <c r="I18" i="20"/>
  <c r="H18" i="20"/>
  <c r="G18" i="20"/>
  <c r="F18" i="20"/>
  <c r="E18" i="20"/>
  <c r="I17" i="20"/>
  <c r="H17" i="20"/>
  <c r="G17" i="20"/>
  <c r="F17" i="20"/>
  <c r="E17" i="20"/>
  <c r="C7" i="27"/>
  <c r="C6" i="27"/>
  <c r="C5" i="27"/>
  <c r="C4" i="27"/>
  <c r="F25" i="35"/>
  <c r="G21" i="35"/>
  <c r="G25" i="35" s="1"/>
  <c r="F20" i="35"/>
  <c r="G8" i="35"/>
  <c r="F8" i="35"/>
  <c r="G7" i="35"/>
  <c r="G9" i="35" s="1"/>
  <c r="F7" i="35"/>
  <c r="F9" i="35" s="1"/>
  <c r="E5" i="35"/>
  <c r="F5" i="35" s="1"/>
  <c r="F10" i="35" l="1"/>
  <c r="G10" i="35" s="1"/>
  <c r="F15" i="35"/>
  <c r="G15" i="35" s="1"/>
  <c r="F13" i="35"/>
  <c r="G13" i="35" s="1"/>
  <c r="F11" i="35"/>
  <c r="G11" i="35" s="1"/>
  <c r="G12" i="35" s="1"/>
  <c r="G14" i="35" s="1"/>
  <c r="G16" i="35" s="1"/>
  <c r="F12" i="35" l="1"/>
  <c r="F14" i="35" s="1"/>
  <c r="F16" i="35" s="1"/>
  <c r="C3" i="34" l="1"/>
  <c r="D3" i="34" s="1"/>
  <c r="E3" i="34" s="1"/>
  <c r="F3" i="34" s="1"/>
  <c r="G3" i="34" s="1"/>
  <c r="H3" i="34" s="1"/>
  <c r="I3" i="34" s="1"/>
  <c r="I8" i="34" s="1"/>
  <c r="I9" i="34" s="1"/>
  <c r="D2" i="34"/>
  <c r="E2" i="34" s="1"/>
  <c r="F2" i="34" s="1"/>
  <c r="G2" i="34" s="1"/>
  <c r="H2" i="34" s="1"/>
  <c r="I2" i="34" s="1"/>
  <c r="C55" i="20"/>
  <c r="P15" i="20"/>
  <c r="I10" i="34" l="1"/>
  <c r="E8" i="34"/>
  <c r="F8" i="34"/>
  <c r="H8" i="34"/>
  <c r="G8" i="34"/>
  <c r="I13" i="20"/>
  <c r="U63" i="27"/>
  <c r="T63" i="27"/>
  <c r="S63" i="27"/>
  <c r="R63" i="27"/>
  <c r="Q63" i="27"/>
  <c r="P63" i="27"/>
  <c r="O63" i="27"/>
  <c r="N63" i="27"/>
  <c r="M63" i="27"/>
  <c r="L63" i="27"/>
  <c r="K63" i="27"/>
  <c r="J63" i="27"/>
  <c r="I63" i="27"/>
  <c r="H63" i="27"/>
  <c r="G63" i="27"/>
  <c r="U62" i="27"/>
  <c r="T62" i="27"/>
  <c r="S62" i="27"/>
  <c r="R62" i="27"/>
  <c r="Q62" i="27"/>
  <c r="P62" i="27"/>
  <c r="O62" i="27"/>
  <c r="N62" i="27"/>
  <c r="M62" i="27"/>
  <c r="L62" i="27"/>
  <c r="K62" i="27"/>
  <c r="J62" i="27"/>
  <c r="I62" i="27"/>
  <c r="H62" i="27"/>
  <c r="G62" i="27"/>
  <c r="U61" i="27"/>
  <c r="T61" i="27"/>
  <c r="S61" i="27"/>
  <c r="R61" i="27"/>
  <c r="Q61" i="27"/>
  <c r="P61" i="27"/>
  <c r="O61" i="27"/>
  <c r="N61" i="27"/>
  <c r="M61" i="27"/>
  <c r="L61" i="27"/>
  <c r="K61" i="27"/>
  <c r="J61" i="27"/>
  <c r="I61" i="27"/>
  <c r="H61" i="27"/>
  <c r="G61" i="27"/>
  <c r="U60" i="27"/>
  <c r="T60" i="27"/>
  <c r="S60" i="27"/>
  <c r="R60" i="27"/>
  <c r="Q60" i="27"/>
  <c r="P60" i="27"/>
  <c r="O60" i="27"/>
  <c r="N60" i="27"/>
  <c r="M60" i="27"/>
  <c r="L60" i="27"/>
  <c r="K60" i="27"/>
  <c r="J60" i="27"/>
  <c r="I60" i="27"/>
  <c r="H60" i="27"/>
  <c r="G60" i="27"/>
  <c r="U59" i="27"/>
  <c r="T59" i="27"/>
  <c r="S59" i="27"/>
  <c r="R59" i="27"/>
  <c r="Q59" i="27"/>
  <c r="P59" i="27"/>
  <c r="O59" i="27"/>
  <c r="N59" i="27"/>
  <c r="M59" i="27"/>
  <c r="L59" i="27"/>
  <c r="K59" i="27"/>
  <c r="J59" i="27"/>
  <c r="I59" i="27"/>
  <c r="H59" i="27"/>
  <c r="G59" i="27"/>
  <c r="U58" i="27"/>
  <c r="T58" i="27"/>
  <c r="S58" i="27"/>
  <c r="R58" i="27"/>
  <c r="Q58" i="27"/>
  <c r="P58" i="27"/>
  <c r="O58" i="27"/>
  <c r="N58" i="27"/>
  <c r="M58" i="27"/>
  <c r="L58" i="27"/>
  <c r="K58" i="27"/>
  <c r="J58" i="27"/>
  <c r="I58" i="27"/>
  <c r="H58" i="27"/>
  <c r="G58" i="27"/>
  <c r="U56" i="27"/>
  <c r="T56" i="27"/>
  <c r="S56" i="27"/>
  <c r="R56" i="27"/>
  <c r="Q56" i="27"/>
  <c r="P56" i="27"/>
  <c r="O56" i="27"/>
  <c r="N56" i="27"/>
  <c r="M56" i="27"/>
  <c r="L56" i="27"/>
  <c r="K56" i="27"/>
  <c r="J56" i="27"/>
  <c r="I56" i="27"/>
  <c r="H56" i="27"/>
  <c r="G56" i="27"/>
  <c r="D29" i="27"/>
  <c r="D28" i="27"/>
  <c r="D27" i="27"/>
  <c r="G27" i="27" s="1"/>
  <c r="D26" i="27"/>
  <c r="L26" i="27" s="1"/>
  <c r="D25" i="27"/>
  <c r="D24" i="27"/>
  <c r="D23" i="27"/>
  <c r="D22" i="27"/>
  <c r="D21" i="27"/>
  <c r="U28" i="27"/>
  <c r="T28" i="27"/>
  <c r="S28" i="27"/>
  <c r="R28" i="27"/>
  <c r="Q28" i="27"/>
  <c r="P28" i="27"/>
  <c r="O28" i="27"/>
  <c r="N28" i="27"/>
  <c r="M28" i="27"/>
  <c r="L28" i="27"/>
  <c r="K28" i="27"/>
  <c r="J28" i="27"/>
  <c r="I28" i="27"/>
  <c r="H28" i="27"/>
  <c r="G28" i="27"/>
  <c r="J27" i="27"/>
  <c r="P27" i="27"/>
  <c r="Q27" i="27"/>
  <c r="R27" i="27"/>
  <c r="U27" i="27"/>
  <c r="U26" i="27"/>
  <c r="N26" i="27"/>
  <c r="M26" i="27"/>
  <c r="I26" i="27"/>
  <c r="G25" i="27"/>
  <c r="H25" i="27"/>
  <c r="I25" i="27"/>
  <c r="J25" i="27"/>
  <c r="K25" i="27"/>
  <c r="L25" i="27"/>
  <c r="M25" i="27"/>
  <c r="N25" i="27"/>
  <c r="O25" i="27"/>
  <c r="P25" i="27"/>
  <c r="Q25" i="27"/>
  <c r="R25" i="27"/>
  <c r="S25" i="27"/>
  <c r="T25" i="27"/>
  <c r="U25" i="27"/>
  <c r="D15" i="20"/>
  <c r="E13" i="20"/>
  <c r="F13" i="20"/>
  <c r="G13" i="20"/>
  <c r="H13" i="20"/>
  <c r="J13" i="20"/>
  <c r="K13" i="20"/>
  <c r="L13" i="20"/>
  <c r="M13" i="20"/>
  <c r="N13" i="20"/>
  <c r="D13" i="20"/>
  <c r="E14" i="20" s="1"/>
  <c r="G12" i="20"/>
  <c r="E14" i="1" s="1"/>
  <c r="H12" i="20"/>
  <c r="F14" i="1" s="1"/>
  <c r="I12" i="20"/>
  <c r="G14" i="1" s="1"/>
  <c r="J12" i="20"/>
  <c r="H14" i="1" s="1"/>
  <c r="K12" i="20"/>
  <c r="I14" i="1" s="1"/>
  <c r="L12" i="20"/>
  <c r="J14" i="1" s="1"/>
  <c r="M12" i="20"/>
  <c r="K14" i="1" s="1"/>
  <c r="N12" i="20"/>
  <c r="L14" i="1" s="1"/>
  <c r="E12" i="20"/>
  <c r="C14" i="1" s="1"/>
  <c r="F12" i="20"/>
  <c r="D14" i="1" s="1"/>
  <c r="D12" i="20"/>
  <c r="B14" i="1" s="1"/>
  <c r="D70" i="24"/>
  <c r="E70" i="24" s="1"/>
  <c r="F70" i="24" s="1"/>
  <c r="G70" i="24" s="1"/>
  <c r="H70" i="24" s="1"/>
  <c r="I70" i="24" s="1"/>
  <c r="J70" i="24" s="1"/>
  <c r="K70" i="24" s="1"/>
  <c r="L70" i="24" s="1"/>
  <c r="M70" i="24" s="1"/>
  <c r="N70" i="24" s="1"/>
  <c r="O70" i="24" s="1"/>
  <c r="P70" i="24" s="1"/>
  <c r="Q70" i="24" s="1"/>
  <c r="R70" i="24" s="1"/>
  <c r="S70" i="24" s="1"/>
  <c r="T70" i="24" s="1"/>
  <c r="U70" i="24" s="1"/>
  <c r="V70" i="24" s="1"/>
  <c r="W70" i="24" s="1"/>
  <c r="X70" i="24" s="1"/>
  <c r="Y70" i="24" s="1"/>
  <c r="Z70" i="24" s="1"/>
  <c r="AA70" i="24" s="1"/>
  <c r="AB70" i="24" s="1"/>
  <c r="AC70" i="24" s="1"/>
  <c r="AD70" i="24" s="1"/>
  <c r="AE70" i="24" s="1"/>
  <c r="E69" i="24"/>
  <c r="F69" i="24" s="1"/>
  <c r="G69" i="24" s="1"/>
  <c r="H69" i="24" s="1"/>
  <c r="I69" i="24" s="1"/>
  <c r="J69" i="24" s="1"/>
  <c r="K69" i="24" s="1"/>
  <c r="L69" i="24" s="1"/>
  <c r="M69" i="24" s="1"/>
  <c r="N69" i="24" s="1"/>
  <c r="O69" i="24" s="1"/>
  <c r="P69" i="24" s="1"/>
  <c r="Q69" i="24" s="1"/>
  <c r="R69" i="24" s="1"/>
  <c r="S69" i="24" s="1"/>
  <c r="T69" i="24" s="1"/>
  <c r="U69" i="24" s="1"/>
  <c r="V69" i="24" s="1"/>
  <c r="W69" i="24" s="1"/>
  <c r="X69" i="24" s="1"/>
  <c r="Y69" i="24" s="1"/>
  <c r="Z69" i="24" s="1"/>
  <c r="AA69" i="24" s="1"/>
  <c r="AB69" i="24" s="1"/>
  <c r="AC69" i="24" s="1"/>
  <c r="AD69" i="24" s="1"/>
  <c r="AE69" i="24" s="1"/>
  <c r="D69" i="24"/>
  <c r="D68" i="24"/>
  <c r="E68" i="24" s="1"/>
  <c r="F68" i="24" s="1"/>
  <c r="G68" i="24" s="1"/>
  <c r="H68" i="24" s="1"/>
  <c r="I68" i="24" s="1"/>
  <c r="J68" i="24" s="1"/>
  <c r="K68" i="24" s="1"/>
  <c r="L68" i="24" s="1"/>
  <c r="M68" i="24" s="1"/>
  <c r="N68" i="24" s="1"/>
  <c r="O68" i="24" s="1"/>
  <c r="P68" i="24" s="1"/>
  <c r="Q68" i="24" s="1"/>
  <c r="R68" i="24" s="1"/>
  <c r="S68" i="24" s="1"/>
  <c r="T68" i="24" s="1"/>
  <c r="U68" i="24" s="1"/>
  <c r="V68" i="24" s="1"/>
  <c r="W68" i="24" s="1"/>
  <c r="X68" i="24" s="1"/>
  <c r="Y68" i="24" s="1"/>
  <c r="Z68" i="24" s="1"/>
  <c r="AA68" i="24" s="1"/>
  <c r="AB68" i="24" s="1"/>
  <c r="AC68" i="24" s="1"/>
  <c r="AD68" i="24" s="1"/>
  <c r="AE68" i="24" s="1"/>
  <c r="D66" i="24"/>
  <c r="E66" i="24" s="1"/>
  <c r="F66" i="24" s="1"/>
  <c r="G66" i="24" s="1"/>
  <c r="H66" i="24" s="1"/>
  <c r="I66" i="24" s="1"/>
  <c r="J66" i="24" s="1"/>
  <c r="K66" i="24" s="1"/>
  <c r="L66" i="24" s="1"/>
  <c r="M66" i="24" s="1"/>
  <c r="N66" i="24" s="1"/>
  <c r="O66" i="24" s="1"/>
  <c r="P66" i="24" s="1"/>
  <c r="Q66" i="24" s="1"/>
  <c r="R66" i="24" s="1"/>
  <c r="S66" i="24" s="1"/>
  <c r="T66" i="24" s="1"/>
  <c r="U66" i="24" s="1"/>
  <c r="V66" i="24" s="1"/>
  <c r="W66" i="24" s="1"/>
  <c r="X66" i="24" s="1"/>
  <c r="Y66" i="24" s="1"/>
  <c r="Z66" i="24" s="1"/>
  <c r="AA66" i="24" s="1"/>
  <c r="AB66" i="24" s="1"/>
  <c r="AC66" i="24" s="1"/>
  <c r="AD66" i="24" s="1"/>
  <c r="AE66" i="24" s="1"/>
  <c r="G65" i="24"/>
  <c r="H65" i="24" s="1"/>
  <c r="I65" i="24" s="1"/>
  <c r="J65" i="24" s="1"/>
  <c r="K65" i="24" s="1"/>
  <c r="L65" i="24" s="1"/>
  <c r="M65" i="24" s="1"/>
  <c r="N65" i="24" s="1"/>
  <c r="O65" i="24" s="1"/>
  <c r="P65" i="24" s="1"/>
  <c r="Q65" i="24" s="1"/>
  <c r="R65" i="24" s="1"/>
  <c r="S65" i="24" s="1"/>
  <c r="T65" i="24" s="1"/>
  <c r="U65" i="24" s="1"/>
  <c r="V65" i="24" s="1"/>
  <c r="W65" i="24" s="1"/>
  <c r="X65" i="24" s="1"/>
  <c r="Y65" i="24" s="1"/>
  <c r="Z65" i="24" s="1"/>
  <c r="AA65" i="24" s="1"/>
  <c r="AB65" i="24" s="1"/>
  <c r="AC65" i="24" s="1"/>
  <c r="AD65" i="24" s="1"/>
  <c r="AE65" i="24" s="1"/>
  <c r="E65" i="24"/>
  <c r="F65" i="24" s="1"/>
  <c r="D65" i="24"/>
  <c r="D64" i="24"/>
  <c r="E64" i="24" s="1"/>
  <c r="F64" i="24" s="1"/>
  <c r="G64" i="24" s="1"/>
  <c r="H64" i="24" s="1"/>
  <c r="I64" i="24" s="1"/>
  <c r="J64" i="24" s="1"/>
  <c r="K64" i="24" s="1"/>
  <c r="L64" i="24" s="1"/>
  <c r="M64" i="24" s="1"/>
  <c r="N64" i="24" s="1"/>
  <c r="O64" i="24" s="1"/>
  <c r="P64" i="24" s="1"/>
  <c r="Q64" i="24" s="1"/>
  <c r="R64" i="24" s="1"/>
  <c r="S64" i="24" s="1"/>
  <c r="T64" i="24" s="1"/>
  <c r="U64" i="24" s="1"/>
  <c r="V64" i="24" s="1"/>
  <c r="W64" i="24" s="1"/>
  <c r="X64" i="24" s="1"/>
  <c r="Y64" i="24" s="1"/>
  <c r="Z64" i="24" s="1"/>
  <c r="AA64" i="24" s="1"/>
  <c r="AB64" i="24" s="1"/>
  <c r="AC64" i="24" s="1"/>
  <c r="AD64" i="24" s="1"/>
  <c r="AE64" i="24" s="1"/>
  <c r="D63" i="24"/>
  <c r="E63" i="24" s="1"/>
  <c r="F63" i="24" s="1"/>
  <c r="G63" i="24" s="1"/>
  <c r="H63" i="24" s="1"/>
  <c r="I63" i="24" s="1"/>
  <c r="J63" i="24" s="1"/>
  <c r="K63" i="24" s="1"/>
  <c r="L63" i="24" s="1"/>
  <c r="M63" i="24" s="1"/>
  <c r="N63" i="24" s="1"/>
  <c r="O63" i="24" s="1"/>
  <c r="P63" i="24" s="1"/>
  <c r="Q63" i="24" s="1"/>
  <c r="R63" i="24" s="1"/>
  <c r="S63" i="24" s="1"/>
  <c r="T63" i="24" s="1"/>
  <c r="U63" i="24" s="1"/>
  <c r="V63" i="24" s="1"/>
  <c r="W63" i="24" s="1"/>
  <c r="X63" i="24" s="1"/>
  <c r="Y63" i="24" s="1"/>
  <c r="Z63" i="24" s="1"/>
  <c r="AA63" i="24" s="1"/>
  <c r="AB63" i="24" s="1"/>
  <c r="AC63" i="24" s="1"/>
  <c r="AD63" i="24" s="1"/>
  <c r="AE63" i="24" s="1"/>
  <c r="H61" i="24"/>
  <c r="I61" i="24" s="1"/>
  <c r="J61" i="24" s="1"/>
  <c r="K61" i="24" s="1"/>
  <c r="L61" i="24" s="1"/>
  <c r="M61" i="24" s="1"/>
  <c r="N61" i="24" s="1"/>
  <c r="O61" i="24" s="1"/>
  <c r="P61" i="24" s="1"/>
  <c r="Q61" i="24" s="1"/>
  <c r="R61" i="24" s="1"/>
  <c r="S61" i="24" s="1"/>
  <c r="T61" i="24" s="1"/>
  <c r="U61" i="24" s="1"/>
  <c r="V61" i="24" s="1"/>
  <c r="W61" i="24" s="1"/>
  <c r="X61" i="24" s="1"/>
  <c r="Y61" i="24" s="1"/>
  <c r="Z61" i="24" s="1"/>
  <c r="AA61" i="24" s="1"/>
  <c r="AB61" i="24" s="1"/>
  <c r="AC61" i="24" s="1"/>
  <c r="AD61" i="24" s="1"/>
  <c r="AE61" i="24" s="1"/>
  <c r="G61" i="24"/>
  <c r="F61" i="24"/>
  <c r="E61" i="24"/>
  <c r="D61" i="24"/>
  <c r="D60" i="24"/>
  <c r="E60" i="24" s="1"/>
  <c r="F60" i="24" s="1"/>
  <c r="G60" i="24" s="1"/>
  <c r="H60" i="24" s="1"/>
  <c r="I60" i="24" s="1"/>
  <c r="J60" i="24" s="1"/>
  <c r="K60" i="24" s="1"/>
  <c r="L60" i="24" s="1"/>
  <c r="M60" i="24" s="1"/>
  <c r="N60" i="24" s="1"/>
  <c r="O60" i="24" s="1"/>
  <c r="P60" i="24" s="1"/>
  <c r="Q60" i="24" s="1"/>
  <c r="R60" i="24" s="1"/>
  <c r="S60" i="24" s="1"/>
  <c r="T60" i="24" s="1"/>
  <c r="U60" i="24" s="1"/>
  <c r="V60" i="24" s="1"/>
  <c r="W60" i="24" s="1"/>
  <c r="X60" i="24" s="1"/>
  <c r="Y60" i="24" s="1"/>
  <c r="Z60" i="24" s="1"/>
  <c r="AA60" i="24" s="1"/>
  <c r="AB60" i="24" s="1"/>
  <c r="AC60" i="24" s="1"/>
  <c r="AD60" i="24" s="1"/>
  <c r="AE60" i="24" s="1"/>
  <c r="J59" i="24"/>
  <c r="K59" i="24" s="1"/>
  <c r="L59" i="24" s="1"/>
  <c r="M59" i="24" s="1"/>
  <c r="N59" i="24" s="1"/>
  <c r="O59" i="24" s="1"/>
  <c r="P59" i="24" s="1"/>
  <c r="Q59" i="24" s="1"/>
  <c r="R59" i="24" s="1"/>
  <c r="S59" i="24" s="1"/>
  <c r="T59" i="24" s="1"/>
  <c r="U59" i="24" s="1"/>
  <c r="V59" i="24" s="1"/>
  <c r="W59" i="24" s="1"/>
  <c r="X59" i="24" s="1"/>
  <c r="Y59" i="24" s="1"/>
  <c r="Z59" i="24" s="1"/>
  <c r="AA59" i="24" s="1"/>
  <c r="AB59" i="24" s="1"/>
  <c r="AC59" i="24" s="1"/>
  <c r="AD59" i="24" s="1"/>
  <c r="AE59" i="24" s="1"/>
  <c r="D59" i="24"/>
  <c r="E59" i="24" s="1"/>
  <c r="F59" i="24" s="1"/>
  <c r="G59" i="24" s="1"/>
  <c r="H59" i="24" s="1"/>
  <c r="I59" i="24" s="1"/>
  <c r="G56" i="24"/>
  <c r="H56" i="24" s="1"/>
  <c r="I56" i="24" s="1"/>
  <c r="J56" i="24" s="1"/>
  <c r="K56" i="24" s="1"/>
  <c r="L56" i="24" s="1"/>
  <c r="M56" i="24" s="1"/>
  <c r="N56" i="24" s="1"/>
  <c r="O56" i="24" s="1"/>
  <c r="P56" i="24" s="1"/>
  <c r="Q56" i="24" s="1"/>
  <c r="R56" i="24" s="1"/>
  <c r="S56" i="24" s="1"/>
  <c r="T56" i="24" s="1"/>
  <c r="U56" i="24" s="1"/>
  <c r="V56" i="24" s="1"/>
  <c r="W56" i="24" s="1"/>
  <c r="X56" i="24" s="1"/>
  <c r="Y56" i="24" s="1"/>
  <c r="Z56" i="24" s="1"/>
  <c r="AA56" i="24" s="1"/>
  <c r="AB56" i="24" s="1"/>
  <c r="AC56" i="24" s="1"/>
  <c r="AD56" i="24" s="1"/>
  <c r="AE56" i="24" s="1"/>
  <c r="F56" i="24"/>
  <c r="E56" i="24"/>
  <c r="D56" i="24"/>
  <c r="F55" i="24"/>
  <c r="G55" i="24" s="1"/>
  <c r="H55" i="24" s="1"/>
  <c r="I55" i="24" s="1"/>
  <c r="J55" i="24" s="1"/>
  <c r="K55" i="24" s="1"/>
  <c r="L55" i="24" s="1"/>
  <c r="M55" i="24" s="1"/>
  <c r="N55" i="24" s="1"/>
  <c r="O55" i="24" s="1"/>
  <c r="P55" i="24" s="1"/>
  <c r="Q55" i="24" s="1"/>
  <c r="R55" i="24" s="1"/>
  <c r="S55" i="24" s="1"/>
  <c r="T55" i="24" s="1"/>
  <c r="U55" i="24" s="1"/>
  <c r="V55" i="24" s="1"/>
  <c r="W55" i="24" s="1"/>
  <c r="X55" i="24" s="1"/>
  <c r="Y55" i="24" s="1"/>
  <c r="Z55" i="24" s="1"/>
  <c r="AA55" i="24" s="1"/>
  <c r="AB55" i="24" s="1"/>
  <c r="AC55" i="24" s="1"/>
  <c r="AD55" i="24" s="1"/>
  <c r="AE55" i="24" s="1"/>
  <c r="D55" i="24"/>
  <c r="E55" i="24" s="1"/>
  <c r="D54" i="24"/>
  <c r="E54" i="24" s="1"/>
  <c r="F54" i="24" s="1"/>
  <c r="G54" i="24" s="1"/>
  <c r="H54" i="24" s="1"/>
  <c r="I54" i="24" s="1"/>
  <c r="J54" i="24" s="1"/>
  <c r="K54" i="24" s="1"/>
  <c r="L54" i="24" s="1"/>
  <c r="M54" i="24" s="1"/>
  <c r="N54" i="24" s="1"/>
  <c r="O54" i="24" s="1"/>
  <c r="P54" i="24" s="1"/>
  <c r="Q54" i="24" s="1"/>
  <c r="R54" i="24" s="1"/>
  <c r="S54" i="24" s="1"/>
  <c r="T54" i="24" s="1"/>
  <c r="U54" i="24" s="1"/>
  <c r="V54" i="24" s="1"/>
  <c r="W54" i="24" s="1"/>
  <c r="X54" i="24" s="1"/>
  <c r="Y54" i="24" s="1"/>
  <c r="Z54" i="24" s="1"/>
  <c r="AA54" i="24" s="1"/>
  <c r="AB54" i="24" s="1"/>
  <c r="AC54" i="24" s="1"/>
  <c r="AD54" i="24" s="1"/>
  <c r="AE54" i="24" s="1"/>
  <c r="G53" i="24"/>
  <c r="H53" i="24" s="1"/>
  <c r="I53" i="24" s="1"/>
  <c r="J53" i="24" s="1"/>
  <c r="K53" i="24" s="1"/>
  <c r="L53" i="24" s="1"/>
  <c r="M53" i="24" s="1"/>
  <c r="N53" i="24" s="1"/>
  <c r="O53" i="24" s="1"/>
  <c r="P53" i="24" s="1"/>
  <c r="Q53" i="24" s="1"/>
  <c r="R53" i="24" s="1"/>
  <c r="S53" i="24" s="1"/>
  <c r="T53" i="24" s="1"/>
  <c r="U53" i="24" s="1"/>
  <c r="V53" i="24" s="1"/>
  <c r="W53" i="24" s="1"/>
  <c r="X53" i="24" s="1"/>
  <c r="Y53" i="24" s="1"/>
  <c r="Z53" i="24" s="1"/>
  <c r="AA53" i="24" s="1"/>
  <c r="AB53" i="24" s="1"/>
  <c r="AC53" i="24" s="1"/>
  <c r="AD53" i="24" s="1"/>
  <c r="AE53" i="24" s="1"/>
  <c r="F53" i="24"/>
  <c r="E53" i="24"/>
  <c r="D53" i="24"/>
  <c r="AB52" i="24"/>
  <c r="AC52" i="24" s="1"/>
  <c r="AD52" i="24" s="1"/>
  <c r="AE52" i="24" s="1"/>
  <c r="D52" i="24"/>
  <c r="E52" i="24" s="1"/>
  <c r="F52" i="24" s="1"/>
  <c r="G52" i="24" s="1"/>
  <c r="H52" i="24" s="1"/>
  <c r="I52" i="24" s="1"/>
  <c r="J52" i="24" s="1"/>
  <c r="K52" i="24" s="1"/>
  <c r="L52" i="24" s="1"/>
  <c r="M52" i="24" s="1"/>
  <c r="N52" i="24" s="1"/>
  <c r="O52" i="24" s="1"/>
  <c r="P52" i="24" s="1"/>
  <c r="Q52" i="24" s="1"/>
  <c r="R52" i="24" s="1"/>
  <c r="S52" i="24" s="1"/>
  <c r="T52" i="24" s="1"/>
  <c r="U52" i="24" s="1"/>
  <c r="V52" i="24" s="1"/>
  <c r="W52" i="24" s="1"/>
  <c r="X52" i="24" s="1"/>
  <c r="Y52" i="24" s="1"/>
  <c r="Z52" i="24" s="1"/>
  <c r="AA52" i="24" s="1"/>
  <c r="D51" i="24"/>
  <c r="E51" i="24" s="1"/>
  <c r="F51" i="24" s="1"/>
  <c r="G51" i="24" s="1"/>
  <c r="H51" i="24" s="1"/>
  <c r="I51" i="24" s="1"/>
  <c r="J51" i="24" s="1"/>
  <c r="K51" i="24" s="1"/>
  <c r="L51" i="24" s="1"/>
  <c r="M51" i="24" s="1"/>
  <c r="N51" i="24" s="1"/>
  <c r="O51" i="24" s="1"/>
  <c r="P51" i="24" s="1"/>
  <c r="Q51" i="24" s="1"/>
  <c r="R51" i="24" s="1"/>
  <c r="S51" i="24" s="1"/>
  <c r="T51" i="24" s="1"/>
  <c r="U51" i="24" s="1"/>
  <c r="V51" i="24" s="1"/>
  <c r="W51" i="24" s="1"/>
  <c r="X51" i="24" s="1"/>
  <c r="Y51" i="24" s="1"/>
  <c r="Z51" i="24" s="1"/>
  <c r="AA51" i="24" s="1"/>
  <c r="AB51" i="24" s="1"/>
  <c r="AC51" i="24" s="1"/>
  <c r="AD51" i="24" s="1"/>
  <c r="AE51" i="24" s="1"/>
  <c r="H50" i="24"/>
  <c r="I50" i="24" s="1"/>
  <c r="J50" i="24" s="1"/>
  <c r="K50" i="24" s="1"/>
  <c r="L50" i="24" s="1"/>
  <c r="M50" i="24" s="1"/>
  <c r="N50" i="24" s="1"/>
  <c r="O50" i="24" s="1"/>
  <c r="P50" i="24" s="1"/>
  <c r="Q50" i="24" s="1"/>
  <c r="R50" i="24" s="1"/>
  <c r="S50" i="24" s="1"/>
  <c r="T50" i="24" s="1"/>
  <c r="U50" i="24" s="1"/>
  <c r="V50" i="24" s="1"/>
  <c r="W50" i="24" s="1"/>
  <c r="X50" i="24" s="1"/>
  <c r="Y50" i="24" s="1"/>
  <c r="Z50" i="24" s="1"/>
  <c r="AA50" i="24" s="1"/>
  <c r="AB50" i="24" s="1"/>
  <c r="AC50" i="24" s="1"/>
  <c r="AD50" i="24" s="1"/>
  <c r="AE50" i="24" s="1"/>
  <c r="G50" i="24"/>
  <c r="F50" i="24"/>
  <c r="E50" i="24"/>
  <c r="D50" i="24"/>
  <c r="D47" i="24"/>
  <c r="E47" i="24" s="1"/>
  <c r="F47" i="24" s="1"/>
  <c r="G47" i="24" s="1"/>
  <c r="H47" i="24" s="1"/>
  <c r="I47" i="24" s="1"/>
  <c r="J47" i="24" s="1"/>
  <c r="K47" i="24" s="1"/>
  <c r="L47" i="24" s="1"/>
  <c r="M47" i="24" s="1"/>
  <c r="N47" i="24" s="1"/>
  <c r="O47" i="24" s="1"/>
  <c r="P47" i="24" s="1"/>
  <c r="Q47" i="24" s="1"/>
  <c r="R47" i="24" s="1"/>
  <c r="S47" i="24" s="1"/>
  <c r="T47" i="24" s="1"/>
  <c r="U47" i="24" s="1"/>
  <c r="V47" i="24" s="1"/>
  <c r="W47" i="24" s="1"/>
  <c r="X47" i="24" s="1"/>
  <c r="Y47" i="24" s="1"/>
  <c r="Z47" i="24" s="1"/>
  <c r="AA47" i="24" s="1"/>
  <c r="AB47" i="24" s="1"/>
  <c r="AC47" i="24" s="1"/>
  <c r="AD47" i="24" s="1"/>
  <c r="AE47" i="24" s="1"/>
  <c r="D46" i="24"/>
  <c r="E46" i="24" s="1"/>
  <c r="F46" i="24" s="1"/>
  <c r="G46" i="24" s="1"/>
  <c r="H46" i="24" s="1"/>
  <c r="I46" i="24" s="1"/>
  <c r="J46" i="24" s="1"/>
  <c r="K46" i="24" s="1"/>
  <c r="L46" i="24" s="1"/>
  <c r="M46" i="24" s="1"/>
  <c r="N46" i="24" s="1"/>
  <c r="O46" i="24" s="1"/>
  <c r="P46" i="24" s="1"/>
  <c r="Q46" i="24" s="1"/>
  <c r="R46" i="24" s="1"/>
  <c r="S46" i="24" s="1"/>
  <c r="T46" i="24" s="1"/>
  <c r="U46" i="24" s="1"/>
  <c r="V46" i="24" s="1"/>
  <c r="W46" i="24" s="1"/>
  <c r="X46" i="24" s="1"/>
  <c r="Y46" i="24" s="1"/>
  <c r="Z46" i="24" s="1"/>
  <c r="AA46" i="24" s="1"/>
  <c r="AB46" i="24" s="1"/>
  <c r="AC46" i="24" s="1"/>
  <c r="AD46" i="24" s="1"/>
  <c r="AE46" i="24" s="1"/>
  <c r="E45" i="24"/>
  <c r="F45" i="24" s="1"/>
  <c r="F44" i="24"/>
  <c r="G44" i="24" s="1"/>
  <c r="H44" i="24" s="1"/>
  <c r="I44" i="24" s="1"/>
  <c r="J44" i="24" s="1"/>
  <c r="K44" i="24" s="1"/>
  <c r="L44" i="24" s="1"/>
  <c r="M44" i="24" s="1"/>
  <c r="N44" i="24" s="1"/>
  <c r="O44" i="24" s="1"/>
  <c r="P44" i="24" s="1"/>
  <c r="Q44" i="24" s="1"/>
  <c r="R44" i="24" s="1"/>
  <c r="S44" i="24" s="1"/>
  <c r="T44" i="24" s="1"/>
  <c r="U44" i="24" s="1"/>
  <c r="V44" i="24" s="1"/>
  <c r="W44" i="24" s="1"/>
  <c r="X44" i="24" s="1"/>
  <c r="Y44" i="24" s="1"/>
  <c r="Z44" i="24" s="1"/>
  <c r="AA44" i="24" s="1"/>
  <c r="AB44" i="24" s="1"/>
  <c r="AC44" i="24" s="1"/>
  <c r="AD44" i="24" s="1"/>
  <c r="AE44" i="24" s="1"/>
  <c r="D44" i="24"/>
  <c r="E44" i="24" s="1"/>
  <c r="H43" i="24"/>
  <c r="I43" i="24" s="1"/>
  <c r="J43" i="24" s="1"/>
  <c r="K43" i="24" s="1"/>
  <c r="L43" i="24" s="1"/>
  <c r="M43" i="24" s="1"/>
  <c r="N43" i="24" s="1"/>
  <c r="O43" i="24" s="1"/>
  <c r="P43" i="24" s="1"/>
  <c r="Q43" i="24" s="1"/>
  <c r="R43" i="24" s="1"/>
  <c r="S43" i="24" s="1"/>
  <c r="T43" i="24" s="1"/>
  <c r="U43" i="24" s="1"/>
  <c r="V43" i="24" s="1"/>
  <c r="W43" i="24" s="1"/>
  <c r="X43" i="24" s="1"/>
  <c r="Y43" i="24" s="1"/>
  <c r="Z43" i="24" s="1"/>
  <c r="AA43" i="24" s="1"/>
  <c r="AB43" i="24" s="1"/>
  <c r="AC43" i="24" s="1"/>
  <c r="AD43" i="24" s="1"/>
  <c r="AE43" i="24" s="1"/>
  <c r="D43" i="24"/>
  <c r="E43" i="24" s="1"/>
  <c r="F43" i="24" s="1"/>
  <c r="G43" i="24" s="1"/>
  <c r="I41" i="24"/>
  <c r="J41" i="24" s="1"/>
  <c r="K41" i="24" s="1"/>
  <c r="L41" i="24" s="1"/>
  <c r="M41" i="24" s="1"/>
  <c r="N41" i="24" s="1"/>
  <c r="O41" i="24" s="1"/>
  <c r="P41" i="24" s="1"/>
  <c r="Q41" i="24" s="1"/>
  <c r="R41" i="24" s="1"/>
  <c r="S41" i="24" s="1"/>
  <c r="T41" i="24" s="1"/>
  <c r="U41" i="24" s="1"/>
  <c r="V41" i="24" s="1"/>
  <c r="W41" i="24" s="1"/>
  <c r="X41" i="24" s="1"/>
  <c r="Y41" i="24" s="1"/>
  <c r="Z41" i="24" s="1"/>
  <c r="AA41" i="24" s="1"/>
  <c r="AB41" i="24" s="1"/>
  <c r="AC41" i="24" s="1"/>
  <c r="AD41" i="24" s="1"/>
  <c r="AE41" i="24" s="1"/>
  <c r="H41" i="24"/>
  <c r="F41" i="24"/>
  <c r="G41" i="24" s="1"/>
  <c r="D41" i="24"/>
  <c r="E41" i="24" s="1"/>
  <c r="G40" i="24"/>
  <c r="H40" i="24" s="1"/>
  <c r="I40" i="24" s="1"/>
  <c r="J40" i="24" s="1"/>
  <c r="K40" i="24" s="1"/>
  <c r="L40" i="24" s="1"/>
  <c r="M40" i="24" s="1"/>
  <c r="N40" i="24" s="1"/>
  <c r="O40" i="24" s="1"/>
  <c r="P40" i="24" s="1"/>
  <c r="Q40" i="24" s="1"/>
  <c r="R40" i="24" s="1"/>
  <c r="S40" i="24" s="1"/>
  <c r="T40" i="24" s="1"/>
  <c r="U40" i="24" s="1"/>
  <c r="V40" i="24" s="1"/>
  <c r="W40" i="24" s="1"/>
  <c r="X40" i="24" s="1"/>
  <c r="Y40" i="24" s="1"/>
  <c r="Z40" i="24" s="1"/>
  <c r="AA40" i="24" s="1"/>
  <c r="AB40" i="24" s="1"/>
  <c r="AC40" i="24" s="1"/>
  <c r="AD40" i="24" s="1"/>
  <c r="AE40" i="24" s="1"/>
  <c r="D40" i="24"/>
  <c r="E40" i="24" s="1"/>
  <c r="F40" i="24" s="1"/>
  <c r="E39" i="24"/>
  <c r="F39" i="24" s="1"/>
  <c r="G39" i="24" s="1"/>
  <c r="H39" i="24" s="1"/>
  <c r="I39" i="24" s="1"/>
  <c r="J39" i="24" s="1"/>
  <c r="K39" i="24" s="1"/>
  <c r="L39" i="24" s="1"/>
  <c r="M39" i="24" s="1"/>
  <c r="N39" i="24" s="1"/>
  <c r="O39" i="24" s="1"/>
  <c r="P39" i="24" s="1"/>
  <c r="Q39" i="24" s="1"/>
  <c r="R39" i="24" s="1"/>
  <c r="S39" i="24" s="1"/>
  <c r="T39" i="24" s="1"/>
  <c r="U39" i="24" s="1"/>
  <c r="V39" i="24" s="1"/>
  <c r="W39" i="24" s="1"/>
  <c r="X39" i="24" s="1"/>
  <c r="Y39" i="24" s="1"/>
  <c r="Z39" i="24" s="1"/>
  <c r="AA39" i="24" s="1"/>
  <c r="AB39" i="24" s="1"/>
  <c r="AC39" i="24" s="1"/>
  <c r="AD39" i="24" s="1"/>
  <c r="AE39" i="24" s="1"/>
  <c r="D39" i="24"/>
  <c r="G38" i="24"/>
  <c r="H38" i="24" s="1"/>
  <c r="I38" i="24" s="1"/>
  <c r="J38" i="24" s="1"/>
  <c r="K38" i="24" s="1"/>
  <c r="L38" i="24" s="1"/>
  <c r="M38" i="24" s="1"/>
  <c r="N38" i="24" s="1"/>
  <c r="O38" i="24" s="1"/>
  <c r="P38" i="24" s="1"/>
  <c r="Q38" i="24" s="1"/>
  <c r="R38" i="24" s="1"/>
  <c r="S38" i="24" s="1"/>
  <c r="T38" i="24" s="1"/>
  <c r="U38" i="24" s="1"/>
  <c r="V38" i="24" s="1"/>
  <c r="W38" i="24" s="1"/>
  <c r="X38" i="24" s="1"/>
  <c r="Y38" i="24" s="1"/>
  <c r="Z38" i="24" s="1"/>
  <c r="AA38" i="24" s="1"/>
  <c r="AB38" i="24" s="1"/>
  <c r="AC38" i="24" s="1"/>
  <c r="AD38" i="24" s="1"/>
  <c r="AE38" i="24" s="1"/>
  <c r="F38" i="24"/>
  <c r="E38" i="24"/>
  <c r="D38" i="24"/>
  <c r="D37" i="24"/>
  <c r="E37" i="24" s="1"/>
  <c r="F37" i="24" s="1"/>
  <c r="G37" i="24" s="1"/>
  <c r="H37" i="24" s="1"/>
  <c r="I37" i="24" s="1"/>
  <c r="J37" i="24" s="1"/>
  <c r="K37" i="24" s="1"/>
  <c r="L37" i="24" s="1"/>
  <c r="M37" i="24" s="1"/>
  <c r="N37" i="24" s="1"/>
  <c r="O37" i="24" s="1"/>
  <c r="P37" i="24" s="1"/>
  <c r="Q37" i="24" s="1"/>
  <c r="R37" i="24" s="1"/>
  <c r="S37" i="24" s="1"/>
  <c r="T37" i="24" s="1"/>
  <c r="U37" i="24" s="1"/>
  <c r="V37" i="24" s="1"/>
  <c r="W37" i="24" s="1"/>
  <c r="X37" i="24" s="1"/>
  <c r="Y37" i="24" s="1"/>
  <c r="Z37" i="24" s="1"/>
  <c r="AA37" i="24" s="1"/>
  <c r="AB37" i="24" s="1"/>
  <c r="AC37" i="24" s="1"/>
  <c r="AD37" i="24" s="1"/>
  <c r="AE37" i="24" s="1"/>
  <c r="E36" i="24"/>
  <c r="F36" i="24" s="1"/>
  <c r="G36" i="24" s="1"/>
  <c r="H36" i="24" s="1"/>
  <c r="I36" i="24" s="1"/>
  <c r="J36" i="24" s="1"/>
  <c r="K36" i="24" s="1"/>
  <c r="L36" i="24" s="1"/>
  <c r="M36" i="24" s="1"/>
  <c r="N36" i="24" s="1"/>
  <c r="O36" i="24" s="1"/>
  <c r="P36" i="24" s="1"/>
  <c r="Q36" i="24" s="1"/>
  <c r="R36" i="24" s="1"/>
  <c r="S36" i="24" s="1"/>
  <c r="T36" i="24" s="1"/>
  <c r="U36" i="24" s="1"/>
  <c r="V36" i="24" s="1"/>
  <c r="W36" i="24" s="1"/>
  <c r="X36" i="24" s="1"/>
  <c r="Y36" i="24" s="1"/>
  <c r="Z36" i="24" s="1"/>
  <c r="AA36" i="24" s="1"/>
  <c r="AB36" i="24" s="1"/>
  <c r="AC36" i="24" s="1"/>
  <c r="AD36" i="24" s="1"/>
  <c r="AE36" i="24" s="1"/>
  <c r="D36" i="24"/>
  <c r="F34" i="24"/>
  <c r="G34" i="24" s="1"/>
  <c r="H34" i="24" s="1"/>
  <c r="I34" i="24" s="1"/>
  <c r="J34" i="24" s="1"/>
  <c r="K34" i="24" s="1"/>
  <c r="L34" i="24" s="1"/>
  <c r="M34" i="24" s="1"/>
  <c r="N34" i="24" s="1"/>
  <c r="O34" i="24" s="1"/>
  <c r="P34" i="24" s="1"/>
  <c r="Q34" i="24" s="1"/>
  <c r="R34" i="24" s="1"/>
  <c r="S34" i="24" s="1"/>
  <c r="T34" i="24" s="1"/>
  <c r="U34" i="24" s="1"/>
  <c r="V34" i="24" s="1"/>
  <c r="W34" i="24" s="1"/>
  <c r="X34" i="24" s="1"/>
  <c r="Y34" i="24" s="1"/>
  <c r="Z34" i="24" s="1"/>
  <c r="AA34" i="24" s="1"/>
  <c r="AB34" i="24" s="1"/>
  <c r="AC34" i="24" s="1"/>
  <c r="AD34" i="24" s="1"/>
  <c r="AE34" i="24" s="1"/>
  <c r="D34" i="24"/>
  <c r="E34" i="24" s="1"/>
  <c r="F33" i="24"/>
  <c r="G33" i="24" s="1"/>
  <c r="H33" i="24" s="1"/>
  <c r="I33" i="24" s="1"/>
  <c r="J33" i="24" s="1"/>
  <c r="K33" i="24" s="1"/>
  <c r="L33" i="24" s="1"/>
  <c r="M33" i="24" s="1"/>
  <c r="N33" i="24" s="1"/>
  <c r="O33" i="24" s="1"/>
  <c r="P33" i="24" s="1"/>
  <c r="Q33" i="24" s="1"/>
  <c r="R33" i="24" s="1"/>
  <c r="S33" i="24" s="1"/>
  <c r="T33" i="24" s="1"/>
  <c r="U33" i="24" s="1"/>
  <c r="V33" i="24" s="1"/>
  <c r="W33" i="24" s="1"/>
  <c r="X33" i="24" s="1"/>
  <c r="Y33" i="24" s="1"/>
  <c r="Z33" i="24" s="1"/>
  <c r="AA33" i="24" s="1"/>
  <c r="AB33" i="24" s="1"/>
  <c r="AC33" i="24" s="1"/>
  <c r="AD33" i="24" s="1"/>
  <c r="AE33" i="24" s="1"/>
  <c r="D33" i="24"/>
  <c r="E33" i="24" s="1"/>
  <c r="E32" i="24"/>
  <c r="F32" i="24" s="1"/>
  <c r="G32" i="24" s="1"/>
  <c r="H32" i="24" s="1"/>
  <c r="I32" i="24" s="1"/>
  <c r="J32" i="24" s="1"/>
  <c r="K32" i="24" s="1"/>
  <c r="L32" i="24" s="1"/>
  <c r="M32" i="24" s="1"/>
  <c r="N32" i="24" s="1"/>
  <c r="O32" i="24" s="1"/>
  <c r="P32" i="24" s="1"/>
  <c r="Q32" i="24" s="1"/>
  <c r="R32" i="24" s="1"/>
  <c r="S32" i="24" s="1"/>
  <c r="T32" i="24" s="1"/>
  <c r="U32" i="24" s="1"/>
  <c r="V32" i="24" s="1"/>
  <c r="W32" i="24" s="1"/>
  <c r="X32" i="24" s="1"/>
  <c r="Y32" i="24" s="1"/>
  <c r="Z32" i="24" s="1"/>
  <c r="AA32" i="24" s="1"/>
  <c r="AB32" i="24" s="1"/>
  <c r="AC32" i="24" s="1"/>
  <c r="AD32" i="24" s="1"/>
  <c r="AE32" i="24" s="1"/>
  <c r="D32" i="24"/>
  <c r="D31" i="24"/>
  <c r="E31" i="24" s="1"/>
  <c r="F31" i="24" s="1"/>
  <c r="G31" i="24" s="1"/>
  <c r="H31" i="24" s="1"/>
  <c r="I31" i="24" s="1"/>
  <c r="J31" i="24" s="1"/>
  <c r="K31" i="24" s="1"/>
  <c r="L31" i="24" s="1"/>
  <c r="M31" i="24" s="1"/>
  <c r="N31" i="24" s="1"/>
  <c r="O31" i="24" s="1"/>
  <c r="P31" i="24" s="1"/>
  <c r="Q31" i="24" s="1"/>
  <c r="R31" i="24" s="1"/>
  <c r="S31" i="24" s="1"/>
  <c r="T31" i="24" s="1"/>
  <c r="U31" i="24" s="1"/>
  <c r="V31" i="24" s="1"/>
  <c r="W31" i="24" s="1"/>
  <c r="X31" i="24" s="1"/>
  <c r="Y31" i="24" s="1"/>
  <c r="Z31" i="24" s="1"/>
  <c r="AA31" i="24" s="1"/>
  <c r="AB31" i="24" s="1"/>
  <c r="AC31" i="24" s="1"/>
  <c r="AD31" i="24" s="1"/>
  <c r="AE31" i="24" s="1"/>
  <c r="D29" i="24"/>
  <c r="E29" i="24" s="1"/>
  <c r="F29" i="24" s="1"/>
  <c r="G29" i="24" s="1"/>
  <c r="H29" i="24" s="1"/>
  <c r="I29" i="24" s="1"/>
  <c r="J29" i="24" s="1"/>
  <c r="K29" i="24" s="1"/>
  <c r="L29" i="24" s="1"/>
  <c r="M29" i="24" s="1"/>
  <c r="N29" i="24" s="1"/>
  <c r="O29" i="24" s="1"/>
  <c r="P29" i="24" s="1"/>
  <c r="Q29" i="24" s="1"/>
  <c r="R29" i="24" s="1"/>
  <c r="S29" i="24" s="1"/>
  <c r="T29" i="24" s="1"/>
  <c r="U29" i="24" s="1"/>
  <c r="V29" i="24" s="1"/>
  <c r="W29" i="24" s="1"/>
  <c r="X29" i="24" s="1"/>
  <c r="Y29" i="24" s="1"/>
  <c r="Z29" i="24" s="1"/>
  <c r="AA29" i="24" s="1"/>
  <c r="AB29" i="24" s="1"/>
  <c r="AC29" i="24" s="1"/>
  <c r="AD29" i="24" s="1"/>
  <c r="AE29" i="24" s="1"/>
  <c r="D28" i="24"/>
  <c r="E28" i="24" s="1"/>
  <c r="F28" i="24" s="1"/>
  <c r="G28" i="24" s="1"/>
  <c r="H28" i="24" s="1"/>
  <c r="I28" i="24" s="1"/>
  <c r="J28" i="24" s="1"/>
  <c r="K28" i="24" s="1"/>
  <c r="L28" i="24" s="1"/>
  <c r="M28" i="24" s="1"/>
  <c r="N28" i="24" s="1"/>
  <c r="O28" i="24" s="1"/>
  <c r="P28" i="24" s="1"/>
  <c r="Q28" i="24" s="1"/>
  <c r="R28" i="24" s="1"/>
  <c r="S28" i="24" s="1"/>
  <c r="T28" i="24" s="1"/>
  <c r="U28" i="24" s="1"/>
  <c r="V28" i="24" s="1"/>
  <c r="W28" i="24" s="1"/>
  <c r="X28" i="24" s="1"/>
  <c r="Y28" i="24" s="1"/>
  <c r="Z28" i="24" s="1"/>
  <c r="AA28" i="24" s="1"/>
  <c r="AB28" i="24" s="1"/>
  <c r="AC28" i="24" s="1"/>
  <c r="AD28" i="24" s="1"/>
  <c r="AE28" i="24" s="1"/>
  <c r="G26" i="24"/>
  <c r="H26" i="24" s="1"/>
  <c r="I26" i="24" s="1"/>
  <c r="J26" i="24" s="1"/>
  <c r="K26" i="24" s="1"/>
  <c r="L26" i="24" s="1"/>
  <c r="M26" i="24" s="1"/>
  <c r="N26" i="24" s="1"/>
  <c r="O26" i="24" s="1"/>
  <c r="P26" i="24" s="1"/>
  <c r="Q26" i="24" s="1"/>
  <c r="R26" i="24" s="1"/>
  <c r="S26" i="24" s="1"/>
  <c r="T26" i="24" s="1"/>
  <c r="U26" i="24" s="1"/>
  <c r="V26" i="24" s="1"/>
  <c r="W26" i="24" s="1"/>
  <c r="X26" i="24" s="1"/>
  <c r="Y26" i="24" s="1"/>
  <c r="Z26" i="24" s="1"/>
  <c r="AA26" i="24" s="1"/>
  <c r="AB26" i="24" s="1"/>
  <c r="AC26" i="24" s="1"/>
  <c r="AD26" i="24" s="1"/>
  <c r="AE26" i="24" s="1"/>
  <c r="F26" i="24"/>
  <c r="E26" i="24"/>
  <c r="D26" i="24"/>
  <c r="D25" i="24"/>
  <c r="E25" i="24" s="1"/>
  <c r="F25" i="24" s="1"/>
  <c r="G25" i="24" s="1"/>
  <c r="H25" i="24" s="1"/>
  <c r="I25" i="24" s="1"/>
  <c r="J25" i="24" s="1"/>
  <c r="K25" i="24" s="1"/>
  <c r="L25" i="24" s="1"/>
  <c r="M25" i="24" s="1"/>
  <c r="N25" i="24" s="1"/>
  <c r="O25" i="24" s="1"/>
  <c r="P25" i="24" s="1"/>
  <c r="Q25" i="24" s="1"/>
  <c r="R25" i="24" s="1"/>
  <c r="S25" i="24" s="1"/>
  <c r="T25" i="24" s="1"/>
  <c r="U25" i="24" s="1"/>
  <c r="V25" i="24" s="1"/>
  <c r="W25" i="24" s="1"/>
  <c r="X25" i="24" s="1"/>
  <c r="Y25" i="24" s="1"/>
  <c r="Z25" i="24" s="1"/>
  <c r="AA25" i="24" s="1"/>
  <c r="AB25" i="24" s="1"/>
  <c r="AC25" i="24" s="1"/>
  <c r="AD25" i="24" s="1"/>
  <c r="AE25" i="24" s="1"/>
  <c r="D24" i="24"/>
  <c r="E24" i="24" s="1"/>
  <c r="F24" i="24" s="1"/>
  <c r="G24" i="24" s="1"/>
  <c r="H24" i="24" s="1"/>
  <c r="I24" i="24" s="1"/>
  <c r="J24" i="24" s="1"/>
  <c r="K24" i="24" s="1"/>
  <c r="L24" i="24" s="1"/>
  <c r="M24" i="24" s="1"/>
  <c r="N24" i="24" s="1"/>
  <c r="O24" i="24" s="1"/>
  <c r="P24" i="24" s="1"/>
  <c r="Q24" i="24" s="1"/>
  <c r="R24" i="24" s="1"/>
  <c r="S24" i="24" s="1"/>
  <c r="T24" i="24" s="1"/>
  <c r="U24" i="24" s="1"/>
  <c r="V24" i="24" s="1"/>
  <c r="W24" i="24" s="1"/>
  <c r="X24" i="24" s="1"/>
  <c r="Y24" i="24" s="1"/>
  <c r="Z24" i="24" s="1"/>
  <c r="AA24" i="24" s="1"/>
  <c r="AB24" i="24" s="1"/>
  <c r="AC24" i="24" s="1"/>
  <c r="AD24" i="24" s="1"/>
  <c r="AE24" i="24" s="1"/>
  <c r="D23" i="24"/>
  <c r="E23" i="24" s="1"/>
  <c r="F23" i="24" s="1"/>
  <c r="G23" i="24" s="1"/>
  <c r="H23" i="24" s="1"/>
  <c r="I23" i="24" s="1"/>
  <c r="J23" i="24" s="1"/>
  <c r="K23" i="24" s="1"/>
  <c r="L23" i="24" s="1"/>
  <c r="M23" i="24" s="1"/>
  <c r="N23" i="24" s="1"/>
  <c r="O23" i="24" s="1"/>
  <c r="P23" i="24" s="1"/>
  <c r="Q23" i="24" s="1"/>
  <c r="R23" i="24" s="1"/>
  <c r="S23" i="24" s="1"/>
  <c r="T23" i="24" s="1"/>
  <c r="U23" i="24" s="1"/>
  <c r="V23" i="24" s="1"/>
  <c r="W23" i="24" s="1"/>
  <c r="X23" i="24" s="1"/>
  <c r="Y23" i="24" s="1"/>
  <c r="Z23" i="24" s="1"/>
  <c r="AA23" i="24" s="1"/>
  <c r="AB23" i="24" s="1"/>
  <c r="AC23" i="24" s="1"/>
  <c r="AD23" i="24" s="1"/>
  <c r="AE23" i="24" s="1"/>
  <c r="O22" i="24"/>
  <c r="P22" i="24" s="1"/>
  <c r="Q22" i="24" s="1"/>
  <c r="R22" i="24" s="1"/>
  <c r="S22" i="24" s="1"/>
  <c r="T22" i="24" s="1"/>
  <c r="U22" i="24" s="1"/>
  <c r="V22" i="24" s="1"/>
  <c r="W22" i="24" s="1"/>
  <c r="X22" i="24" s="1"/>
  <c r="Y22" i="24" s="1"/>
  <c r="Z22" i="24" s="1"/>
  <c r="AA22" i="24" s="1"/>
  <c r="AB22" i="24" s="1"/>
  <c r="AC22" i="24" s="1"/>
  <c r="AD22" i="24" s="1"/>
  <c r="AE22" i="24" s="1"/>
  <c r="E22" i="24"/>
  <c r="F22" i="24" s="1"/>
  <c r="G22" i="24" s="1"/>
  <c r="H22" i="24" s="1"/>
  <c r="I22" i="24" s="1"/>
  <c r="J22" i="24" s="1"/>
  <c r="K22" i="24" s="1"/>
  <c r="L22" i="24" s="1"/>
  <c r="M22" i="24" s="1"/>
  <c r="N22" i="24" s="1"/>
  <c r="D22" i="24"/>
  <c r="F21" i="24"/>
  <c r="G21" i="24" s="1"/>
  <c r="H21" i="24" s="1"/>
  <c r="I21" i="24" s="1"/>
  <c r="J21" i="24" s="1"/>
  <c r="K21" i="24" s="1"/>
  <c r="L21" i="24" s="1"/>
  <c r="M21" i="24" s="1"/>
  <c r="N21" i="24" s="1"/>
  <c r="O21" i="24" s="1"/>
  <c r="P21" i="24" s="1"/>
  <c r="Q21" i="24" s="1"/>
  <c r="R21" i="24" s="1"/>
  <c r="S21" i="24" s="1"/>
  <c r="T21" i="24" s="1"/>
  <c r="U21" i="24" s="1"/>
  <c r="V21" i="24" s="1"/>
  <c r="W21" i="24" s="1"/>
  <c r="X21" i="24" s="1"/>
  <c r="Y21" i="24" s="1"/>
  <c r="Z21" i="24" s="1"/>
  <c r="AA21" i="24" s="1"/>
  <c r="AB21" i="24" s="1"/>
  <c r="AC21" i="24" s="1"/>
  <c r="AD21" i="24" s="1"/>
  <c r="AE21" i="24" s="1"/>
  <c r="D21" i="24"/>
  <c r="E21" i="24" s="1"/>
  <c r="D20" i="24"/>
  <c r="E20" i="24" s="1"/>
  <c r="F20" i="24" s="1"/>
  <c r="G20" i="24" s="1"/>
  <c r="H20" i="24" s="1"/>
  <c r="I20" i="24" s="1"/>
  <c r="J20" i="24" s="1"/>
  <c r="K20" i="24" s="1"/>
  <c r="L20" i="24" s="1"/>
  <c r="M20" i="24" s="1"/>
  <c r="N20" i="24" s="1"/>
  <c r="O20" i="24" s="1"/>
  <c r="P20" i="24" s="1"/>
  <c r="Q20" i="24" s="1"/>
  <c r="R20" i="24" s="1"/>
  <c r="S20" i="24" s="1"/>
  <c r="T20" i="24" s="1"/>
  <c r="U20" i="24" s="1"/>
  <c r="V20" i="24" s="1"/>
  <c r="W20" i="24" s="1"/>
  <c r="X20" i="24" s="1"/>
  <c r="Y20" i="24" s="1"/>
  <c r="Z20" i="24" s="1"/>
  <c r="AA20" i="24" s="1"/>
  <c r="AB20" i="24" s="1"/>
  <c r="AC20" i="24" s="1"/>
  <c r="AD20" i="24" s="1"/>
  <c r="AE20" i="24" s="1"/>
  <c r="V17" i="24"/>
  <c r="W17" i="24" s="1"/>
  <c r="X17" i="24" s="1"/>
  <c r="Y17" i="24" s="1"/>
  <c r="Z17" i="24" s="1"/>
  <c r="AA17" i="24" s="1"/>
  <c r="AB17" i="24" s="1"/>
  <c r="AC17" i="24" s="1"/>
  <c r="AD17" i="24" s="1"/>
  <c r="AE17" i="24" s="1"/>
  <c r="E17" i="24"/>
  <c r="F17" i="24" s="1"/>
  <c r="G17" i="24" s="1"/>
  <c r="H17" i="24" s="1"/>
  <c r="I17" i="24" s="1"/>
  <c r="J17" i="24" s="1"/>
  <c r="K17" i="24" s="1"/>
  <c r="L17" i="24" s="1"/>
  <c r="M17" i="24" s="1"/>
  <c r="N17" i="24" s="1"/>
  <c r="O17" i="24" s="1"/>
  <c r="P17" i="24" s="1"/>
  <c r="Q17" i="24" s="1"/>
  <c r="R17" i="24" s="1"/>
  <c r="S17" i="24" s="1"/>
  <c r="T17" i="24" s="1"/>
  <c r="U17" i="24" s="1"/>
  <c r="D17" i="24"/>
  <c r="D15" i="24"/>
  <c r="E15" i="24" s="1"/>
  <c r="F15" i="24" s="1"/>
  <c r="G15" i="24" s="1"/>
  <c r="H15" i="24" s="1"/>
  <c r="I15" i="24" s="1"/>
  <c r="J15" i="24" s="1"/>
  <c r="K15" i="24" s="1"/>
  <c r="L15" i="24" s="1"/>
  <c r="M15" i="24" s="1"/>
  <c r="N15" i="24" s="1"/>
  <c r="O15" i="24" s="1"/>
  <c r="P15" i="24" s="1"/>
  <c r="Q15" i="24" s="1"/>
  <c r="R15" i="24" s="1"/>
  <c r="S15" i="24" s="1"/>
  <c r="T15" i="24" s="1"/>
  <c r="U15" i="24" s="1"/>
  <c r="V15" i="24" s="1"/>
  <c r="W15" i="24" s="1"/>
  <c r="X15" i="24" s="1"/>
  <c r="Y15" i="24" s="1"/>
  <c r="Z15" i="24" s="1"/>
  <c r="AA15" i="24" s="1"/>
  <c r="AB15" i="24" s="1"/>
  <c r="AC15" i="24" s="1"/>
  <c r="AD15" i="24" s="1"/>
  <c r="AE15" i="24" s="1"/>
  <c r="V14" i="24"/>
  <c r="W14" i="24" s="1"/>
  <c r="X14" i="24" s="1"/>
  <c r="Y14" i="24" s="1"/>
  <c r="Z14" i="24" s="1"/>
  <c r="AA14" i="24" s="1"/>
  <c r="AB14" i="24" s="1"/>
  <c r="AC14" i="24" s="1"/>
  <c r="AD14" i="24" s="1"/>
  <c r="AE14" i="24" s="1"/>
  <c r="D14" i="24"/>
  <c r="E14" i="24" s="1"/>
  <c r="F14" i="24" s="1"/>
  <c r="G14" i="24" s="1"/>
  <c r="H14" i="24" s="1"/>
  <c r="I14" i="24" s="1"/>
  <c r="J14" i="24" s="1"/>
  <c r="K14" i="24" s="1"/>
  <c r="L14" i="24" s="1"/>
  <c r="M14" i="24" s="1"/>
  <c r="N14" i="24" s="1"/>
  <c r="O14" i="24" s="1"/>
  <c r="P14" i="24" s="1"/>
  <c r="Q14" i="24" s="1"/>
  <c r="R14" i="24" s="1"/>
  <c r="S14" i="24" s="1"/>
  <c r="T14" i="24" s="1"/>
  <c r="U14" i="24" s="1"/>
  <c r="E13" i="24"/>
  <c r="F13" i="24" s="1"/>
  <c r="G13" i="24" s="1"/>
  <c r="H13" i="24" s="1"/>
  <c r="I13" i="24" s="1"/>
  <c r="J13" i="24" s="1"/>
  <c r="K13" i="24" s="1"/>
  <c r="L13" i="24" s="1"/>
  <c r="M13" i="24" s="1"/>
  <c r="N13" i="24" s="1"/>
  <c r="O13" i="24" s="1"/>
  <c r="P13" i="24" s="1"/>
  <c r="Q13" i="24" s="1"/>
  <c r="R13" i="24" s="1"/>
  <c r="S13" i="24" s="1"/>
  <c r="T13" i="24" s="1"/>
  <c r="U13" i="24" s="1"/>
  <c r="V13" i="24" s="1"/>
  <c r="W13" i="24" s="1"/>
  <c r="X13" i="24" s="1"/>
  <c r="Y13" i="24" s="1"/>
  <c r="Z13" i="24" s="1"/>
  <c r="AA13" i="24" s="1"/>
  <c r="AB13" i="24" s="1"/>
  <c r="AC13" i="24" s="1"/>
  <c r="AD13" i="24" s="1"/>
  <c r="AE13" i="24" s="1"/>
  <c r="D13" i="24"/>
  <c r="D12" i="24"/>
  <c r="E12" i="24" s="1"/>
  <c r="F12" i="24" s="1"/>
  <c r="G12" i="24" s="1"/>
  <c r="H12" i="24" s="1"/>
  <c r="I12" i="24" s="1"/>
  <c r="J12" i="24" s="1"/>
  <c r="K12" i="24" s="1"/>
  <c r="L12" i="24" s="1"/>
  <c r="M12" i="24" s="1"/>
  <c r="N12" i="24" s="1"/>
  <c r="O12" i="24" s="1"/>
  <c r="P12" i="24" s="1"/>
  <c r="Q12" i="24" s="1"/>
  <c r="R12" i="24" s="1"/>
  <c r="S12" i="24" s="1"/>
  <c r="T12" i="24" s="1"/>
  <c r="U12" i="24" s="1"/>
  <c r="V12" i="24" s="1"/>
  <c r="W12" i="24" s="1"/>
  <c r="X12" i="24" s="1"/>
  <c r="Y12" i="24" s="1"/>
  <c r="Z12" i="24" s="1"/>
  <c r="AA12" i="24" s="1"/>
  <c r="AB12" i="24" s="1"/>
  <c r="AC12" i="24" s="1"/>
  <c r="AD12" i="24" s="1"/>
  <c r="AE12" i="24" s="1"/>
  <c r="E11" i="24"/>
  <c r="F11" i="24" s="1"/>
  <c r="G11" i="24" s="1"/>
  <c r="H11" i="24" s="1"/>
  <c r="I11" i="24" s="1"/>
  <c r="J11" i="24" s="1"/>
  <c r="K11" i="24" s="1"/>
  <c r="L11" i="24" s="1"/>
  <c r="M11" i="24" s="1"/>
  <c r="N11" i="24" s="1"/>
  <c r="O11" i="24" s="1"/>
  <c r="P11" i="24" s="1"/>
  <c r="Q11" i="24" s="1"/>
  <c r="R11" i="24" s="1"/>
  <c r="S11" i="24" s="1"/>
  <c r="T11" i="24" s="1"/>
  <c r="U11" i="24" s="1"/>
  <c r="V11" i="24" s="1"/>
  <c r="W11" i="24" s="1"/>
  <c r="X11" i="24" s="1"/>
  <c r="Y11" i="24" s="1"/>
  <c r="Z11" i="24" s="1"/>
  <c r="AA11" i="24" s="1"/>
  <c r="AB11" i="24" s="1"/>
  <c r="AC11" i="24" s="1"/>
  <c r="AD11" i="24" s="1"/>
  <c r="AE11" i="24" s="1"/>
  <c r="D11" i="24"/>
  <c r="D10" i="24"/>
  <c r="E10" i="24" s="1"/>
  <c r="F10" i="24" s="1"/>
  <c r="G10" i="24" s="1"/>
  <c r="H10" i="24" s="1"/>
  <c r="I10" i="24" s="1"/>
  <c r="J10" i="24" s="1"/>
  <c r="K10" i="24" s="1"/>
  <c r="L10" i="24" s="1"/>
  <c r="M10" i="24" s="1"/>
  <c r="N10" i="24" s="1"/>
  <c r="O10" i="24" s="1"/>
  <c r="P10" i="24" s="1"/>
  <c r="Q10" i="24" s="1"/>
  <c r="R10" i="24" s="1"/>
  <c r="S10" i="24" s="1"/>
  <c r="T10" i="24" s="1"/>
  <c r="U10" i="24" s="1"/>
  <c r="V10" i="24" s="1"/>
  <c r="W10" i="24" s="1"/>
  <c r="X10" i="24" s="1"/>
  <c r="Y10" i="24" s="1"/>
  <c r="Z10" i="24" s="1"/>
  <c r="AA10" i="24" s="1"/>
  <c r="AB10" i="24" s="1"/>
  <c r="AC10" i="24" s="1"/>
  <c r="AD10" i="24" s="1"/>
  <c r="AE10" i="24" s="1"/>
  <c r="D9" i="24"/>
  <c r="E9" i="24" s="1"/>
  <c r="F9" i="24" s="1"/>
  <c r="G9" i="24" s="1"/>
  <c r="H9" i="24" s="1"/>
  <c r="I9" i="24" s="1"/>
  <c r="J9" i="24" s="1"/>
  <c r="K9" i="24" s="1"/>
  <c r="L9" i="24" s="1"/>
  <c r="M9" i="24" s="1"/>
  <c r="N9" i="24" s="1"/>
  <c r="O9" i="24" s="1"/>
  <c r="P9" i="24" s="1"/>
  <c r="Q9" i="24" s="1"/>
  <c r="R9" i="24" s="1"/>
  <c r="S9" i="24" s="1"/>
  <c r="T9" i="24" s="1"/>
  <c r="U9" i="24" s="1"/>
  <c r="V9" i="24" s="1"/>
  <c r="W9" i="24" s="1"/>
  <c r="X9" i="24" s="1"/>
  <c r="Y9" i="24" s="1"/>
  <c r="Z9" i="24" s="1"/>
  <c r="AA9" i="24" s="1"/>
  <c r="AB9" i="24" s="1"/>
  <c r="AC9" i="24" s="1"/>
  <c r="AD9" i="24" s="1"/>
  <c r="AE9" i="24" s="1"/>
  <c r="E7" i="24"/>
  <c r="F7" i="24" s="1"/>
  <c r="G7" i="24" s="1"/>
  <c r="H7" i="24" s="1"/>
  <c r="I7" i="24" s="1"/>
  <c r="J7" i="24" s="1"/>
  <c r="K7" i="24" s="1"/>
  <c r="L7" i="24" s="1"/>
  <c r="M7" i="24" s="1"/>
  <c r="N7" i="24" s="1"/>
  <c r="O7" i="24" s="1"/>
  <c r="P7" i="24" s="1"/>
  <c r="Q7" i="24" s="1"/>
  <c r="R7" i="24" s="1"/>
  <c r="S7" i="24" s="1"/>
  <c r="T7" i="24" s="1"/>
  <c r="U7" i="24" s="1"/>
  <c r="V7" i="24" s="1"/>
  <c r="W7" i="24" s="1"/>
  <c r="X7" i="24" s="1"/>
  <c r="Y7" i="24" s="1"/>
  <c r="Z7" i="24" s="1"/>
  <c r="AA7" i="24" s="1"/>
  <c r="AB7" i="24" s="1"/>
  <c r="AC7" i="24" s="1"/>
  <c r="AD7" i="24" s="1"/>
  <c r="AE7" i="24" s="1"/>
  <c r="D7" i="24"/>
  <c r="E10" i="19"/>
  <c r="H9" i="34" l="1"/>
  <c r="H10" i="34" s="1"/>
  <c r="G9" i="34"/>
  <c r="G10" i="34" s="1"/>
  <c r="F9" i="34"/>
  <c r="F10" i="34"/>
  <c r="E9" i="34"/>
  <c r="E10" i="34" s="1"/>
  <c r="F14" i="20"/>
  <c r="E15" i="20"/>
  <c r="G45" i="24"/>
  <c r="O26" i="27"/>
  <c r="Q26" i="27"/>
  <c r="N27" i="27"/>
  <c r="O27" i="27"/>
  <c r="R26" i="27"/>
  <c r="M27" i="27"/>
  <c r="P26" i="27"/>
  <c r="G26" i="27"/>
  <c r="S26" i="27"/>
  <c r="L27" i="27"/>
  <c r="H26" i="27"/>
  <c r="T26" i="27"/>
  <c r="K27" i="27"/>
  <c r="J26" i="27"/>
  <c r="K26" i="27"/>
  <c r="T27" i="27"/>
  <c r="H27" i="27"/>
  <c r="I27" i="27"/>
  <c r="S27" i="27"/>
  <c r="O17" i="19"/>
  <c r="O18" i="19"/>
  <c r="O19" i="19"/>
  <c r="O21" i="19"/>
  <c r="O22" i="19"/>
  <c r="O25" i="19"/>
  <c r="O26" i="19"/>
  <c r="O27" i="19"/>
  <c r="O28" i="19"/>
  <c r="O29" i="19"/>
  <c r="O30" i="19"/>
  <c r="O31" i="19"/>
  <c r="O32" i="19"/>
  <c r="O33" i="19"/>
  <c r="O34" i="19"/>
  <c r="O35" i="19"/>
  <c r="O36" i="19"/>
  <c r="O37" i="19"/>
  <c r="O38" i="19"/>
  <c r="O39" i="19"/>
  <c r="O41" i="19"/>
  <c r="O42" i="19"/>
  <c r="O43" i="19"/>
  <c r="O53" i="19"/>
  <c r="O56" i="19"/>
  <c r="O58" i="19"/>
  <c r="O59" i="19"/>
  <c r="O60" i="19"/>
  <c r="O61" i="19"/>
  <c r="O62" i="19"/>
  <c r="O63" i="19"/>
  <c r="N51" i="20"/>
  <c r="N53" i="20"/>
  <c r="N80" i="20" s="1"/>
  <c r="N20" i="20"/>
  <c r="N24" i="20" s="1"/>
  <c r="N44" i="20" s="1"/>
  <c r="N46" i="20" s="1"/>
  <c r="N21" i="20"/>
  <c r="N22" i="20"/>
  <c r="O13" i="19"/>
  <c r="H45" i="24" l="1"/>
  <c r="F15" i="20"/>
  <c r="O20" i="19"/>
  <c r="O24" i="19" s="1"/>
  <c r="N94" i="20"/>
  <c r="L12" i="1"/>
  <c r="N93" i="20"/>
  <c r="N96" i="20"/>
  <c r="L9" i="1"/>
  <c r="O12" i="19"/>
  <c r="N95" i="20"/>
  <c r="L10" i="1" s="1"/>
  <c r="N50" i="20"/>
  <c r="E63" i="27"/>
  <c r="E62" i="27"/>
  <c r="E61" i="27"/>
  <c r="E60" i="27"/>
  <c r="E59" i="27"/>
  <c r="E58" i="27"/>
  <c r="E57" i="27"/>
  <c r="E56" i="27"/>
  <c r="E55" i="27"/>
  <c r="E54" i="27"/>
  <c r="E47" i="27"/>
  <c r="E46" i="27"/>
  <c r="E45" i="27"/>
  <c r="E44" i="27"/>
  <c r="E43" i="27"/>
  <c r="E42" i="27"/>
  <c r="E41" i="27"/>
  <c r="E40" i="27"/>
  <c r="E39" i="27"/>
  <c r="E38" i="27"/>
  <c r="E29" i="27"/>
  <c r="E28" i="27"/>
  <c r="E27" i="27"/>
  <c r="E26" i="27"/>
  <c r="E25" i="27"/>
  <c r="E24" i="27"/>
  <c r="E23" i="27"/>
  <c r="E22" i="27"/>
  <c r="E21" i="27"/>
  <c r="E20" i="27"/>
  <c r="E13" i="27"/>
  <c r="E12" i="27"/>
  <c r="E11" i="27"/>
  <c r="E10" i="27"/>
  <c r="E9" i="27"/>
  <c r="E8" i="27"/>
  <c r="E7" i="27"/>
  <c r="E6" i="27"/>
  <c r="E5" i="27"/>
  <c r="E4" i="27"/>
  <c r="C65" i="20"/>
  <c r="C12" i="20"/>
  <c r="C20" i="20"/>
  <c r="C19" i="20"/>
  <c r="C18" i="20"/>
  <c r="C64" i="20"/>
  <c r="C63" i="20"/>
  <c r="C62" i="20"/>
  <c r="C61" i="20"/>
  <c r="C60" i="20"/>
  <c r="C59" i="20"/>
  <c r="C58" i="20"/>
  <c r="C57" i="20"/>
  <c r="C56" i="20"/>
  <c r="C54" i="20"/>
  <c r="C53" i="20"/>
  <c r="C52" i="20"/>
  <c r="C51" i="20"/>
  <c r="C50" i="20"/>
  <c r="C48" i="20"/>
  <c r="C47" i="20"/>
  <c r="C46" i="20"/>
  <c r="C45" i="20"/>
  <c r="C44" i="20"/>
  <c r="C43" i="20"/>
  <c r="C42" i="20"/>
  <c r="C41" i="20"/>
  <c r="C40" i="20"/>
  <c r="C39" i="20"/>
  <c r="C38" i="20"/>
  <c r="C37" i="20"/>
  <c r="C36" i="20"/>
  <c r="C35" i="20"/>
  <c r="C34" i="20"/>
  <c r="C33" i="20"/>
  <c r="C32" i="20"/>
  <c r="C31" i="20"/>
  <c r="C30" i="20"/>
  <c r="C29" i="20"/>
  <c r="C28" i="20"/>
  <c r="C27" i="20"/>
  <c r="C26" i="20"/>
  <c r="C25" i="20"/>
  <c r="C24" i="20"/>
  <c r="C22" i="20"/>
  <c r="C21" i="20"/>
  <c r="N56" i="19"/>
  <c r="M56" i="19"/>
  <c r="L56" i="19"/>
  <c r="K56" i="19"/>
  <c r="J56" i="19"/>
  <c r="I56" i="19"/>
  <c r="H56" i="19"/>
  <c r="G56" i="19"/>
  <c r="F56" i="19"/>
  <c r="E56" i="19"/>
  <c r="E31" i="19"/>
  <c r="F31" i="19"/>
  <c r="G31" i="19"/>
  <c r="H31" i="19"/>
  <c r="I31" i="19"/>
  <c r="J31" i="19"/>
  <c r="K31" i="19"/>
  <c r="L31" i="19"/>
  <c r="M31" i="19"/>
  <c r="N31" i="19"/>
  <c r="L11" i="1" l="1"/>
  <c r="I45" i="24"/>
  <c r="G15" i="20"/>
  <c r="N101" i="20"/>
  <c r="O93" i="19"/>
  <c r="O94" i="19"/>
  <c r="O95" i="19"/>
  <c r="O80" i="19"/>
  <c r="O96" i="19"/>
  <c r="E20" i="20"/>
  <c r="F20" i="19" s="1"/>
  <c r="F20" i="20"/>
  <c r="G20" i="19" s="1"/>
  <c r="G20" i="20"/>
  <c r="H20" i="19" s="1"/>
  <c r="H20" i="20"/>
  <c r="I20" i="19" s="1"/>
  <c r="I20" i="20"/>
  <c r="J20" i="19" s="1"/>
  <c r="J20" i="20"/>
  <c r="K20" i="19" s="1"/>
  <c r="K20" i="20"/>
  <c r="L20" i="19" s="1"/>
  <c r="L20" i="20"/>
  <c r="M20" i="19" s="1"/>
  <c r="M20" i="20"/>
  <c r="N20" i="19" s="1"/>
  <c r="D20" i="20"/>
  <c r="E20" i="19" s="1"/>
  <c r="E19" i="19"/>
  <c r="F19" i="19"/>
  <c r="G19" i="19"/>
  <c r="H19" i="19"/>
  <c r="I19" i="19"/>
  <c r="J19" i="19"/>
  <c r="K19" i="19"/>
  <c r="L19" i="19"/>
  <c r="M19" i="19"/>
  <c r="N19" i="19"/>
  <c r="E21" i="20"/>
  <c r="F21" i="19" s="1"/>
  <c r="F21" i="20"/>
  <c r="G21" i="19" s="1"/>
  <c r="G21" i="20"/>
  <c r="H21" i="19" s="1"/>
  <c r="H21" i="20"/>
  <c r="I21" i="19" s="1"/>
  <c r="I21" i="20"/>
  <c r="J21" i="19" s="1"/>
  <c r="J21" i="20"/>
  <c r="K21" i="19" s="1"/>
  <c r="K21" i="20"/>
  <c r="L21" i="19" s="1"/>
  <c r="L21" i="20"/>
  <c r="M21" i="19" s="1"/>
  <c r="M21" i="20"/>
  <c r="N21" i="19" s="1"/>
  <c r="E22" i="20"/>
  <c r="F22" i="19" s="1"/>
  <c r="F22" i="20"/>
  <c r="G22" i="19" s="1"/>
  <c r="G22" i="20"/>
  <c r="H22" i="19" s="1"/>
  <c r="H22" i="20"/>
  <c r="I22" i="19" s="1"/>
  <c r="I22" i="20"/>
  <c r="J22" i="19" s="1"/>
  <c r="J22" i="20"/>
  <c r="K22" i="19" s="1"/>
  <c r="K22" i="20"/>
  <c r="L22" i="19" s="1"/>
  <c r="L22" i="20"/>
  <c r="M22" i="19" s="1"/>
  <c r="M22" i="20"/>
  <c r="N22" i="19" s="1"/>
  <c r="D22" i="20"/>
  <c r="E22" i="19" s="1"/>
  <c r="D21" i="20"/>
  <c r="E21" i="19" s="1"/>
  <c r="E91" i="19"/>
  <c r="E29" i="19"/>
  <c r="F29" i="19"/>
  <c r="G29" i="19"/>
  <c r="H29" i="19"/>
  <c r="I29" i="19"/>
  <c r="J29" i="19"/>
  <c r="K29" i="19"/>
  <c r="L29" i="19"/>
  <c r="M29" i="19"/>
  <c r="N29" i="19"/>
  <c r="E30" i="19"/>
  <c r="F30" i="19"/>
  <c r="G30" i="19"/>
  <c r="H30" i="19"/>
  <c r="I30" i="19"/>
  <c r="J30" i="19"/>
  <c r="K30" i="19"/>
  <c r="L30" i="19"/>
  <c r="M30" i="19"/>
  <c r="N30" i="19"/>
  <c r="J45" i="24" l="1"/>
  <c r="H15" i="20"/>
  <c r="I12" i="19"/>
  <c r="E95" i="20"/>
  <c r="J12" i="19"/>
  <c r="K12" i="19"/>
  <c r="E24" i="20"/>
  <c r="I95" i="20"/>
  <c r="J95" i="20"/>
  <c r="H10" i="1" s="1"/>
  <c r="L95" i="20"/>
  <c r="J10" i="1" s="1"/>
  <c r="M96" i="20"/>
  <c r="L96" i="20"/>
  <c r="J96" i="20"/>
  <c r="I96" i="20"/>
  <c r="K96" i="20"/>
  <c r="I93" i="20"/>
  <c r="I7" i="21" s="1"/>
  <c r="I94" i="20"/>
  <c r="M12" i="19"/>
  <c r="G93" i="20"/>
  <c r="G7" i="21" s="1"/>
  <c r="G12" i="19"/>
  <c r="E93" i="20"/>
  <c r="E7" i="21" s="1"/>
  <c r="H96" i="20"/>
  <c r="N12" i="19"/>
  <c r="M95" i="20"/>
  <c r="K10" i="1" s="1"/>
  <c r="L12" i="19"/>
  <c r="G94" i="20"/>
  <c r="E12" i="19"/>
  <c r="H12" i="19"/>
  <c r="E94" i="20"/>
  <c r="K95" i="20"/>
  <c r="I10" i="1" s="1"/>
  <c r="F12" i="19"/>
  <c r="H93" i="20"/>
  <c r="H7" i="21" s="1"/>
  <c r="G95" i="20"/>
  <c r="G96" i="20"/>
  <c r="E96" i="20"/>
  <c r="F93" i="20"/>
  <c r="F7" i="21" s="1"/>
  <c r="M94" i="20"/>
  <c r="M93" i="20"/>
  <c r="K94" i="20"/>
  <c r="L93" i="20"/>
  <c r="J94" i="20"/>
  <c r="H95" i="20"/>
  <c r="F96" i="20"/>
  <c r="L94" i="20"/>
  <c r="K93" i="20"/>
  <c r="J93" i="20"/>
  <c r="H94" i="20"/>
  <c r="F95" i="20"/>
  <c r="F94" i="20"/>
  <c r="D95" i="20"/>
  <c r="D9" i="21" s="1"/>
  <c r="D94" i="20"/>
  <c r="D8" i="21" s="1"/>
  <c r="D96" i="20"/>
  <c r="D93" i="20"/>
  <c r="D7" i="21" s="1"/>
  <c r="E26" i="19"/>
  <c r="F26" i="19"/>
  <c r="G26" i="19"/>
  <c r="H26" i="19"/>
  <c r="I26" i="19"/>
  <c r="J26" i="19"/>
  <c r="K26" i="19"/>
  <c r="L26" i="19"/>
  <c r="M26" i="19"/>
  <c r="N26" i="19"/>
  <c r="E27" i="19"/>
  <c r="F27" i="19"/>
  <c r="G27" i="19"/>
  <c r="H27" i="19"/>
  <c r="I27" i="19"/>
  <c r="J27" i="19"/>
  <c r="K27" i="19"/>
  <c r="L27" i="19"/>
  <c r="M27" i="19"/>
  <c r="N27" i="19"/>
  <c r="E28" i="19"/>
  <c r="F28" i="19"/>
  <c r="G28" i="19"/>
  <c r="H28" i="19"/>
  <c r="I28" i="19"/>
  <c r="J28" i="19"/>
  <c r="K28" i="19"/>
  <c r="L28" i="19"/>
  <c r="M28" i="19"/>
  <c r="N28" i="19"/>
  <c r="E32" i="19"/>
  <c r="F32" i="19"/>
  <c r="G32" i="19"/>
  <c r="H32" i="19"/>
  <c r="I32" i="19"/>
  <c r="J32" i="19"/>
  <c r="K32" i="19"/>
  <c r="L32" i="19"/>
  <c r="M32" i="19"/>
  <c r="N32" i="19"/>
  <c r="E33" i="19"/>
  <c r="F33" i="19"/>
  <c r="G33" i="19"/>
  <c r="H33" i="19"/>
  <c r="I33" i="19"/>
  <c r="J33" i="19"/>
  <c r="K33" i="19"/>
  <c r="L33" i="19"/>
  <c r="M33" i="19"/>
  <c r="N33" i="19"/>
  <c r="E34" i="19"/>
  <c r="F34" i="19"/>
  <c r="G34" i="19"/>
  <c r="H34" i="19"/>
  <c r="I34" i="19"/>
  <c r="J34" i="19"/>
  <c r="K34" i="19"/>
  <c r="L34" i="19"/>
  <c r="M34" i="19"/>
  <c r="N34" i="19"/>
  <c r="E35" i="19"/>
  <c r="F35" i="19"/>
  <c r="G35" i="19"/>
  <c r="H35" i="19"/>
  <c r="I35" i="19"/>
  <c r="J35" i="19"/>
  <c r="K35" i="19"/>
  <c r="L35" i="19"/>
  <c r="M35" i="19"/>
  <c r="N35" i="19"/>
  <c r="E36" i="19"/>
  <c r="F36" i="19"/>
  <c r="G36" i="19"/>
  <c r="H36" i="19"/>
  <c r="I36" i="19"/>
  <c r="J36" i="19"/>
  <c r="K36" i="19"/>
  <c r="L36" i="19"/>
  <c r="M36" i="19"/>
  <c r="N36" i="19"/>
  <c r="E37" i="19"/>
  <c r="F37" i="19"/>
  <c r="G37" i="19"/>
  <c r="H37" i="19"/>
  <c r="I37" i="19"/>
  <c r="J37" i="19"/>
  <c r="K37" i="19"/>
  <c r="L37" i="19"/>
  <c r="M37" i="19"/>
  <c r="N37" i="19"/>
  <c r="E38" i="19"/>
  <c r="F38" i="19"/>
  <c r="G38" i="19"/>
  <c r="H38" i="19"/>
  <c r="I38" i="19"/>
  <c r="J38" i="19"/>
  <c r="K38" i="19"/>
  <c r="L38" i="19"/>
  <c r="M38" i="19"/>
  <c r="N38" i="19"/>
  <c r="E25" i="19"/>
  <c r="F25" i="19"/>
  <c r="G25" i="19"/>
  <c r="H25" i="19"/>
  <c r="I25" i="19"/>
  <c r="J25" i="19"/>
  <c r="K25" i="19"/>
  <c r="L25" i="19"/>
  <c r="M25" i="19"/>
  <c r="N25" i="19"/>
  <c r="E18" i="19"/>
  <c r="F18" i="19"/>
  <c r="G18" i="19"/>
  <c r="H18" i="19"/>
  <c r="I18" i="19"/>
  <c r="J18" i="19"/>
  <c r="K18" i="19"/>
  <c r="L18" i="19"/>
  <c r="M18" i="19"/>
  <c r="N18" i="19"/>
  <c r="C12" i="1" l="1"/>
  <c r="I9" i="21"/>
  <c r="G10" i="1"/>
  <c r="H9" i="21"/>
  <c r="F10" i="1"/>
  <c r="F9" i="21"/>
  <c r="D10" i="1"/>
  <c r="I8" i="21"/>
  <c r="G11" i="1"/>
  <c r="I11" i="1"/>
  <c r="E8" i="21"/>
  <c r="C11" i="1"/>
  <c r="F8" i="21"/>
  <c r="D11" i="1"/>
  <c r="H8" i="21"/>
  <c r="F11" i="1"/>
  <c r="K11" i="1"/>
  <c r="G8" i="21"/>
  <c r="E11" i="1"/>
  <c r="J11" i="1"/>
  <c r="E9" i="21"/>
  <c r="C10" i="1"/>
  <c r="G9" i="21"/>
  <c r="E10" i="1"/>
  <c r="H11" i="1"/>
  <c r="K45" i="24"/>
  <c r="I15" i="20"/>
  <c r="O96" i="20"/>
  <c r="O93" i="20"/>
  <c r="J7" i="21" s="1"/>
  <c r="O94" i="20"/>
  <c r="J8" i="21" s="1"/>
  <c r="O95" i="20"/>
  <c r="J9" i="21" s="1"/>
  <c r="O98" i="20"/>
  <c r="C3" i="19"/>
  <c r="E40" i="19"/>
  <c r="F53" i="19"/>
  <c r="G53" i="19"/>
  <c r="H53" i="19"/>
  <c r="I53" i="19"/>
  <c r="J53" i="19"/>
  <c r="K53" i="19"/>
  <c r="L53" i="19"/>
  <c r="M53" i="19"/>
  <c r="N53" i="19"/>
  <c r="E53" i="19"/>
  <c r="D39" i="27"/>
  <c r="D55" i="27" s="1"/>
  <c r="D40" i="27"/>
  <c r="D56" i="27" s="1"/>
  <c r="D41" i="27"/>
  <c r="D57" i="27" s="1"/>
  <c r="D42" i="27"/>
  <c r="D58" i="27" s="1"/>
  <c r="D43" i="27"/>
  <c r="D59" i="27" s="1"/>
  <c r="D44" i="27"/>
  <c r="D60" i="27" s="1"/>
  <c r="D45" i="27"/>
  <c r="D61" i="27" s="1"/>
  <c r="D46" i="27"/>
  <c r="D62" i="27" s="1"/>
  <c r="D47" i="27"/>
  <c r="D63" i="27" s="1"/>
  <c r="D38" i="27"/>
  <c r="D54" i="27" s="1"/>
  <c r="K21" i="27"/>
  <c r="H22" i="27"/>
  <c r="T23" i="27"/>
  <c r="O24" i="27"/>
  <c r="L29" i="27"/>
  <c r="D20" i="27"/>
  <c r="I20" i="27" s="1"/>
  <c r="D40" i="20"/>
  <c r="E53" i="20"/>
  <c r="F53" i="20"/>
  <c r="G53" i="20"/>
  <c r="H53" i="20"/>
  <c r="I53" i="20"/>
  <c r="J53" i="20"/>
  <c r="H9" i="1" s="1"/>
  <c r="K53" i="20"/>
  <c r="I9" i="1" s="1"/>
  <c r="L53" i="20"/>
  <c r="J9" i="1" s="1"/>
  <c r="M53" i="20"/>
  <c r="K9" i="1" s="1"/>
  <c r="D53" i="20"/>
  <c r="F2" i="27"/>
  <c r="F18" i="27" s="1"/>
  <c r="U57" i="27" l="1"/>
  <c r="I57" i="27"/>
  <c r="T57" i="27"/>
  <c r="H57" i="27"/>
  <c r="S57" i="27"/>
  <c r="G57" i="27"/>
  <c r="R57" i="27"/>
  <c r="Q57" i="27"/>
  <c r="N57" i="27"/>
  <c r="K57" i="27"/>
  <c r="J57" i="27"/>
  <c r="P57" i="27"/>
  <c r="O57" i="27"/>
  <c r="M57" i="27"/>
  <c r="L57" i="27"/>
  <c r="J55" i="27"/>
  <c r="L55" i="27"/>
  <c r="U55" i="27"/>
  <c r="I55" i="27"/>
  <c r="O55" i="27"/>
  <c r="M55" i="27"/>
  <c r="T55" i="27"/>
  <c r="H55" i="27"/>
  <c r="Q55" i="27"/>
  <c r="S55" i="27"/>
  <c r="G55" i="27"/>
  <c r="N55" i="27"/>
  <c r="K55" i="27"/>
  <c r="R55" i="27"/>
  <c r="P55" i="27"/>
  <c r="R54" i="27"/>
  <c r="Q54" i="27"/>
  <c r="O54" i="27"/>
  <c r="N54" i="27"/>
  <c r="M54" i="27"/>
  <c r="P54" i="27"/>
  <c r="L54" i="27"/>
  <c r="S54" i="27"/>
  <c r="K54" i="27"/>
  <c r="H54" i="27"/>
  <c r="J54" i="27"/>
  <c r="G54" i="27"/>
  <c r="U54" i="27"/>
  <c r="I54" i="27"/>
  <c r="T54" i="27"/>
  <c r="I6" i="21"/>
  <c r="G9" i="1"/>
  <c r="F6" i="21"/>
  <c r="D9" i="1"/>
  <c r="H6" i="21"/>
  <c r="F9" i="1"/>
  <c r="G6" i="21"/>
  <c r="E9" i="1"/>
  <c r="E6" i="21"/>
  <c r="C9" i="1"/>
  <c r="L45" i="24"/>
  <c r="J15" i="20"/>
  <c r="F36" i="27"/>
  <c r="F52" i="27" s="1"/>
  <c r="M23" i="27"/>
  <c r="R23" i="27"/>
  <c r="U22" i="27"/>
  <c r="J24" i="27"/>
  <c r="M24" i="27"/>
  <c r="J22" i="27"/>
  <c r="U29" i="27"/>
  <c r="T29" i="27"/>
  <c r="G29" i="27"/>
  <c r="U24" i="27"/>
  <c r="T24" i="27"/>
  <c r="U23" i="27"/>
  <c r="T22" i="27"/>
  <c r="P21" i="27"/>
  <c r="T21" i="27"/>
  <c r="H21" i="27"/>
  <c r="U21" i="27"/>
  <c r="U20" i="27"/>
  <c r="R24" i="27"/>
  <c r="T20" i="27"/>
  <c r="S21" i="27"/>
  <c r="Q20" i="27"/>
  <c r="G24" i="27"/>
  <c r="Q29" i="27"/>
  <c r="S24" i="27"/>
  <c r="K24" i="27"/>
  <c r="S29" i="27"/>
  <c r="S23" i="27"/>
  <c r="L24" i="27"/>
  <c r="H24" i="27"/>
  <c r="L22" i="27"/>
  <c r="Q24" i="27"/>
  <c r="S22" i="27"/>
  <c r="J29" i="27"/>
  <c r="P24" i="27"/>
  <c r="S20" i="27"/>
  <c r="Q21" i="27"/>
  <c r="G2" i="27"/>
  <c r="R29" i="27"/>
  <c r="G21" i="27"/>
  <c r="J21" i="27"/>
  <c r="R22" i="27"/>
  <c r="K29" i="27"/>
  <c r="R21" i="27"/>
  <c r="L21" i="27"/>
  <c r="Q23" i="27"/>
  <c r="R20" i="27"/>
  <c r="N22" i="27"/>
  <c r="Q22" i="27"/>
  <c r="G20" i="27"/>
  <c r="N24" i="27"/>
  <c r="P23" i="27"/>
  <c r="I24" i="27"/>
  <c r="N23" i="27"/>
  <c r="L20" i="27"/>
  <c r="O23" i="27"/>
  <c r="I22" i="27"/>
  <c r="M22" i="27"/>
  <c r="N20" i="27"/>
  <c r="P22" i="27"/>
  <c r="I21" i="27"/>
  <c r="M21" i="27"/>
  <c r="O20" i="27"/>
  <c r="O22" i="27"/>
  <c r="H20" i="27"/>
  <c r="O29" i="27"/>
  <c r="O21" i="27"/>
  <c r="P20" i="27"/>
  <c r="P29" i="27"/>
  <c r="N29" i="27"/>
  <c r="N21" i="27"/>
  <c r="H23" i="27"/>
  <c r="L23" i="27"/>
  <c r="G23" i="27"/>
  <c r="G22" i="27"/>
  <c r="I29" i="27"/>
  <c r="K23" i="27"/>
  <c r="K22" i="27"/>
  <c r="M29" i="27"/>
  <c r="H29" i="27"/>
  <c r="J23" i="27"/>
  <c r="I23" i="27"/>
  <c r="M20" i="27"/>
  <c r="J20" i="27"/>
  <c r="K20" i="27"/>
  <c r="E59" i="19"/>
  <c r="F59" i="19"/>
  <c r="G59" i="19"/>
  <c r="H59" i="19"/>
  <c r="I59" i="19"/>
  <c r="J59" i="19"/>
  <c r="K59" i="19"/>
  <c r="L59" i="19"/>
  <c r="M59" i="19"/>
  <c r="N59" i="19"/>
  <c r="E60" i="19"/>
  <c r="F60" i="19"/>
  <c r="G60" i="19"/>
  <c r="H60" i="19"/>
  <c r="I60" i="19"/>
  <c r="J60" i="19"/>
  <c r="K60" i="19"/>
  <c r="L60" i="19"/>
  <c r="M60" i="19"/>
  <c r="N60" i="19"/>
  <c r="M45" i="24" l="1"/>
  <c r="K15" i="20"/>
  <c r="O40" i="19"/>
  <c r="M40" i="19"/>
  <c r="G36" i="27"/>
  <c r="G52" i="27" s="1"/>
  <c r="F40" i="19"/>
  <c r="J40" i="19"/>
  <c r="H40" i="19"/>
  <c r="K40" i="19"/>
  <c r="N40" i="19"/>
  <c r="I40" i="19"/>
  <c r="G40" i="19"/>
  <c r="L40" i="19"/>
  <c r="L40" i="20"/>
  <c r="M40" i="20"/>
  <c r="H40" i="20"/>
  <c r="J40" i="20"/>
  <c r="I40" i="20"/>
  <c r="E40" i="20"/>
  <c r="G18" i="27"/>
  <c r="H2" i="27"/>
  <c r="I2" i="27" s="1"/>
  <c r="J2" i="27" s="1"/>
  <c r="K2" i="27" s="1"/>
  <c r="L2" i="27" s="1"/>
  <c r="M2" i="27" s="1"/>
  <c r="N2" i="27" s="1"/>
  <c r="O2" i="27" s="1"/>
  <c r="P2" i="27" s="1"/>
  <c r="Q2" i="27" s="1"/>
  <c r="R2" i="27" s="1"/>
  <c r="S2" i="27" s="1"/>
  <c r="T2" i="27" s="1"/>
  <c r="T18" i="27" s="1"/>
  <c r="F40" i="20"/>
  <c r="G40" i="20"/>
  <c r="K40" i="20"/>
  <c r="N45" i="24" l="1"/>
  <c r="L15" i="20"/>
  <c r="O51" i="19"/>
  <c r="O44" i="19"/>
  <c r="O46" i="19" s="1"/>
  <c r="H36" i="27"/>
  <c r="I36" i="27" s="1"/>
  <c r="U2" i="27"/>
  <c r="U18" i="27" s="1"/>
  <c r="S18" i="27"/>
  <c r="H18" i="27"/>
  <c r="I18" i="27"/>
  <c r="N63" i="19"/>
  <c r="M63" i="19"/>
  <c r="L63" i="19"/>
  <c r="K63" i="19"/>
  <c r="J63" i="19"/>
  <c r="I63" i="19"/>
  <c r="H63" i="19"/>
  <c r="G63" i="19"/>
  <c r="F63" i="19"/>
  <c r="E63" i="19"/>
  <c r="N62" i="19"/>
  <c r="M62" i="19"/>
  <c r="L62" i="19"/>
  <c r="K62" i="19"/>
  <c r="J62" i="19"/>
  <c r="I62" i="19"/>
  <c r="H62" i="19"/>
  <c r="G62" i="19"/>
  <c r="F62" i="19"/>
  <c r="E62" i="19"/>
  <c r="N61" i="19"/>
  <c r="M61" i="19"/>
  <c r="L61" i="19"/>
  <c r="K61" i="19"/>
  <c r="J61" i="19"/>
  <c r="I61" i="19"/>
  <c r="H61" i="19"/>
  <c r="G61" i="19"/>
  <c r="F61" i="19"/>
  <c r="E61" i="19"/>
  <c r="N58" i="19"/>
  <c r="M58" i="19"/>
  <c r="L58" i="19"/>
  <c r="K58" i="19"/>
  <c r="J58" i="19"/>
  <c r="I58" i="19"/>
  <c r="H58" i="19"/>
  <c r="G58" i="19"/>
  <c r="F58" i="19"/>
  <c r="E58" i="19"/>
  <c r="N43" i="19"/>
  <c r="N95" i="19" s="1"/>
  <c r="M43" i="19"/>
  <c r="M95" i="19" s="1"/>
  <c r="L43" i="19"/>
  <c r="L95" i="19" s="1"/>
  <c r="K43" i="19"/>
  <c r="K95" i="19" s="1"/>
  <c r="J43" i="19"/>
  <c r="J95" i="19" s="1"/>
  <c r="I43" i="19"/>
  <c r="I95" i="19" s="1"/>
  <c r="H43" i="19"/>
  <c r="H95" i="19" s="1"/>
  <c r="G43" i="19"/>
  <c r="G95" i="19" s="1"/>
  <c r="F43" i="19"/>
  <c r="F95" i="19" s="1"/>
  <c r="E43" i="19"/>
  <c r="E95" i="19" s="1"/>
  <c r="N42" i="19"/>
  <c r="N94" i="19" s="1"/>
  <c r="M42" i="19"/>
  <c r="M94" i="19" s="1"/>
  <c r="L42" i="19"/>
  <c r="L94" i="19" s="1"/>
  <c r="K42" i="19"/>
  <c r="K94" i="19" s="1"/>
  <c r="J42" i="19"/>
  <c r="J94" i="19" s="1"/>
  <c r="I42" i="19"/>
  <c r="I94" i="19" s="1"/>
  <c r="H42" i="19"/>
  <c r="H94" i="19" s="1"/>
  <c r="G42" i="19"/>
  <c r="G94" i="19" s="1"/>
  <c r="F42" i="19"/>
  <c r="F94" i="19" s="1"/>
  <c r="E42" i="19"/>
  <c r="E94" i="19" s="1"/>
  <c r="N41" i="19"/>
  <c r="N96" i="19" s="1"/>
  <c r="M41" i="19"/>
  <c r="M96" i="19" s="1"/>
  <c r="L41" i="19"/>
  <c r="L96" i="19" s="1"/>
  <c r="K41" i="19"/>
  <c r="K96" i="19" s="1"/>
  <c r="J41" i="19"/>
  <c r="J96" i="19" s="1"/>
  <c r="I41" i="19"/>
  <c r="I96" i="19" s="1"/>
  <c r="H41" i="19"/>
  <c r="H96" i="19" s="1"/>
  <c r="G41" i="19"/>
  <c r="G96" i="19" s="1"/>
  <c r="F41" i="19"/>
  <c r="F96" i="19" s="1"/>
  <c r="E41" i="19"/>
  <c r="N39" i="19"/>
  <c r="M39" i="19"/>
  <c r="M93" i="19" s="1"/>
  <c r="L39" i="19"/>
  <c r="L93" i="19" s="1"/>
  <c r="K39" i="19"/>
  <c r="K93" i="19" s="1"/>
  <c r="J39" i="19"/>
  <c r="J93" i="19" s="1"/>
  <c r="I39" i="19"/>
  <c r="I93" i="19" s="1"/>
  <c r="H39" i="19"/>
  <c r="H93" i="19" s="1"/>
  <c r="G39" i="19"/>
  <c r="G93" i="19" s="1"/>
  <c r="F39" i="19"/>
  <c r="F93" i="19" s="1"/>
  <c r="E39" i="19"/>
  <c r="E93" i="19" s="1"/>
  <c r="N17" i="19"/>
  <c r="N24" i="19" s="1"/>
  <c r="M17" i="19"/>
  <c r="L17" i="19"/>
  <c r="L24" i="19" s="1"/>
  <c r="K17" i="19"/>
  <c r="J17" i="19"/>
  <c r="I17" i="19"/>
  <c r="H17" i="19"/>
  <c r="H24" i="19" s="1"/>
  <c r="G17" i="19"/>
  <c r="F17" i="19"/>
  <c r="F24" i="19" s="1"/>
  <c r="E17" i="19"/>
  <c r="C2" i="19"/>
  <c r="C55" i="19" s="1"/>
  <c r="F10" i="19"/>
  <c r="F91" i="19" s="1"/>
  <c r="O45" i="24" l="1"/>
  <c r="M15" i="20"/>
  <c r="N93" i="19"/>
  <c r="N80" i="19"/>
  <c r="O50" i="19"/>
  <c r="O101" i="19"/>
  <c r="E73" i="19"/>
  <c r="O73" i="19"/>
  <c r="C64" i="19"/>
  <c r="C51" i="19"/>
  <c r="C38" i="19"/>
  <c r="C26" i="19"/>
  <c r="C28" i="19"/>
  <c r="C63" i="19"/>
  <c r="C50" i="19"/>
  <c r="C37" i="19"/>
  <c r="C25" i="19"/>
  <c r="C52" i="19"/>
  <c r="C62" i="19"/>
  <c r="C48" i="19"/>
  <c r="C36" i="19"/>
  <c r="C24" i="19"/>
  <c r="C60" i="19"/>
  <c r="C46" i="19"/>
  <c r="C34" i="19"/>
  <c r="C21" i="19"/>
  <c r="C41" i="19"/>
  <c r="C65" i="19"/>
  <c r="C61" i="19"/>
  <c r="C47" i="19"/>
  <c r="C35" i="19"/>
  <c r="C22" i="19"/>
  <c r="C53" i="19"/>
  <c r="C39" i="19"/>
  <c r="C42" i="19"/>
  <c r="C54" i="19"/>
  <c r="C29" i="19"/>
  <c r="C59" i="19"/>
  <c r="C45" i="19"/>
  <c r="C33" i="19"/>
  <c r="C20" i="19"/>
  <c r="C40" i="19"/>
  <c r="C58" i="19"/>
  <c r="C44" i="19"/>
  <c r="C32" i="19"/>
  <c r="C19" i="19"/>
  <c r="C57" i="19"/>
  <c r="C43" i="19"/>
  <c r="C31" i="19"/>
  <c r="C18" i="19"/>
  <c r="C56" i="19"/>
  <c r="C30" i="19"/>
  <c r="C12" i="19"/>
  <c r="C27" i="19"/>
  <c r="E51" i="19"/>
  <c r="E96" i="19"/>
  <c r="E24" i="19"/>
  <c r="E97" i="19" s="1"/>
  <c r="M24" i="19"/>
  <c r="J24" i="19"/>
  <c r="I80" i="19"/>
  <c r="G24" i="19"/>
  <c r="I24" i="19"/>
  <c r="K24" i="19"/>
  <c r="H52" i="27"/>
  <c r="G10" i="19"/>
  <c r="G91" i="19" s="1"/>
  <c r="J36" i="27"/>
  <c r="I52" i="27"/>
  <c r="J18" i="27"/>
  <c r="G51" i="19"/>
  <c r="L51" i="19"/>
  <c r="F51" i="19"/>
  <c r="H51" i="19"/>
  <c r="I51" i="19"/>
  <c r="J51" i="19"/>
  <c r="M51" i="19"/>
  <c r="N51" i="19"/>
  <c r="K51" i="19"/>
  <c r="H73" i="19"/>
  <c r="I73" i="19"/>
  <c r="J73" i="19"/>
  <c r="L73" i="19"/>
  <c r="F73" i="19"/>
  <c r="G73" i="19"/>
  <c r="K73" i="19"/>
  <c r="N73" i="19"/>
  <c r="M73" i="19"/>
  <c r="D5" i="21"/>
  <c r="P45" i="24" l="1"/>
  <c r="Q45" i="24" s="1"/>
  <c r="R45" i="24" s="1"/>
  <c r="S45" i="24" s="1"/>
  <c r="T45" i="24" s="1"/>
  <c r="U45" i="24" s="1"/>
  <c r="V45" i="24" s="1"/>
  <c r="W45" i="24" s="1"/>
  <c r="X45" i="24" s="1"/>
  <c r="Y45" i="24" s="1"/>
  <c r="Z45" i="24" s="1"/>
  <c r="AA45" i="24" s="1"/>
  <c r="AB45" i="24" s="1"/>
  <c r="AC45" i="24" s="1"/>
  <c r="AD45" i="24" s="1"/>
  <c r="AE45" i="24" s="1"/>
  <c r="N15" i="20"/>
  <c r="N81" i="19"/>
  <c r="O81" i="19"/>
  <c r="H10" i="19"/>
  <c r="H91" i="19" s="1"/>
  <c r="I81" i="19"/>
  <c r="J80" i="19"/>
  <c r="J81" i="19" s="1"/>
  <c r="H80" i="19"/>
  <c r="H81" i="19" s="1"/>
  <c r="K80" i="19"/>
  <c r="K81" i="19" s="1"/>
  <c r="G80" i="19"/>
  <c r="G81" i="19" s="1"/>
  <c r="F80" i="19"/>
  <c r="F81" i="19" s="1"/>
  <c r="M80" i="19"/>
  <c r="M81" i="19" s="1"/>
  <c r="L80" i="19"/>
  <c r="L81" i="19" s="1"/>
  <c r="E80" i="19"/>
  <c r="E81" i="19" s="1"/>
  <c r="J52" i="27"/>
  <c r="K36" i="27"/>
  <c r="K18" i="27"/>
  <c r="D51" i="20"/>
  <c r="M12" i="1"/>
  <c r="N12" i="1"/>
  <c r="O12" i="1"/>
  <c r="P12" i="1"/>
  <c r="Q12" i="1"/>
  <c r="B8" i="1"/>
  <c r="D91" i="20"/>
  <c r="F13" i="19"/>
  <c r="G13" i="19"/>
  <c r="H13" i="19"/>
  <c r="I13" i="19"/>
  <c r="J13" i="19"/>
  <c r="K13" i="19"/>
  <c r="L13" i="19"/>
  <c r="M13" i="19"/>
  <c r="N13" i="19"/>
  <c r="M51" i="20"/>
  <c r="L51" i="20"/>
  <c r="K51" i="20"/>
  <c r="J51" i="20"/>
  <c r="I51" i="20"/>
  <c r="H51" i="20"/>
  <c r="G51" i="20"/>
  <c r="F51" i="20"/>
  <c r="E51" i="20"/>
  <c r="M24" i="20"/>
  <c r="L24" i="20"/>
  <c r="K24" i="20"/>
  <c r="J24" i="20"/>
  <c r="I24" i="20"/>
  <c r="H24" i="20"/>
  <c r="G24" i="20"/>
  <c r="F24" i="20"/>
  <c r="D24" i="20"/>
  <c r="E10" i="20"/>
  <c r="O15" i="19" l="1"/>
  <c r="O47" i="19" s="1"/>
  <c r="N47" i="20"/>
  <c r="L13" i="1" s="1"/>
  <c r="I10" i="19"/>
  <c r="I91" i="19" s="1"/>
  <c r="D73" i="20"/>
  <c r="N73" i="20"/>
  <c r="M73" i="20"/>
  <c r="G14" i="20"/>
  <c r="H14" i="20" s="1"/>
  <c r="I14" i="20" s="1"/>
  <c r="J14" i="20" s="1"/>
  <c r="K14" i="20" s="1"/>
  <c r="L14" i="20" s="1"/>
  <c r="M14" i="20" s="1"/>
  <c r="N14" i="20" s="1"/>
  <c r="I12" i="1"/>
  <c r="J12" i="1"/>
  <c r="K12" i="1"/>
  <c r="B12" i="1"/>
  <c r="D12" i="1"/>
  <c r="E12" i="1"/>
  <c r="H12" i="1"/>
  <c r="F12" i="1"/>
  <c r="G12" i="1"/>
  <c r="P98" i="19"/>
  <c r="E14" i="19"/>
  <c r="E13" i="19"/>
  <c r="P94" i="19"/>
  <c r="P93" i="19"/>
  <c r="P97" i="19"/>
  <c r="P96" i="19"/>
  <c r="P95" i="19"/>
  <c r="P92" i="19"/>
  <c r="K52" i="27"/>
  <c r="L36" i="27"/>
  <c r="L18" i="27"/>
  <c r="D44" i="20"/>
  <c r="D46" i="20" s="1"/>
  <c r="F15" i="19"/>
  <c r="F10" i="20"/>
  <c r="F91" i="20" s="1"/>
  <c r="E5" i="21"/>
  <c r="E15" i="19"/>
  <c r="E91" i="20"/>
  <c r="J44" i="20"/>
  <c r="J46" i="20" s="1"/>
  <c r="E73" i="20"/>
  <c r="F73" i="20"/>
  <c r="F44" i="20"/>
  <c r="F46" i="20" s="1"/>
  <c r="G73" i="20"/>
  <c r="G44" i="20"/>
  <c r="G46" i="20" s="1"/>
  <c r="H73" i="20"/>
  <c r="H44" i="20"/>
  <c r="H46" i="20" s="1"/>
  <c r="I73" i="20"/>
  <c r="I44" i="20"/>
  <c r="I46" i="20" s="1"/>
  <c r="J73" i="20"/>
  <c r="K73" i="20"/>
  <c r="K44" i="20"/>
  <c r="K46" i="20" s="1"/>
  <c r="L73" i="20"/>
  <c r="E44" i="20"/>
  <c r="E46" i="20" s="1"/>
  <c r="L44" i="20"/>
  <c r="L46" i="20" s="1"/>
  <c r="M44" i="20"/>
  <c r="M46" i="20" s="1"/>
  <c r="F16" i="8" a="1"/>
  <c r="F16" i="8" s="1"/>
  <c r="O17" i="8"/>
  <c r="U16" i="8"/>
  <c r="T16" i="8"/>
  <c r="X16" i="8" s="1"/>
  <c r="S16" i="8"/>
  <c r="R16" i="8"/>
  <c r="Q16" i="8"/>
  <c r="P16" i="8"/>
  <c r="O16" i="8"/>
  <c r="O15" i="8"/>
  <c r="O14" i="8"/>
  <c r="O13" i="8"/>
  <c r="O12" i="8"/>
  <c r="O11" i="8"/>
  <c r="O10" i="8"/>
  <c r="O9" i="8"/>
  <c r="J100" i="20" l="1"/>
  <c r="J101" i="20" s="1"/>
  <c r="K100" i="20"/>
  <c r="K101" i="20" s="1"/>
  <c r="I100" i="20"/>
  <c r="I101" i="20" s="1"/>
  <c r="I11" i="21" s="1"/>
  <c r="M100" i="20"/>
  <c r="M101" i="20" s="1"/>
  <c r="H100" i="20"/>
  <c r="H101" i="20" s="1"/>
  <c r="H11" i="21" s="1"/>
  <c r="G100" i="20"/>
  <c r="G101" i="20" s="1"/>
  <c r="G11" i="21" s="1"/>
  <c r="L100" i="20"/>
  <c r="L101" i="20" s="1"/>
  <c r="F100" i="20"/>
  <c r="F101" i="20" s="1"/>
  <c r="F11" i="21" s="1"/>
  <c r="D47" i="20"/>
  <c r="B13" i="1" s="1"/>
  <c r="D100" i="20"/>
  <c r="E100" i="20"/>
  <c r="E101" i="20" s="1"/>
  <c r="E11" i="21" s="1"/>
  <c r="N52" i="20"/>
  <c r="N64" i="20" s="1"/>
  <c r="N65" i="20" s="1"/>
  <c r="N48" i="20"/>
  <c r="O52" i="19"/>
  <c r="O64" i="19" s="1"/>
  <c r="O48" i="19"/>
  <c r="J10" i="19"/>
  <c r="J91" i="19" s="1"/>
  <c r="N81" i="20"/>
  <c r="O14" i="19"/>
  <c r="P21" i="21"/>
  <c r="O97" i="20"/>
  <c r="D50" i="20"/>
  <c r="D101" i="20"/>
  <c r="F14" i="19"/>
  <c r="N44" i="19"/>
  <c r="N46" i="19" s="1"/>
  <c r="N101" i="19" s="1"/>
  <c r="H44" i="19"/>
  <c r="H46" i="19" s="1"/>
  <c r="H101" i="19" s="1"/>
  <c r="I44" i="19"/>
  <c r="I46" i="19" s="1"/>
  <c r="I101" i="19" s="1"/>
  <c r="K44" i="19"/>
  <c r="K46" i="19" s="1"/>
  <c r="K101" i="19" s="1"/>
  <c r="J44" i="19"/>
  <c r="J46" i="19" s="1"/>
  <c r="J101" i="19" s="1"/>
  <c r="L52" i="27"/>
  <c r="M36" i="27"/>
  <c r="M18" i="27"/>
  <c r="L44" i="19"/>
  <c r="L46" i="19" s="1"/>
  <c r="L101" i="19" s="1"/>
  <c r="F44" i="19"/>
  <c r="F46" i="19" s="1"/>
  <c r="F101" i="19" s="1"/>
  <c r="E44" i="19"/>
  <c r="E46" i="19" s="1"/>
  <c r="E101" i="19" s="1"/>
  <c r="G44" i="19"/>
  <c r="G46" i="19" s="1"/>
  <c r="G101" i="19" s="1"/>
  <c r="M44" i="19"/>
  <c r="M46" i="19" s="1"/>
  <c r="M101" i="19" s="1"/>
  <c r="B11" i="1"/>
  <c r="B10" i="1"/>
  <c r="G10" i="20"/>
  <c r="F5" i="21"/>
  <c r="F50" i="20"/>
  <c r="I50" i="20"/>
  <c r="J50" i="20"/>
  <c r="G50" i="20"/>
  <c r="H50" i="20"/>
  <c r="K50" i="20"/>
  <c r="M50" i="20"/>
  <c r="L50" i="20"/>
  <c r="E50" i="20"/>
  <c r="E47" i="20"/>
  <c r="C13" i="1" s="1"/>
  <c r="D17" i="8"/>
  <c r="E17" i="8"/>
  <c r="W16" i="8"/>
  <c r="Y16" i="8"/>
  <c r="Q12" i="8"/>
  <c r="V16" i="8"/>
  <c r="C8" i="1"/>
  <c r="D8" i="1" s="1"/>
  <c r="E8" i="1" s="1"/>
  <c r="F8" i="1" s="1"/>
  <c r="G8" i="1" s="1"/>
  <c r="H8" i="1" s="1"/>
  <c r="I8" i="1" s="1"/>
  <c r="J8" i="1" s="1"/>
  <c r="K8" i="1" s="1"/>
  <c r="L8" i="1" s="1"/>
  <c r="N82" i="20" l="1"/>
  <c r="K10" i="19"/>
  <c r="K91" i="19" s="1"/>
  <c r="O82" i="19"/>
  <c r="O83" i="19" s="1"/>
  <c r="O65" i="19"/>
  <c r="O66" i="19" s="1"/>
  <c r="O67" i="19" s="1"/>
  <c r="O99" i="19"/>
  <c r="N99" i="20"/>
  <c r="N66" i="20"/>
  <c r="N83" i="20"/>
  <c r="D48" i="20"/>
  <c r="G14" i="19"/>
  <c r="N50" i="19"/>
  <c r="K50" i="19"/>
  <c r="O100" i="20"/>
  <c r="D11" i="21"/>
  <c r="F47" i="20"/>
  <c r="D13" i="1" s="1"/>
  <c r="G15" i="19"/>
  <c r="G47" i="19" s="1"/>
  <c r="G52" i="19" s="1"/>
  <c r="H50" i="19"/>
  <c r="J50" i="19"/>
  <c r="I50" i="19"/>
  <c r="D52" i="20"/>
  <c r="M52" i="27"/>
  <c r="N36" i="27"/>
  <c r="N18" i="27"/>
  <c r="L50" i="19"/>
  <c r="F47" i="19"/>
  <c r="F52" i="19" s="1"/>
  <c r="F50" i="19"/>
  <c r="E50" i="19"/>
  <c r="E47" i="19"/>
  <c r="M50" i="19"/>
  <c r="G50" i="19"/>
  <c r="L10" i="19"/>
  <c r="L91" i="19" s="1"/>
  <c r="H10" i="20"/>
  <c r="G5" i="21"/>
  <c r="G91" i="20"/>
  <c r="E52" i="20"/>
  <c r="E48" i="20"/>
  <c r="P11" i="8"/>
  <c r="Q11" i="8"/>
  <c r="Q15" i="8"/>
  <c r="P15" i="8"/>
  <c r="Q10" i="8"/>
  <c r="P10" i="8"/>
  <c r="P12" i="8"/>
  <c r="Q9" i="8"/>
  <c r="P9" i="8"/>
  <c r="Q14" i="8"/>
  <c r="P14" i="8"/>
  <c r="P13" i="8"/>
  <c r="Q13" i="8"/>
  <c r="Q17" i="1"/>
  <c r="P17" i="1"/>
  <c r="O17" i="1"/>
  <c r="N17" i="1"/>
  <c r="M17" i="1"/>
  <c r="Q16" i="1"/>
  <c r="P16" i="1"/>
  <c r="O16" i="1"/>
  <c r="N16" i="1"/>
  <c r="M16" i="1"/>
  <c r="Q15" i="1"/>
  <c r="P15" i="1"/>
  <c r="O15" i="1"/>
  <c r="N15" i="1"/>
  <c r="M15" i="1"/>
  <c r="Q13" i="1"/>
  <c r="P13" i="1"/>
  <c r="O13" i="1"/>
  <c r="N13" i="1"/>
  <c r="M13" i="1"/>
  <c r="Q11" i="1"/>
  <c r="P11" i="1"/>
  <c r="O11" i="1"/>
  <c r="N11" i="1"/>
  <c r="M11" i="1"/>
  <c r="Q10" i="1"/>
  <c r="P10" i="1"/>
  <c r="O10" i="1"/>
  <c r="N10" i="1"/>
  <c r="M10" i="1"/>
  <c r="M9" i="1"/>
  <c r="N9" i="1"/>
  <c r="O9" i="1"/>
  <c r="P9" i="1"/>
  <c r="Q9" i="1"/>
  <c r="D54" i="20" l="1"/>
  <c r="E54" i="20"/>
  <c r="E80" i="20" s="1"/>
  <c r="E81" i="20" s="1"/>
  <c r="N67" i="20"/>
  <c r="L17" i="1" s="1"/>
  <c r="L16" i="1"/>
  <c r="L15" i="1" s="1"/>
  <c r="H14" i="19"/>
  <c r="P101" i="19"/>
  <c r="P100" i="19"/>
  <c r="O101" i="20"/>
  <c r="J11" i="21" s="1"/>
  <c r="F48" i="20"/>
  <c r="F52" i="20"/>
  <c r="G47" i="20"/>
  <c r="E13" i="1" s="1"/>
  <c r="H15" i="19"/>
  <c r="H47" i="19" s="1"/>
  <c r="H48" i="19" s="1"/>
  <c r="N52" i="27"/>
  <c r="O36" i="27"/>
  <c r="F64" i="19"/>
  <c r="F99" i="19" s="1"/>
  <c r="O18" i="27"/>
  <c r="F48" i="19"/>
  <c r="G64" i="19"/>
  <c r="G99" i="19" s="1"/>
  <c r="E48" i="19"/>
  <c r="E52" i="19"/>
  <c r="E64" i="19" s="1"/>
  <c r="E99" i="19" s="1"/>
  <c r="G48" i="19"/>
  <c r="M10" i="19"/>
  <c r="M91" i="19" s="1"/>
  <c r="I10" i="20"/>
  <c r="H5" i="21"/>
  <c r="H91" i="20"/>
  <c r="F54" i="20" l="1"/>
  <c r="F80" i="20" s="1"/>
  <c r="F81" i="20" s="1"/>
  <c r="D92" i="20"/>
  <c r="D80" i="20"/>
  <c r="D81" i="20" s="1"/>
  <c r="D64" i="20"/>
  <c r="E64" i="20"/>
  <c r="G52" i="20"/>
  <c r="H52" i="19"/>
  <c r="H64" i="19" s="1"/>
  <c r="G48" i="20"/>
  <c r="I14" i="19"/>
  <c r="E82" i="19"/>
  <c r="E83" i="19" s="1"/>
  <c r="G82" i="19"/>
  <c r="G83" i="19" s="1"/>
  <c r="F82" i="19"/>
  <c r="F83" i="19" s="1"/>
  <c r="O52" i="27"/>
  <c r="P36" i="27"/>
  <c r="F65" i="19"/>
  <c r="P18" i="27"/>
  <c r="G65" i="19"/>
  <c r="E65" i="19"/>
  <c r="N10" i="19"/>
  <c r="J10" i="20"/>
  <c r="I5" i="21"/>
  <c r="I91" i="20"/>
  <c r="Q14" i="1"/>
  <c r="F64" i="20" l="1"/>
  <c r="G54" i="20"/>
  <c r="G80" i="20" s="1"/>
  <c r="G81" i="20" s="1"/>
  <c r="D65" i="20"/>
  <c r="D66" i="20" s="1"/>
  <c r="B16" i="1" s="1"/>
  <c r="D82" i="20"/>
  <c r="D83" i="20" s="1"/>
  <c r="D99" i="20"/>
  <c r="D10" i="21" s="1"/>
  <c r="D6" i="21"/>
  <c r="O92" i="20"/>
  <c r="B9" i="1"/>
  <c r="E65" i="20"/>
  <c r="E66" i="20" s="1"/>
  <c r="E82" i="20"/>
  <c r="E83" i="20" s="1"/>
  <c r="E99" i="20"/>
  <c r="E10" i="21" s="1"/>
  <c r="N91" i="19"/>
  <c r="O10" i="19"/>
  <c r="H65" i="19"/>
  <c r="H66" i="19" s="1"/>
  <c r="H67" i="19" s="1"/>
  <c r="H99" i="19"/>
  <c r="H82" i="19"/>
  <c r="H83" i="19" s="1"/>
  <c r="H47" i="20"/>
  <c r="F13" i="1" s="1"/>
  <c r="I15" i="19"/>
  <c r="I47" i="19" s="1"/>
  <c r="I47" i="20"/>
  <c r="G13" i="1" s="1"/>
  <c r="J15" i="19"/>
  <c r="J47" i="19" s="1"/>
  <c r="J52" i="19" s="1"/>
  <c r="J64" i="19" s="1"/>
  <c r="J99" i="19" s="1"/>
  <c r="J14" i="19"/>
  <c r="E66" i="19"/>
  <c r="E67" i="19" s="1"/>
  <c r="E68" i="19" s="1"/>
  <c r="G66" i="19"/>
  <c r="G67" i="19" s="1"/>
  <c r="F66" i="19"/>
  <c r="F67" i="19" s="1"/>
  <c r="Q36" i="27"/>
  <c r="P52" i="27"/>
  <c r="Q18" i="27"/>
  <c r="R18" i="27"/>
  <c r="K10" i="20"/>
  <c r="J91" i="20"/>
  <c r="D67" i="20" l="1"/>
  <c r="F65" i="20"/>
  <c r="F66" i="20" s="1"/>
  <c r="F99" i="20"/>
  <c r="F10" i="21" s="1"/>
  <c r="F82" i="20"/>
  <c r="F83" i="20" s="1"/>
  <c r="G64" i="20"/>
  <c r="J6" i="21"/>
  <c r="P22" i="21"/>
  <c r="B15" i="1"/>
  <c r="C16" i="1"/>
  <c r="C15" i="1" s="1"/>
  <c r="E67" i="20"/>
  <c r="C17" i="1" s="1"/>
  <c r="D68" i="20"/>
  <c r="D69" i="20" s="1"/>
  <c r="O91" i="19"/>
  <c r="B17" i="1"/>
  <c r="I48" i="20"/>
  <c r="I52" i="20"/>
  <c r="H52" i="20"/>
  <c r="H48" i="20"/>
  <c r="J47" i="20"/>
  <c r="H13" i="1" s="1"/>
  <c r="K15" i="19"/>
  <c r="K47" i="19" s="1"/>
  <c r="K52" i="19" s="1"/>
  <c r="K64" i="19" s="1"/>
  <c r="K99" i="19" s="1"/>
  <c r="K14" i="19"/>
  <c r="J48" i="19"/>
  <c r="I52" i="19"/>
  <c r="I64" i="19" s="1"/>
  <c r="I99" i="19" s="1"/>
  <c r="I48" i="19"/>
  <c r="E69" i="19"/>
  <c r="F68" i="19"/>
  <c r="F69" i="19" s="1"/>
  <c r="J82" i="19"/>
  <c r="J83" i="19" s="1"/>
  <c r="R36" i="27"/>
  <c r="Q52" i="27"/>
  <c r="J65" i="19"/>
  <c r="J66" i="19" s="1"/>
  <c r="L10" i="20"/>
  <c r="K91" i="20"/>
  <c r="D16" i="1" l="1"/>
  <c r="D15" i="1" s="1"/>
  <c r="F67" i="20"/>
  <c r="D17" i="1" s="1"/>
  <c r="I54" i="20"/>
  <c r="I80" i="20" s="1"/>
  <c r="I81" i="20" s="1"/>
  <c r="H54" i="20"/>
  <c r="H80" i="20" s="1"/>
  <c r="H81" i="20" s="1"/>
  <c r="G65" i="20"/>
  <c r="G66" i="20" s="1"/>
  <c r="G99" i="20"/>
  <c r="G10" i="21" s="1"/>
  <c r="G82" i="20"/>
  <c r="G83" i="20" s="1"/>
  <c r="E68" i="20"/>
  <c r="F68" i="20" s="1"/>
  <c r="B18" i="1"/>
  <c r="B19" i="1" s="1"/>
  <c r="K48" i="19"/>
  <c r="J48" i="20"/>
  <c r="J52" i="20"/>
  <c r="K47" i="20"/>
  <c r="I13" i="1" s="1"/>
  <c r="L15" i="19"/>
  <c r="L47" i="19" s="1"/>
  <c r="L48" i="19" s="1"/>
  <c r="I82" i="19"/>
  <c r="I83" i="19" s="1"/>
  <c r="I65" i="19"/>
  <c r="I66" i="19" s="1"/>
  <c r="I67" i="19" s="1"/>
  <c r="L14" i="19"/>
  <c r="G68" i="19"/>
  <c r="G69" i="19" s="1"/>
  <c r="F70" i="19"/>
  <c r="K82" i="19"/>
  <c r="K83" i="19" s="1"/>
  <c r="R52" i="27"/>
  <c r="S36" i="27"/>
  <c r="K65" i="19"/>
  <c r="J67" i="19"/>
  <c r="M10" i="20"/>
  <c r="N10" i="20" s="1"/>
  <c r="L91" i="20"/>
  <c r="J54" i="20" l="1"/>
  <c r="J80" i="20" s="1"/>
  <c r="J81" i="20" s="1"/>
  <c r="E16" i="1"/>
  <c r="E15" i="1" s="1"/>
  <c r="G67" i="20"/>
  <c r="E17" i="1" s="1"/>
  <c r="H64" i="20"/>
  <c r="I64" i="20"/>
  <c r="E69" i="20"/>
  <c r="E70" i="20"/>
  <c r="C18" i="1"/>
  <c r="C19" i="1" s="1"/>
  <c r="N91" i="20"/>
  <c r="K48" i="20"/>
  <c r="F70" i="20"/>
  <c r="F69" i="20"/>
  <c r="L52" i="19"/>
  <c r="L64" i="19" s="1"/>
  <c r="K52" i="20"/>
  <c r="M14" i="19"/>
  <c r="L47" i="20"/>
  <c r="J13" i="1" s="1"/>
  <c r="M15" i="19"/>
  <c r="M47" i="19" s="1"/>
  <c r="M48" i="19" s="1"/>
  <c r="G70" i="19"/>
  <c r="H68" i="19"/>
  <c r="H69" i="19" s="1"/>
  <c r="K66" i="19"/>
  <c r="K67" i="19" s="1"/>
  <c r="U36" i="27"/>
  <c r="U52" i="27" s="1"/>
  <c r="S52" i="27"/>
  <c r="T36" i="27"/>
  <c r="T52" i="27" s="1"/>
  <c r="M91" i="20"/>
  <c r="M8" i="1"/>
  <c r="N8" i="1" s="1"/>
  <c r="I65" i="20" l="1"/>
  <c r="I66" i="20" s="1"/>
  <c r="I99" i="20"/>
  <c r="I10" i="21" s="1"/>
  <c r="I82" i="20"/>
  <c r="I83" i="20" s="1"/>
  <c r="H65" i="20"/>
  <c r="H66" i="20" s="1"/>
  <c r="H99" i="20"/>
  <c r="H10" i="21" s="1"/>
  <c r="H82" i="20"/>
  <c r="H83" i="20" s="1"/>
  <c r="K54" i="20"/>
  <c r="K80" i="20" s="1"/>
  <c r="K81" i="20" s="1"/>
  <c r="J64" i="20"/>
  <c r="G68" i="20"/>
  <c r="D18" i="1"/>
  <c r="D19" i="1" s="1"/>
  <c r="L82" i="19"/>
  <c r="L83" i="19" s="1"/>
  <c r="L99" i="19"/>
  <c r="L52" i="20"/>
  <c r="L65" i="19"/>
  <c r="L66" i="19" s="1"/>
  <c r="L67" i="19" s="1"/>
  <c r="L48" i="20"/>
  <c r="M52" i="19"/>
  <c r="M64" i="19" s="1"/>
  <c r="N14" i="19"/>
  <c r="M47" i="20"/>
  <c r="K13" i="1" s="1"/>
  <c r="N15" i="19"/>
  <c r="N47" i="19" s="1"/>
  <c r="N52" i="19" s="1"/>
  <c r="N64" i="19" s="1"/>
  <c r="I68" i="19"/>
  <c r="I70" i="19" s="1"/>
  <c r="H70" i="19"/>
  <c r="O8" i="1"/>
  <c r="P8" i="1" s="1"/>
  <c r="Q8" i="1" s="1"/>
  <c r="J65" i="20" l="1"/>
  <c r="J66" i="20" s="1"/>
  <c r="J99" i="20"/>
  <c r="J82" i="20"/>
  <c r="J83" i="20" s="1"/>
  <c r="G69" i="20"/>
  <c r="G70" i="20"/>
  <c r="F16" i="1"/>
  <c r="F15" i="1" s="1"/>
  <c r="H67" i="20"/>
  <c r="L54" i="20"/>
  <c r="L80" i="20" s="1"/>
  <c r="L81" i="20" s="1"/>
  <c r="K64" i="20"/>
  <c r="I67" i="20"/>
  <c r="G17" i="1" s="1"/>
  <c r="G16" i="1"/>
  <c r="G15" i="1" s="1"/>
  <c r="E18" i="1"/>
  <c r="E19" i="1" s="1"/>
  <c r="N99" i="19"/>
  <c r="N82" i="19"/>
  <c r="N83" i="19" s="1"/>
  <c r="M65" i="19"/>
  <c r="M66" i="19" s="1"/>
  <c r="M67" i="19" s="1"/>
  <c r="M99" i="19"/>
  <c r="M48" i="20"/>
  <c r="M52" i="20"/>
  <c r="M82" i="19"/>
  <c r="M83" i="19" s="1"/>
  <c r="N48" i="19"/>
  <c r="I69" i="19"/>
  <c r="J68" i="19"/>
  <c r="J69" i="19" s="1"/>
  <c r="N65" i="19"/>
  <c r="L64" i="20" l="1"/>
  <c r="F17" i="1"/>
  <c r="H68" i="20"/>
  <c r="K65" i="20"/>
  <c r="K66" i="20" s="1"/>
  <c r="K82" i="20"/>
  <c r="K83" i="20" s="1"/>
  <c r="K99" i="20"/>
  <c r="M54" i="20"/>
  <c r="M80" i="20" s="1"/>
  <c r="M81" i="20" s="1"/>
  <c r="H16" i="1"/>
  <c r="H15" i="1" s="1"/>
  <c r="J67" i="20"/>
  <c r="H17" i="1" s="1"/>
  <c r="F18" i="1"/>
  <c r="F19" i="1" s="1"/>
  <c r="K68" i="19"/>
  <c r="K70" i="19" s="1"/>
  <c r="J70" i="19"/>
  <c r="N66" i="19"/>
  <c r="N67" i="19" s="1"/>
  <c r="M64" i="20" l="1"/>
  <c r="I16" i="1"/>
  <c r="I15" i="1" s="1"/>
  <c r="K67" i="20"/>
  <c r="I17" i="1" s="1"/>
  <c r="I68" i="20"/>
  <c r="H70" i="20"/>
  <c r="H69" i="20"/>
  <c r="L65" i="20"/>
  <c r="L66" i="20" s="1"/>
  <c r="L99" i="20"/>
  <c r="L82" i="20"/>
  <c r="L83" i="20" s="1"/>
  <c r="G18" i="1"/>
  <c r="H18" i="1" s="1"/>
  <c r="L68" i="19"/>
  <c r="M68" i="19" s="1"/>
  <c r="M70" i="19" s="1"/>
  <c r="K69" i="19"/>
  <c r="C78" i="19"/>
  <c r="S21" i="21" s="1"/>
  <c r="P99" i="19"/>
  <c r="J16" i="1" l="1"/>
  <c r="J15" i="1" s="1"/>
  <c r="L67" i="20"/>
  <c r="J68" i="20"/>
  <c r="I69" i="20"/>
  <c r="I70" i="20"/>
  <c r="M65" i="20"/>
  <c r="M66" i="20" s="1"/>
  <c r="M99" i="20"/>
  <c r="O99" i="20" s="1"/>
  <c r="J10" i="21" s="1"/>
  <c r="M82" i="20"/>
  <c r="M83" i="20" s="1"/>
  <c r="C78" i="20" s="1"/>
  <c r="S22" i="21" s="1"/>
  <c r="G19" i="1"/>
  <c r="I18" i="1"/>
  <c r="H19" i="1"/>
  <c r="N68" i="19"/>
  <c r="M69" i="19"/>
  <c r="L69" i="19"/>
  <c r="L70" i="19"/>
  <c r="K16" i="1" l="1"/>
  <c r="K15" i="1" s="1"/>
  <c r="C76" i="20"/>
  <c r="R22" i="21" s="1"/>
  <c r="M67" i="20"/>
  <c r="K17" i="1" s="1"/>
  <c r="K68" i="20"/>
  <c r="J70" i="20"/>
  <c r="J69" i="20"/>
  <c r="J17" i="1"/>
  <c r="C75" i="20"/>
  <c r="N69" i="19"/>
  <c r="O68" i="19"/>
  <c r="J18" i="1"/>
  <c r="K18" i="1" s="1"/>
  <c r="I19" i="1"/>
  <c r="C76" i="19"/>
  <c r="R21" i="21" s="1"/>
  <c r="N70" i="19"/>
  <c r="C75" i="19"/>
  <c r="Q21" i="21" s="1"/>
  <c r="L68" i="20" l="1"/>
  <c r="K69" i="20"/>
  <c r="K70" i="20"/>
  <c r="R11" i="8"/>
  <c r="T11" i="8" s="1"/>
  <c r="R13" i="8"/>
  <c r="T13" i="8" s="1"/>
  <c r="F15" i="8" a="1"/>
  <c r="F15" i="8" s="1"/>
  <c r="R14" i="8"/>
  <c r="T14" i="8" s="1"/>
  <c r="S9" i="8"/>
  <c r="U9" i="8" s="1"/>
  <c r="C17" i="8"/>
  <c r="R17" i="8" s="1"/>
  <c r="T17" i="8" s="1"/>
  <c r="R15" i="8"/>
  <c r="T15" i="8" s="1"/>
  <c r="S15" i="8"/>
  <c r="U15" i="8" s="1"/>
  <c r="S10" i="8"/>
  <c r="U10" i="8" s="1"/>
  <c r="B17" i="8"/>
  <c r="F11" i="8" a="1"/>
  <c r="F11" i="8" s="1"/>
  <c r="F14" i="8" a="1"/>
  <c r="F14" i="8" s="1"/>
  <c r="O3" i="8"/>
  <c r="F9" i="8" a="1"/>
  <c r="F9" i="8" s="1"/>
  <c r="S14" i="8"/>
  <c r="U14" i="8" s="1"/>
  <c r="S12" i="8"/>
  <c r="U12" i="8" s="1"/>
  <c r="F10" i="8" a="1"/>
  <c r="F10" i="8" s="1"/>
  <c r="R12" i="8"/>
  <c r="T12" i="8" s="1"/>
  <c r="R10" i="8"/>
  <c r="T10" i="8" s="1"/>
  <c r="R9" i="8"/>
  <c r="T9" i="8" s="1"/>
  <c r="F13" i="8" a="1"/>
  <c r="F13" i="8" s="1"/>
  <c r="S11" i="8"/>
  <c r="U11" i="8" s="1"/>
  <c r="S13" i="8"/>
  <c r="U13" i="8" s="1"/>
  <c r="F12" i="8" a="1"/>
  <c r="F12" i="8" s="1"/>
  <c r="Q22" i="21"/>
  <c r="K19" i="1"/>
  <c r="L18" i="1"/>
  <c r="L19" i="1" s="1"/>
  <c r="J19" i="1"/>
  <c r="O70" i="19"/>
  <c r="O69" i="19"/>
  <c r="Y10" i="8" l="1"/>
  <c r="W10" i="8"/>
  <c r="Y15" i="8"/>
  <c r="W15" i="8"/>
  <c r="V10" i="8"/>
  <c r="X10" i="8"/>
  <c r="V15" i="8"/>
  <c r="X15" i="8"/>
  <c r="X17" i="8"/>
  <c r="V17" i="8"/>
  <c r="W9" i="8"/>
  <c r="Y9" i="8"/>
  <c r="V14" i="8"/>
  <c r="X14" i="8"/>
  <c r="X12" i="8"/>
  <c r="V12" i="8"/>
  <c r="W12" i="8"/>
  <c r="Y12" i="8"/>
  <c r="V13" i="8"/>
  <c r="X13" i="8"/>
  <c r="X11" i="8"/>
  <c r="V11" i="8"/>
  <c r="X9" i="8"/>
  <c r="V9" i="8"/>
  <c r="Y14" i="8"/>
  <c r="W14" i="8"/>
  <c r="W13" i="8"/>
  <c r="Y13" i="8"/>
  <c r="Y11" i="8"/>
  <c r="W11" i="8"/>
  <c r="F17" i="8" a="1"/>
  <c r="F17" i="8" s="1"/>
  <c r="S17" i="8"/>
  <c r="U17" i="8" s="1"/>
  <c r="P17" i="8"/>
  <c r="Q17" i="8"/>
  <c r="L69" i="20"/>
  <c r="L70" i="20"/>
  <c r="M68" i="20"/>
  <c r="E77" i="19"/>
  <c r="Q18" i="1"/>
  <c r="Y17" i="8" l="1"/>
  <c r="W17" i="8"/>
  <c r="M70" i="20"/>
  <c r="M69" i="20"/>
  <c r="N68" i="20"/>
  <c r="D77" i="20"/>
  <c r="D78" i="20"/>
  <c r="F77" i="19"/>
  <c r="C77" i="19" s="1"/>
  <c r="T21" i="21" s="1"/>
  <c r="E78" i="19"/>
  <c r="Q19" i="1"/>
  <c r="N70" i="20" l="1"/>
  <c r="N69" i="20"/>
  <c r="E77" i="20" s="1"/>
  <c r="C77" i="20" s="1"/>
  <c r="T22" i="2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58" authorId="0" shapeId="0" xr:uid="{EAD0447B-BC58-48FE-B1C8-BF924C2CDC72}">
      <text>
        <r>
          <rPr>
            <b/>
            <sz val="9"/>
            <color indexed="81"/>
            <rFont val="Tahoma"/>
            <family val="2"/>
          </rPr>
          <t>Author:</t>
        </r>
        <r>
          <rPr>
            <sz val="9"/>
            <color indexed="81"/>
            <rFont val="Tahoma"/>
            <family val="2"/>
          </rPr>
          <t xml:space="preserve">
Already provisioned over the years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53" authorId="0" shapeId="0" xr:uid="{EEC15C63-D5BC-4D7D-B7DB-7C4CA68B40D4}">
      <text>
        <r>
          <rPr>
            <b/>
            <sz val="9"/>
            <color indexed="81"/>
            <rFont val="Tahoma"/>
            <family val="2"/>
          </rPr>
          <t>Author:</t>
        </r>
        <r>
          <rPr>
            <sz val="9"/>
            <color indexed="81"/>
            <rFont val="Tahoma"/>
            <family val="2"/>
          </rPr>
          <t xml:space="preserve">
go to the Capex&amp;Depr sheet
</t>
        </r>
      </text>
    </comment>
    <comment ref="B58" authorId="0" shapeId="0" xr:uid="{A08F729D-977A-496B-9AF0-4D3BDC5474F5}">
      <text>
        <r>
          <rPr>
            <b/>
            <sz val="9"/>
            <color indexed="81"/>
            <rFont val="Tahoma"/>
            <family val="2"/>
          </rPr>
          <t>Author:</t>
        </r>
        <r>
          <rPr>
            <sz val="9"/>
            <color indexed="81"/>
            <rFont val="Tahoma"/>
            <family val="2"/>
          </rPr>
          <t xml:space="preserve">
Already provisioned over the years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0100-000001000000}">
      <text>
        <r>
          <rPr>
            <sz val="10"/>
            <color indexed="81"/>
            <rFont val="Univers 45 Light"/>
          </rPr>
          <t xml:space="preserve">This is the title for the chart. </t>
        </r>
      </text>
    </comment>
    <comment ref="A5" authorId="0" shapeId="0" xr:uid="{00000000-0006-0000-0100-000002000000}">
      <text>
        <r>
          <rPr>
            <sz val="10"/>
            <color indexed="81"/>
            <rFont val="Univers 45 Light"/>
          </rPr>
          <t>This is the vertical axis label.</t>
        </r>
      </text>
    </comment>
    <comment ref="A8" authorId="0" shapeId="0" xr:uid="{00000000-0006-0000-0100-000003000000}">
      <text>
        <r>
          <rPr>
            <sz val="10"/>
            <color indexed="81"/>
            <rFont val="Univers 45 Light"/>
          </rPr>
          <t>This row contains the labels for the horizontal axis.</t>
        </r>
      </text>
    </comment>
    <comment ref="A9" authorId="0" shapeId="0" xr:uid="{00000000-0006-0000-0100-000004000000}">
      <text>
        <r>
          <rPr>
            <sz val="10"/>
            <color indexed="81"/>
            <rFont val="Univers 45 Light"/>
          </rPr>
          <t xml:space="preserve">These rows (five in the template) include components of cashflow, for data entry each year. 
Less (or more) cashflow detail may be shown by deleting (oradding) rows as necessary. </t>
        </r>
      </text>
    </comment>
    <comment ref="A16" authorId="0" shapeId="0" xr:uid="{00000000-0006-0000-0100-000005000000}">
      <text>
        <r>
          <rPr>
            <sz val="10"/>
            <color indexed="81"/>
            <rFont val="Univers 45 Light"/>
          </rPr>
          <t>This row contains the sum of the components of cashflow, for each year. 
It is charted as a line below.</t>
        </r>
      </text>
    </comment>
    <comment ref="A17" authorId="0" shapeId="0" xr:uid="{00000000-0006-0000-0100-000006000000}">
      <text>
        <r>
          <rPr>
            <sz val="10"/>
            <color indexed="81"/>
            <rFont val="Univers 45 Light"/>
          </rPr>
          <t>This row contains the discounted cashflow, for each year. 
It is used to determine the cumulative DCF, which is charted as a line below.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0200-000001000000}">
      <text>
        <r>
          <rPr>
            <sz val="10"/>
            <color indexed="81"/>
            <rFont val="Univers 45 Light"/>
          </rPr>
          <t xml:space="preserve">This is the title for the chart. </t>
        </r>
      </text>
    </comment>
    <comment ref="A7" authorId="0" shapeId="0" xr:uid="{00000000-0006-0000-0200-000002000000}">
      <text>
        <r>
          <rPr>
            <sz val="10"/>
            <color indexed="81"/>
            <rFont val="Univers 45 Light"/>
          </rPr>
          <t>This row contains the Central Case NPV and IRR.</t>
        </r>
      </text>
    </comment>
    <comment ref="A9" authorId="0" shapeId="0" xr:uid="{00000000-0006-0000-0200-000003000000}">
      <text>
        <r>
          <rPr>
            <sz val="10"/>
            <color indexed="81"/>
            <rFont val="Univers 45 Light"/>
          </rPr>
          <t>These rows (nine in the template) include the sensitivities to the Central Case, an upside and downside value for NPV and IRR.
The data should be entered as stand-alone values, not as variances from the Central Case.
Put values for low and high sensitivities on the second line of each label (ensure formula bar is at least two rows to do this).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2" authorId="0" shapeId="0" xr:uid="{6B74DDC9-78D9-4C8A-AE80-7B69246E1E00}">
      <text>
        <r>
          <rPr>
            <b/>
            <sz val="9"/>
            <color indexed="81"/>
            <rFont val="Tahoma"/>
            <family val="2"/>
          </rPr>
          <t>Author:</t>
        </r>
        <r>
          <rPr>
            <sz val="9"/>
            <color indexed="81"/>
            <rFont val="Tahoma"/>
            <family val="2"/>
          </rPr>
          <t xml:space="preserve">
Please change the rates!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3" authorId="0" shapeId="0" xr:uid="{D537DE1F-2144-46FB-A736-D128E62BD398}">
      <text>
        <r>
          <rPr>
            <b/>
            <sz val="9"/>
            <color indexed="81"/>
            <rFont val="Tahoma"/>
            <family val="2"/>
          </rPr>
          <t>Enter Conversion rate</t>
        </r>
        <r>
          <rPr>
            <sz val="9"/>
            <color indexed="81"/>
            <rFont val="Tahoma"/>
            <family val="2"/>
          </rPr>
          <t xml:space="preserve">
</t>
        </r>
      </text>
    </comment>
    <comment ref="D10" authorId="0" shapeId="0" xr:uid="{3F726D36-CA28-413C-8C84-9896783CC22F}">
      <text>
        <r>
          <rPr>
            <b/>
            <sz val="9"/>
            <color indexed="81"/>
            <rFont val="Tahoma"/>
            <family val="2"/>
          </rPr>
          <t>Author:</t>
        </r>
        <r>
          <rPr>
            <sz val="9"/>
            <color indexed="81"/>
            <rFont val="Tahoma"/>
            <family val="2"/>
          </rPr>
          <t xml:space="preserve">
Not Applicable for ASEAn countries - leave it as "0"</t>
        </r>
      </text>
    </comment>
    <comment ref="D11" authorId="0" shapeId="0" xr:uid="{6D1CAD50-AC7F-41BF-8CE8-B38E006A0FAD}">
      <text>
        <r>
          <rPr>
            <b/>
            <sz val="9"/>
            <color indexed="81"/>
            <rFont val="Tahoma"/>
            <family val="2"/>
          </rPr>
          <t>Author:</t>
        </r>
        <r>
          <rPr>
            <sz val="9"/>
            <color indexed="81"/>
            <rFont val="Tahoma"/>
            <family val="2"/>
          </rPr>
          <t xml:space="preserve">
Mostly for Design alowance- limit to 5%</t>
        </r>
      </text>
    </comment>
    <comment ref="D13" authorId="0" shapeId="0" xr:uid="{A4C749E4-2683-45D0-9395-BDB627732E95}">
      <text>
        <r>
          <rPr>
            <b/>
            <sz val="9"/>
            <color indexed="81"/>
            <rFont val="Tahoma"/>
            <family val="2"/>
          </rPr>
          <t>Author:</t>
        </r>
        <r>
          <rPr>
            <sz val="9"/>
            <color indexed="81"/>
            <rFont val="Tahoma"/>
            <family val="2"/>
          </rPr>
          <t xml:space="preserve">
Max 30% for Select (dFM)
Max 10% for Define (eFM)</t>
        </r>
      </text>
    </comment>
    <comment ref="D15" authorId="0" shapeId="0" xr:uid="{77835E41-ECD0-4693-A531-BA37D4CBE57C}">
      <text>
        <r>
          <rPr>
            <b/>
            <sz val="9"/>
            <color indexed="81"/>
            <rFont val="Tahoma"/>
            <family val="2"/>
          </rPr>
          <t>Author:</t>
        </r>
        <r>
          <rPr>
            <sz val="9"/>
            <color indexed="81"/>
            <rFont val="Tahoma"/>
            <family val="2"/>
          </rPr>
          <t xml:space="preserve">
Not more than 10%</t>
        </r>
      </text>
    </comment>
  </commentList>
</comments>
</file>

<file path=xl/sharedStrings.xml><?xml version="1.0" encoding="utf-8"?>
<sst xmlns="http://schemas.openxmlformats.org/spreadsheetml/2006/main" count="1226" uniqueCount="671">
  <si>
    <t>Tax</t>
  </si>
  <si>
    <t>Cashflow</t>
  </si>
  <si>
    <t>Cum DCF</t>
  </si>
  <si>
    <t>Project Sensitivities</t>
  </si>
  <si>
    <t>Capex</t>
  </si>
  <si>
    <t>Downside</t>
  </si>
  <si>
    <t>Upside</t>
  </si>
  <si>
    <t>Chart 1</t>
  </si>
  <si>
    <t>Chart 2</t>
  </si>
  <si>
    <t>Disc Cashflow</t>
  </si>
  <si>
    <t>Input Data</t>
  </si>
  <si>
    <t>blank +</t>
  </si>
  <si>
    <t>blank -</t>
  </si>
  <si>
    <t>red +</t>
  </si>
  <si>
    <t>red -</t>
  </si>
  <si>
    <t>green +</t>
  </si>
  <si>
    <t>green -</t>
  </si>
  <si>
    <t>Chart Labels</t>
  </si>
  <si>
    <t>Chart Data</t>
  </si>
  <si>
    <t>Series</t>
  </si>
  <si>
    <t>NPV $m</t>
  </si>
  <si>
    <t>Chart</t>
  </si>
  <si>
    <t>Error Chk</t>
  </si>
  <si>
    <t>How to use</t>
  </si>
  <si>
    <t>Inner workings</t>
  </si>
  <si>
    <t>GIAAP Finance Charts Template</t>
  </si>
  <si>
    <t>Central</t>
  </si>
  <si>
    <t xml:space="preserve">Parameter </t>
  </si>
  <si>
    <t>Sensitivity Cases</t>
  </si>
  <si>
    <t>Central Case</t>
  </si>
  <si>
    <t>Cum Cashflow</t>
  </si>
  <si>
    <t>Annual $m</t>
  </si>
  <si>
    <t>Cash Flow Components</t>
  </si>
  <si>
    <t>IRR %</t>
  </si>
  <si>
    <t>Parameter</t>
  </si>
  <si>
    <t>Year</t>
  </si>
  <si>
    <t>Other
down, up (units)</t>
  </si>
  <si>
    <t>Working Capital Change</t>
  </si>
  <si>
    <t>Add, remove or modify rows as required to show cashflow.</t>
  </si>
  <si>
    <t>Capex accrued</t>
  </si>
  <si>
    <t>Capex Creditors</t>
  </si>
  <si>
    <t>Ratex</t>
  </si>
  <si>
    <t>Ratex Creditors</t>
  </si>
  <si>
    <t>Revex (incl Remediation)</t>
  </si>
  <si>
    <t>Country</t>
  </si>
  <si>
    <t>Vietnam</t>
  </si>
  <si>
    <t>Cost of Capital</t>
  </si>
  <si>
    <t>Project X</t>
  </si>
  <si>
    <t>Particulars</t>
  </si>
  <si>
    <t>Year 0</t>
  </si>
  <si>
    <t>Year 1</t>
  </si>
  <si>
    <t>Year 2</t>
  </si>
  <si>
    <t>Year 3</t>
  </si>
  <si>
    <t>Year 4</t>
  </si>
  <si>
    <t>Year 5</t>
  </si>
  <si>
    <t>Year 6</t>
  </si>
  <si>
    <t>Year 7</t>
  </si>
  <si>
    <t>Year 8</t>
  </si>
  <si>
    <t>Year 9</t>
  </si>
  <si>
    <t>Year 10</t>
  </si>
  <si>
    <t>GIAAP</t>
  </si>
  <si>
    <t>FX rates</t>
  </si>
  <si>
    <t>Inflation Rates</t>
  </si>
  <si>
    <t>%</t>
  </si>
  <si>
    <t>Cumm Inflation Rates</t>
  </si>
  <si>
    <t>Tax rate</t>
  </si>
  <si>
    <t xml:space="preserve">Assumptions </t>
  </si>
  <si>
    <t>Additional Volume</t>
  </si>
  <si>
    <t>lt</t>
  </si>
  <si>
    <t>Unit Margin</t>
  </si>
  <si>
    <t>Profit and Loss</t>
  </si>
  <si>
    <t>GBS cost savings (TCC)</t>
  </si>
  <si>
    <t>Project Revex (Implementation costs)</t>
  </si>
  <si>
    <t>Depreciation</t>
  </si>
  <si>
    <t>Ratex accrued</t>
  </si>
  <si>
    <t>Net Profit</t>
  </si>
  <si>
    <t>Interest</t>
  </si>
  <si>
    <t>Net Profit After interest</t>
  </si>
  <si>
    <t>Net profit after tax</t>
  </si>
  <si>
    <t>Net profit Before tax</t>
  </si>
  <si>
    <t>Add: Depreciation</t>
  </si>
  <si>
    <t>Less: Cash taxes</t>
  </si>
  <si>
    <t>Other Creditors (Ratex)</t>
  </si>
  <si>
    <t>Other Creditors (Legal severence &amp; indemnity provisions)</t>
  </si>
  <si>
    <t>OWC - Stocks</t>
  </si>
  <si>
    <t>OWC - Trade Debtors</t>
  </si>
  <si>
    <t>OWC - Trade Creditors</t>
  </si>
  <si>
    <t>Total Cash Flow</t>
  </si>
  <si>
    <t>$m</t>
  </si>
  <si>
    <t>Discounted Cashflow</t>
  </si>
  <si>
    <t>Cummulative Cashflow</t>
  </si>
  <si>
    <t>Payback - Years</t>
  </si>
  <si>
    <t>Years</t>
  </si>
  <si>
    <t>t</t>
  </si>
  <si>
    <t>Discount factor</t>
  </si>
  <si>
    <t>NPV - in $m</t>
  </si>
  <si>
    <t>IRR</t>
  </si>
  <si>
    <t>Payback - in Years</t>
  </si>
  <si>
    <t>Profitability Index</t>
  </si>
  <si>
    <t>Initial Investment</t>
  </si>
  <si>
    <t>Initial Investment - PV</t>
  </si>
  <si>
    <t>NPV</t>
  </si>
  <si>
    <t>PV (excl initial investment)</t>
  </si>
  <si>
    <t>BP Metrics ($)</t>
  </si>
  <si>
    <t>Total</t>
  </si>
  <si>
    <t>Cash Capex</t>
  </si>
  <si>
    <t>Revex</t>
  </si>
  <si>
    <t xml:space="preserve">Post tax cash flow ($m) </t>
  </si>
  <si>
    <t xml:space="preserve">RCOP pre tax ($m) </t>
  </si>
  <si>
    <t>Underlying RCOP pre tax ($m)</t>
  </si>
  <si>
    <t>Blue Book Price/Margin</t>
  </si>
  <si>
    <t>Sensitivity Case</t>
  </si>
  <si>
    <t>NTE</t>
  </si>
  <si>
    <t>PT</t>
  </si>
  <si>
    <t>Inflation</t>
  </si>
  <si>
    <t>% change on previous year/1</t>
  </si>
  <si>
    <t>Algeria</t>
  </si>
  <si>
    <t>Angola</t>
  </si>
  <si>
    <t>Argentina</t>
  </si>
  <si>
    <t>Australia</t>
  </si>
  <si>
    <t>Azerbaijan</t>
  </si>
  <si>
    <t>Bangladesh</t>
  </si>
  <si>
    <t>Brazil</t>
  </si>
  <si>
    <t>Canada</t>
  </si>
  <si>
    <t>China</t>
  </si>
  <si>
    <t>Colombia</t>
  </si>
  <si>
    <t>Czech Republic</t>
  </si>
  <si>
    <t>Denmark</t>
  </si>
  <si>
    <t>Egypt</t>
  </si>
  <si>
    <t>Euro area</t>
  </si>
  <si>
    <t>Georgia</t>
  </si>
  <si>
    <t>Hungary</t>
  </si>
  <si>
    <t>India</t>
  </si>
  <si>
    <t>Indonesia</t>
  </si>
  <si>
    <t>Iran</t>
  </si>
  <si>
    <t>Iraq</t>
  </si>
  <si>
    <t>Japan</t>
  </si>
  <si>
    <t>Jordan</t>
  </si>
  <si>
    <t>Kazakhstan</t>
  </si>
  <si>
    <t>Kuwait</t>
  </si>
  <si>
    <t>Libya</t>
  </si>
  <si>
    <t>Malaysia</t>
  </si>
  <si>
    <t>Mexico</t>
  </si>
  <si>
    <t>Mozambique</t>
  </si>
  <si>
    <t>New Zealand</t>
  </si>
  <si>
    <t>Nigeria</t>
  </si>
  <si>
    <t>Norway</t>
  </si>
  <si>
    <t>Oman</t>
  </si>
  <si>
    <t>Philippines</t>
  </si>
  <si>
    <t>Poland</t>
  </si>
  <si>
    <t>Romania</t>
  </si>
  <si>
    <t>Russia</t>
  </si>
  <si>
    <t>Saudi Arabia</t>
  </si>
  <si>
    <t>Singapore</t>
  </si>
  <si>
    <t>South Africa</t>
  </si>
  <si>
    <t>South Korea</t>
  </si>
  <si>
    <t>Sweden</t>
  </si>
  <si>
    <t>Switzerland</t>
  </si>
  <si>
    <t>Taiwan</t>
  </si>
  <si>
    <t>Thailand</t>
  </si>
  <si>
    <t>Trinidad</t>
  </si>
  <si>
    <t>Turkey</t>
  </si>
  <si>
    <t>Ukraine</t>
  </si>
  <si>
    <t>United Arab Emirates</t>
  </si>
  <si>
    <t>United Kingdom</t>
  </si>
  <si>
    <t>United States</t>
  </si>
  <si>
    <t>Venezuela</t>
  </si>
  <si>
    <t>Mauritania</t>
  </si>
  <si>
    <t>Senegal</t>
  </si>
  <si>
    <t>Albania</t>
  </si>
  <si>
    <t>Hong Kong</t>
  </si>
  <si>
    <t>Chile</t>
  </si>
  <si>
    <t>Peru</t>
  </si>
  <si>
    <t>Ghana</t>
  </si>
  <si>
    <t>Austria</t>
  </si>
  <si>
    <t>Belgium</t>
  </si>
  <si>
    <t>Cyprus</t>
  </si>
  <si>
    <t>Finland</t>
  </si>
  <si>
    <t>France</t>
  </si>
  <si>
    <t>Germany</t>
  </si>
  <si>
    <t>Greece</t>
  </si>
  <si>
    <t>Ireland</t>
  </si>
  <si>
    <t>Italy</t>
  </si>
  <si>
    <t>Malta</t>
  </si>
  <si>
    <t>Netherlands</t>
  </si>
  <si>
    <t>Portugal</t>
  </si>
  <si>
    <t>Slovak Republic</t>
  </si>
  <si>
    <t>Slovenia</t>
  </si>
  <si>
    <t>Spain</t>
  </si>
  <si>
    <t>/1  Inflation is measured as the percentage change between the average level of the consumer price index in one year compared to the previous year.</t>
  </si>
  <si>
    <t>Exchange Rates</t>
  </si>
  <si>
    <t>Currency against the US$</t>
  </si>
  <si>
    <t>United Kingdom (US$/£)</t>
  </si>
  <si>
    <t xml:space="preserve">Note: Due to current sanctions there is no meaningful exchange rate for the Russian Rouble. Contact Victoria Barthelmess for more information. </t>
  </si>
  <si>
    <t>Tax rates</t>
  </si>
  <si>
    <t>country1</t>
  </si>
  <si>
    <t>country2</t>
  </si>
  <si>
    <t>Remediation</t>
  </si>
  <si>
    <t>GM</t>
  </si>
  <si>
    <t>TCC</t>
  </si>
  <si>
    <t>Impairment</t>
  </si>
  <si>
    <t>1.</t>
  </si>
  <si>
    <t>2.</t>
  </si>
  <si>
    <t>3.</t>
  </si>
  <si>
    <t>4.</t>
  </si>
  <si>
    <t>5.</t>
  </si>
  <si>
    <t>6.</t>
  </si>
  <si>
    <t>7.</t>
  </si>
  <si>
    <t>8.</t>
  </si>
  <si>
    <t>9.</t>
  </si>
  <si>
    <t>10.</t>
  </si>
  <si>
    <t>11.</t>
  </si>
  <si>
    <t>12.</t>
  </si>
  <si>
    <t>13.</t>
  </si>
  <si>
    <t>14.</t>
  </si>
  <si>
    <t>15.</t>
  </si>
  <si>
    <t>Select you country from the drop down list in cell C2 in the "NPV PT" sheet</t>
  </si>
  <si>
    <t>Please add lines in case the headings in the sheet are not enough - both for P/L and Cash Flow</t>
  </si>
  <si>
    <t>Instructions:</t>
  </si>
  <si>
    <r>
      <t>Expected Impact on External bp Metrics:</t>
    </r>
    <r>
      <rPr>
        <sz val="11"/>
        <color rgb="FF009900"/>
        <rFont val="Univers for BP Light"/>
        <family val="2"/>
      </rPr>
      <t xml:space="preserve"> </t>
    </r>
  </si>
  <si>
    <t>bp Net @ central price</t>
  </si>
  <si>
    <t xml:space="preserve">TOTAL </t>
  </si>
  <si>
    <t xml:space="preserve">Post tax free cash flow ($m) </t>
  </si>
  <si>
    <t>Underlying RCOP ($m)</t>
  </si>
  <si>
    <t>GHG S1 &amp; S2 emissions (kt, CO2e)</t>
  </si>
  <si>
    <r>
      <t>·</t>
    </r>
    <r>
      <rPr>
        <sz val="7"/>
        <color rgb="FF99CC00"/>
        <rFont val="Times New Roman"/>
        <family val="1"/>
      </rPr>
      <t xml:space="preserve">         </t>
    </r>
    <r>
      <rPr>
        <sz val="10"/>
        <color rgb="FF292929"/>
        <rFont val="Univers for BP Light"/>
        <family val="2"/>
      </rPr>
      <t>A lease asset and liability will be reported on the balance sheet from the start of the lease in [date] of $[X]m with lease payments of $[X]m per annum.</t>
    </r>
  </si>
  <si>
    <r>
      <t>·</t>
    </r>
    <r>
      <rPr>
        <sz val="7"/>
        <color rgb="FF99CC00"/>
        <rFont val="Times New Roman"/>
        <family val="1"/>
      </rPr>
      <t xml:space="preserve">         </t>
    </r>
    <r>
      <rPr>
        <sz val="10"/>
        <color rgb="FF292929"/>
        <rFont val="Univers for BP Light"/>
        <family val="2"/>
      </rPr>
      <t xml:space="preserve">[Enter business group specific metrics].  </t>
    </r>
  </si>
  <si>
    <t xml:space="preserve">Economics:  </t>
  </si>
  <si>
    <t>Financial Request $m</t>
  </si>
  <si>
    <t>PI</t>
  </si>
  <si>
    <t>$/$</t>
  </si>
  <si>
    <t>DP</t>
  </si>
  <si>
    <t>NTE extra request</t>
  </si>
  <si>
    <t>the NTE calculations are in sheet "NPV NTE". The sheet gets the numbers from sheet "NPV PT", the only difference is that it adds the NTE extra request as per the % in column D.</t>
  </si>
  <si>
    <t>In case this simple rule does not work please ammend the lines directly</t>
  </si>
  <si>
    <t>GSC Savings/Costs (TCC) - Manufacturing</t>
  </si>
  <si>
    <t>GSC Savings/Costs (TCC) - BU Support</t>
  </si>
  <si>
    <t>GSC Savings/Costs (ACC) - Primary Logistics</t>
  </si>
  <si>
    <t>GSC Savings/Costs (ACC) - S&amp;H</t>
  </si>
  <si>
    <t>GSC Savings/Costs (TCC) - Sec Logistics</t>
  </si>
  <si>
    <t>GSC Savings/Costs (GM) - RM COGS</t>
  </si>
  <si>
    <t>OWC - Other Creditors (Other)</t>
  </si>
  <si>
    <t>OWC - Other Debtors (Other)</t>
  </si>
  <si>
    <t>Topline Growth (GM - Additional volume profit)</t>
  </si>
  <si>
    <t>Additional Volume Sec Distribution (TCC)</t>
  </si>
  <si>
    <t>Remediation &amp; Dismantling Costs</t>
  </si>
  <si>
    <t>Capex 1</t>
  </si>
  <si>
    <t>Capex 2</t>
  </si>
  <si>
    <t>Capex 3</t>
  </si>
  <si>
    <t>Capex 4</t>
  </si>
  <si>
    <t>Capex 5</t>
  </si>
  <si>
    <t>Capex 6</t>
  </si>
  <si>
    <t>Capex 7</t>
  </si>
  <si>
    <t>Capex 8</t>
  </si>
  <si>
    <t>Capex 9</t>
  </si>
  <si>
    <t>Capex 10</t>
  </si>
  <si>
    <t>Description</t>
  </si>
  <si>
    <t>Useful life</t>
  </si>
  <si>
    <t>Depr 1</t>
  </si>
  <si>
    <t>Depr 2</t>
  </si>
  <si>
    <t>Depr 3</t>
  </si>
  <si>
    <t>Depr 4</t>
  </si>
  <si>
    <t>Depr 5</t>
  </si>
  <si>
    <t>Depr 6</t>
  </si>
  <si>
    <t>Depr 7</t>
  </si>
  <si>
    <t>Depr 8</t>
  </si>
  <si>
    <t>Depr 9</t>
  </si>
  <si>
    <t>Depr 10</t>
  </si>
  <si>
    <t>Currency</t>
  </si>
  <si>
    <t>Capex and Depr are in a separate sheet - "Capex&amp;Depr"</t>
  </si>
  <si>
    <t>In the summary sheet, between lines 6-14 please hide the metrics which are not relevant</t>
  </si>
  <si>
    <t>Lubricants SPU: Component List  - Revised 4Q2013</t>
  </si>
  <si>
    <t>LUBRICANTS</t>
  </si>
  <si>
    <t>Fixed Asset Component</t>
  </si>
  <si>
    <t>Component</t>
  </si>
  <si>
    <t>Lubricants SPU Sub-component</t>
  </si>
  <si>
    <t>Asset Description</t>
  </si>
  <si>
    <t>Useful Life (Years)</t>
  </si>
  <si>
    <t>Containment System</t>
  </si>
  <si>
    <t>Bunding/earthworks</t>
  </si>
  <si>
    <t>Containment/Bund/earthworks</t>
  </si>
  <si>
    <t>Fencing</t>
  </si>
  <si>
    <t>Containment/Fencing</t>
  </si>
  <si>
    <t>Transfer Pump with driver</t>
  </si>
  <si>
    <t>Stormwater/Containment Piping</t>
  </si>
  <si>
    <t>Containment/SW/Containment Piping</t>
  </si>
  <si>
    <t>Instrumentation</t>
  </si>
  <si>
    <t>Containment/Instrumentation</t>
  </si>
  <si>
    <t>Isolation/Diversion Valves</t>
  </si>
  <si>
    <t>Containment/Isolation/Diversion Valves</t>
  </si>
  <si>
    <t>Fire Protection Systems</t>
  </si>
  <si>
    <t>Containment/Fire Protection</t>
  </si>
  <si>
    <t>Raw Material Storage/Delivery System</t>
  </si>
  <si>
    <t>Storage Tank with associated foundations</t>
  </si>
  <si>
    <t>RM Storage/Delivery /Storage Tanks</t>
  </si>
  <si>
    <t>RM Storage/Instrumentation</t>
  </si>
  <si>
    <t>RM Storage/Transfer Pump</t>
  </si>
  <si>
    <t>Unloading Systems/Hoses</t>
  </si>
  <si>
    <t>RM Storage/Unloading Systems</t>
  </si>
  <si>
    <t>Inline Specialties (filters, magnetic boxes, mixers, etc.)</t>
  </si>
  <si>
    <t>RM Storage/Inline Specialties</t>
  </si>
  <si>
    <t>Pipe Lines e.g. base oil / additive supply</t>
  </si>
  <si>
    <t>RM Storage/Pipe Lines</t>
  </si>
  <si>
    <t>Finished Product Storage/Delivery System</t>
  </si>
  <si>
    <t>FP Storage/Delivery /Storage Tanks</t>
  </si>
  <si>
    <t>FP Storage/Instrumentation</t>
  </si>
  <si>
    <t>Transfer/LoadingPump with driver</t>
  </si>
  <si>
    <t>FP Storage/Transfer Pump</t>
  </si>
  <si>
    <t>FP Storage/Inline Specialties</t>
  </si>
  <si>
    <t>Loading Arms /Hoses</t>
  </si>
  <si>
    <t>FP Storage/Loading Systems</t>
  </si>
  <si>
    <t>Pipe lines e.g. Finished product supply</t>
  </si>
  <si>
    <t>FP Storage/Pipe Lines</t>
  </si>
  <si>
    <t>Blending System</t>
  </si>
  <si>
    <t>Blending Vessel (with internals)</t>
  </si>
  <si>
    <t>Blending/Blending Vessels</t>
  </si>
  <si>
    <t>Holding Tanks (with internals)</t>
  </si>
  <si>
    <t>Blending/Holding Tanks</t>
  </si>
  <si>
    <t>Heating Units, including hot boxes</t>
  </si>
  <si>
    <t>Blending/Heating Units</t>
  </si>
  <si>
    <t>Blending/Instrumentation</t>
  </si>
  <si>
    <t>Control System</t>
  </si>
  <si>
    <t>Blending/Control Systems</t>
  </si>
  <si>
    <t>Decanting Unit</t>
  </si>
  <si>
    <t>Blending/Decanting Units</t>
  </si>
  <si>
    <t>Transfer/Circulation Pumps</t>
  </si>
  <si>
    <t>Blending/Transfer Pumps</t>
  </si>
  <si>
    <t>Manifold Systems</t>
  </si>
  <si>
    <t>Blending/Manifold Systems</t>
  </si>
  <si>
    <t>Filling/Packaging Line</t>
  </si>
  <si>
    <t>Filling Machine</t>
  </si>
  <si>
    <t>Filling/Packaging Line/Filling Machines</t>
  </si>
  <si>
    <t>Cappers and Sealer</t>
  </si>
  <si>
    <t>Filling/Packaging Line/Cappers &amp; Sealers</t>
  </si>
  <si>
    <t>Packaging Machine</t>
  </si>
  <si>
    <t>Filling/Packaging Line/Packaging Machine</t>
  </si>
  <si>
    <t>Palletizer</t>
  </si>
  <si>
    <t>Filling/Packaging Line/Palletizer</t>
  </si>
  <si>
    <t>De-Palletizer</t>
  </si>
  <si>
    <t>Filling/Packaging Line/De-Palletizer</t>
  </si>
  <si>
    <t>Labelling Machine</t>
  </si>
  <si>
    <t>Filling/Packaging Line/Labelling Machine</t>
  </si>
  <si>
    <t>Checkweigher</t>
  </si>
  <si>
    <t>Filling/Packaging Line/Checkweigher</t>
  </si>
  <si>
    <t>Case Sealer, e.g. glue sealer / tape sealer</t>
  </si>
  <si>
    <t>Filling/Packaging Line/Control Sealer</t>
  </si>
  <si>
    <t>Coders (case, bottle, ink jet, etc.)</t>
  </si>
  <si>
    <t>Filling/Packaging Line/Coder</t>
  </si>
  <si>
    <t>Shrink Wrapper</t>
  </si>
  <si>
    <t>Filling/Packaging Line/Shrink Wrapper</t>
  </si>
  <si>
    <t>Filling/Packaging Line/Control Systems</t>
  </si>
  <si>
    <t>Inline Specialties (filters, injection systems, mixers, etc.)</t>
  </si>
  <si>
    <t>Filling/Packaging Line/Inline Specialties</t>
  </si>
  <si>
    <t>Large Pack Filling (drums, pails, IBC)</t>
  </si>
  <si>
    <t>Filling/Packaging Line/Large Pack Filling</t>
  </si>
  <si>
    <t>Manifold systems</t>
  </si>
  <si>
    <t>Filling/Packaging Line/Manifold systems</t>
  </si>
  <si>
    <t>Pigging systems</t>
  </si>
  <si>
    <t>Filling/Packaging Line/Pigging systems</t>
  </si>
  <si>
    <t>Holding Tanks</t>
  </si>
  <si>
    <t>Filling/Packaging Line/Holding Tanks</t>
  </si>
  <si>
    <t>Warehouse and storage</t>
  </si>
  <si>
    <t>Conveyer Belts etc</t>
  </si>
  <si>
    <t>Whse &amp; Storage/Conveyer Belts etc</t>
  </si>
  <si>
    <t>Jetties/Pontoons</t>
  </si>
  <si>
    <t>Whse &amp; Storage/Jetties</t>
  </si>
  <si>
    <t>Loading Ramps</t>
  </si>
  <si>
    <t>Whse &amp; Storage/Loading Ramps</t>
  </si>
  <si>
    <t>Vehicle Flushing/Cleaning systems</t>
  </si>
  <si>
    <t>Whse &amp; Storage/Vehicle Flush/Clean sys</t>
  </si>
  <si>
    <t>Warehouse Racking</t>
  </si>
  <si>
    <t>Whse &amp; Storage/Warehouse Racking</t>
  </si>
  <si>
    <t>General Site</t>
  </si>
  <si>
    <t>Fencing/Gates</t>
  </si>
  <si>
    <t>General Site/Fencing/Gates</t>
  </si>
  <si>
    <t>General Ventilation</t>
  </si>
  <si>
    <t>General Site/General Ventilation</t>
  </si>
  <si>
    <t>Fume Extraction</t>
  </si>
  <si>
    <t>General Site/Fume Extraction</t>
  </si>
  <si>
    <t>Laboratory Extraction systems</t>
  </si>
  <si>
    <t>General Site/Laboratory Extraction systems</t>
  </si>
  <si>
    <t>Building, e.g. guardhouse, control rooms, offices</t>
  </si>
  <si>
    <t>General Site/Building</t>
  </si>
  <si>
    <t>Platforms/Loading Racks/Fall Arrest Systems</t>
  </si>
  <si>
    <t>General Site/Platforms</t>
  </si>
  <si>
    <t>Comunications, e.g. PA systems, telecommunications</t>
  </si>
  <si>
    <t>General Site/Communications</t>
  </si>
  <si>
    <t>Electrical Distribution( includes MCC/PCC/Transformers)</t>
  </si>
  <si>
    <t>General Site/Electrical Distribution</t>
  </si>
  <si>
    <t xml:space="preserve">Lighting/Emergency Lighting </t>
  </si>
  <si>
    <t>General Site/Lighting</t>
  </si>
  <si>
    <t>Fire Protection</t>
  </si>
  <si>
    <t>General Site/Fire Protection</t>
  </si>
  <si>
    <t>Security Systems (alarms, access control, CCTV, etc.)</t>
  </si>
  <si>
    <t>General Site/Security Systems</t>
  </si>
  <si>
    <t>Furniture/Internal Fitout</t>
  </si>
  <si>
    <t>General Site/Furniture</t>
  </si>
  <si>
    <t>Water Waste Treatment Plant</t>
  </si>
  <si>
    <t>General Site/Water Waste Treatment Plant</t>
  </si>
  <si>
    <t>Water Purification System</t>
  </si>
  <si>
    <t>General Site/Water Purification System</t>
  </si>
  <si>
    <t>Below are some examples of 'assets in their own right' which are not components. This is not an exhaustive list</t>
  </si>
  <si>
    <t>Stand alone units</t>
  </si>
  <si>
    <t>Assets in own right/not components</t>
  </si>
  <si>
    <t>Fired Heaters with stack</t>
  </si>
  <si>
    <t>Fires Heater</t>
  </si>
  <si>
    <t>Steam boilers with stack</t>
  </si>
  <si>
    <t>Steam Boiler</t>
  </si>
  <si>
    <t>Air-Compressors with air receivers and air dryers</t>
  </si>
  <si>
    <t>Air Compressor</t>
  </si>
  <si>
    <t>Oil Water Separators</t>
  </si>
  <si>
    <t>Oil Water Separator</t>
  </si>
  <si>
    <t>Cooling water towers and associated pumps</t>
  </si>
  <si>
    <t>Cooling Tower</t>
  </si>
  <si>
    <t>Diesel generator with stack(captive power generation)</t>
  </si>
  <si>
    <t>Generator</t>
  </si>
  <si>
    <t>Refrigeration Skids</t>
  </si>
  <si>
    <t>Refrigeration Skid</t>
  </si>
  <si>
    <t>Mobile equipment (forktrucks, lifts, cranes, etc.)</t>
  </si>
  <si>
    <t>Mobile Equipment</t>
  </si>
  <si>
    <t>Laboratory Equipment</t>
  </si>
  <si>
    <t>Lab Equipment</t>
  </si>
  <si>
    <t>Uninterupted Power Supply (UPS)</t>
  </si>
  <si>
    <t>UPS</t>
  </si>
  <si>
    <t>Safety/Environmental Speciaties</t>
  </si>
  <si>
    <t>HSSE Specialties</t>
  </si>
  <si>
    <t>* enter the capex amounts as negative numbers</t>
  </si>
  <si>
    <t>PT:</t>
  </si>
  <si>
    <t>NTE:</t>
  </si>
  <si>
    <t>Capex&amp;Depr sheet</t>
  </si>
  <si>
    <t>(for European projects you can select "Euro area")</t>
  </si>
  <si>
    <t>or add additional columns and copy formulas if need to be more then 15 years.</t>
  </si>
  <si>
    <t>16.</t>
  </si>
  <si>
    <t>17.</t>
  </si>
  <si>
    <t>A sheet was added re frequently made mistakes - please analyze the sheet before starting or finalizing</t>
  </si>
  <si>
    <t>Common mistakes to avoid during ATN/FM preparation by CLT/embedded finance</t>
  </si>
  <si>
    <t>S No.</t>
  </si>
  <si>
    <t>Common mistakes</t>
  </si>
  <si>
    <r>
      <rPr>
        <b/>
        <sz val="10"/>
        <rFont val="Arial"/>
        <family val="2"/>
      </rPr>
      <t>Issues relating to ATN/FM formats</t>
    </r>
    <r>
      <rPr>
        <sz val="10"/>
        <rFont val="Arial"/>
        <family val="2"/>
      </rPr>
      <t xml:space="preserve">
a) All sections are not properly populated (ATN/FM Header, authority request, why this project, expected impact on external bp metrics,economics, risks, authorities).
b) Appropriate notes are not included (for e.g GHG, break-even etc.) in line with ATN/FM instructions
c) Formatting issues (Header, footer, date stamp, font to be used, ATN/FM to fit in 2 pages with minimum appendices etc.)
d) Authority requested is not stated on a NTE basis &amp; doesn't tally with financial request in the Economics section
e) Readiness to execute doesn't contain timelines for the next steps including agreement to be executed
f) Delivery SPA is not identified
g) Mitigations are not provided for risks
h) Risks are not rated for both worst credible &amp; Net basis</t>
    </r>
  </si>
  <si>
    <t>18.</t>
  </si>
  <si>
    <t>Unit Turnover</t>
  </si>
  <si>
    <t xml:space="preserve"> * check the useful lives in the "List for asset useful lives" sheet, but also with Project manager, as well as with the Vendor if in doubt.</t>
  </si>
  <si>
    <r>
      <rPr>
        <b/>
        <sz val="10"/>
        <rFont val="Arial"/>
        <family val="2"/>
      </rPr>
      <t>Issues relating to EEM guidance notes</t>
    </r>
    <r>
      <rPr>
        <sz val="10"/>
        <rFont val="Arial"/>
        <family val="2"/>
      </rPr>
      <t xml:space="preserve">
a) Project Life - Incorrect project life is considered
b) Working capital - Release of working capital is not considered in the last year &amp; additional working capital impact is not considered
c) Lease - Cash flows are not aligned with EEM GN 35 
d) Terminal value computation is improper, limitation is not considered (Terminal Value should account for 20% or less of the value of the project inclusive of the Terminal Value itself) 
e) Disposal - ISP (Indifferent Sales Price) computation is improper (If bp retains some value even after sale, that can be netted off to get ISP &amp; tax engrossment should be done in consultation with tax.</t>
    </r>
  </si>
  <si>
    <t>Secondary Logs Refund/Rebate (for Indirect channel)</t>
  </si>
  <si>
    <t>CFC (TCC)</t>
  </si>
  <si>
    <t>Marketing costs (TCC)</t>
  </si>
  <si>
    <t>Write-offs (COGS - GM)</t>
  </si>
  <si>
    <t>ASP</t>
  </si>
  <si>
    <t>19.</t>
  </si>
  <si>
    <t>The yellow cells are the ones which needs either direct inputs or inputs through linking to other (your) sheets. Grey lines do have formulas</t>
  </si>
  <si>
    <t>20.</t>
  </si>
  <si>
    <t>Signages:</t>
  </si>
  <si>
    <t>+ :  income / asset / cash-in</t>
  </si>
  <si>
    <t>– :  expense / liability / cash-out</t>
  </si>
  <si>
    <t>Length of the project is 10 years in the template, but it will change depending on the nature of the projectsi life of assets etc. Please deletete excess columns if less then 10 years,</t>
  </si>
  <si>
    <t>Additional Sales Volume</t>
  </si>
  <si>
    <t>Unit COGS</t>
  </si>
  <si>
    <t>Sales Turnover</t>
  </si>
  <si>
    <t>COGS</t>
  </si>
  <si>
    <t xml:space="preserve">  -----&gt; if there is additional sales volume</t>
  </si>
  <si>
    <t>"NPV PT" is the main sheet for the DCF calculations</t>
  </si>
  <si>
    <t>The outputs are also visible in the Summary sheet - with an FM format. Please hide any lines which are not relevant</t>
  </si>
  <si>
    <t>The CashFlow sheet is automatically populated - but if any lines added to the DCF please check the links are correct</t>
  </si>
  <si>
    <t>Global average</t>
  </si>
  <si>
    <t>info</t>
  </si>
  <si>
    <t>KPMG</t>
  </si>
  <si>
    <t>tax info from:</t>
  </si>
  <si>
    <t>Tax rates will aslo be populated. The rates for the major countries have been obtained from BP Global tax team, for the rest the rates were taken from the KPMG site.</t>
  </si>
  <si>
    <t>You can see the source in cell P15 in the "NPV PT" sheet. If it indicate "KPMG", then refer to local Tax team for reconfirmation.</t>
  </si>
  <si>
    <t>Capex Creditors (line 53) need to be inserted by the use. Advise would be that Capex spend in Q4 is assumed to be cashed out the next year</t>
  </si>
  <si>
    <t>The outputs of the DCF are between lines 70-73</t>
  </si>
  <si>
    <t>And there are some additional BP metrics between lines 86-96. In case new lines are added to the DCF, the BP metrics may need to be adjusted</t>
  </si>
  <si>
    <t>Lines 16 to 22 are to be used if there is an incremantal volume /GM due to the project</t>
  </si>
  <si>
    <t>Other Income</t>
  </si>
  <si>
    <t xml:space="preserve"> * Useful lifes in column D are just examples - please enter your own rates</t>
  </si>
  <si>
    <r>
      <rPr>
        <b/>
        <sz val="10"/>
        <rFont val="Arial"/>
        <family val="2"/>
      </rPr>
      <t xml:space="preserve">Other issues </t>
    </r>
    <r>
      <rPr>
        <sz val="10"/>
        <rFont val="Arial"/>
        <family val="2"/>
      </rPr>
      <t xml:space="preserve">
a) Blue book rates - Plan Forex used instead of Blue Book rate, latest Blue book rates not used (Blue book rates are updated twice a year in Mar &amp; Sep)
b) Incorrect selection of an endorser as all the applicable authorities are not considered
c) Long Term Capital Commitments - Net Exposure computation - Net exposure is a feasible (1 in 20 – ‘P5’ i.e. 5%) downside risk to bp arising from entering into the agreement/arrangement. However observed post tax discounted gross exposure is incorrectly considered as Net exposure
d) RCOP in Expected impact on external bp metrics should be before tax &amp; Cash flow after tax. Observed RCOP incorrectly reported as net of tax 
e) 'Expected Impact on external bp metrics table' should contain underlying RCOP (i.e excluding adjusting Items (NOI)). Observed incorrect RCOP considered (i.e, inclusive of adjusting items)
f) When calculating the COGS difference between two scenarious it is not the full PCTP to be used but only the RM portions</t>
    </r>
  </si>
  <si>
    <t>Gain from Sale of Assets</t>
  </si>
  <si>
    <t>EUR</t>
  </si>
  <si>
    <t>TRY</t>
  </si>
  <si>
    <t>HUF</t>
  </si>
  <si>
    <t>RUB</t>
  </si>
  <si>
    <t>SEK</t>
  </si>
  <si>
    <t>NOK</t>
  </si>
  <si>
    <t>USD</t>
  </si>
  <si>
    <t>Albanian lek</t>
  </si>
  <si>
    <t>ALL</t>
  </si>
  <si>
    <t>Algerian dinar</t>
  </si>
  <si>
    <t>DZD</t>
  </si>
  <si>
    <t>Euro</t>
  </si>
  <si>
    <t>Angolan kwanza</t>
  </si>
  <si>
    <t>AOA</t>
  </si>
  <si>
    <t>Argentine peso</t>
  </si>
  <si>
    <t>ARS</t>
  </si>
  <si>
    <t>Australian dollar</t>
  </si>
  <si>
    <t>AUD</t>
  </si>
  <si>
    <t>Azerbaijani manat</t>
  </si>
  <si>
    <t>AZN</t>
  </si>
  <si>
    <t>Bangladeshi taka</t>
  </si>
  <si>
    <t>BDT</t>
  </si>
  <si>
    <t>West African CFA franc</t>
  </si>
  <si>
    <t>XOF</t>
  </si>
  <si>
    <t>Brazilian real</t>
  </si>
  <si>
    <t>BRL</t>
  </si>
  <si>
    <t>Canadian dollar</t>
  </si>
  <si>
    <t>CAD</t>
  </si>
  <si>
    <t>Chilean peso</t>
  </si>
  <si>
    <t>CLP</t>
  </si>
  <si>
    <t>Chinese yuan</t>
  </si>
  <si>
    <t>CNY</t>
  </si>
  <si>
    <t>Colombian peso</t>
  </si>
  <si>
    <t>COP</t>
  </si>
  <si>
    <t>Czech koruna</t>
  </si>
  <si>
    <t>CZK</t>
  </si>
  <si>
    <t>Danish krone</t>
  </si>
  <si>
    <t>DKK</t>
  </si>
  <si>
    <t>United States dollar</t>
  </si>
  <si>
    <t>Egyptian pound</t>
  </si>
  <si>
    <t>EGP</t>
  </si>
  <si>
    <t>Georgian lari</t>
  </si>
  <si>
    <t>GEL</t>
  </si>
  <si>
    <t>Ghanaian cedi</t>
  </si>
  <si>
    <t>GHS</t>
  </si>
  <si>
    <t>Hungarian forint</t>
  </si>
  <si>
    <t>Indian rupee</t>
  </si>
  <si>
    <t>INR</t>
  </si>
  <si>
    <t>Indonesian rupiah</t>
  </si>
  <si>
    <t>IDR</t>
  </si>
  <si>
    <t>Iranian rial</t>
  </si>
  <si>
    <t>Iraqi dinar</t>
  </si>
  <si>
    <t>IQD</t>
  </si>
  <si>
    <t>Japanese yen</t>
  </si>
  <si>
    <t>JPY</t>
  </si>
  <si>
    <t>Jordanian dinar</t>
  </si>
  <si>
    <t>JOD</t>
  </si>
  <si>
    <t>Kazakhstani tenge</t>
  </si>
  <si>
    <t>KZT</t>
  </si>
  <si>
    <t>KRW</t>
  </si>
  <si>
    <t>Kuwaiti dinar</t>
  </si>
  <si>
    <t>KWD</t>
  </si>
  <si>
    <t>Libyan dinar</t>
  </si>
  <si>
    <t>LYD</t>
  </si>
  <si>
    <t>Swiss franc</t>
  </si>
  <si>
    <t>CHF</t>
  </si>
  <si>
    <t>Malaysian ringgit</t>
  </si>
  <si>
    <t>MYR</t>
  </si>
  <si>
    <t>Mauritanian ouguiya</t>
  </si>
  <si>
    <t>MRO</t>
  </si>
  <si>
    <t>Mexican peso</t>
  </si>
  <si>
    <t>MXN</t>
  </si>
  <si>
    <t>Mozambican metical</t>
  </si>
  <si>
    <t>MZN</t>
  </si>
  <si>
    <t>New Zealand dollar</t>
  </si>
  <si>
    <t>NZD</t>
  </si>
  <si>
    <t>Nigerian naira</t>
  </si>
  <si>
    <t>NGN</t>
  </si>
  <si>
    <t>Norwegian krone</t>
  </si>
  <si>
    <t>Omani rial</t>
  </si>
  <si>
    <t>OMR</t>
  </si>
  <si>
    <t>Peruvian sol</t>
  </si>
  <si>
    <t>PEN</t>
  </si>
  <si>
    <t>Philippine peso</t>
  </si>
  <si>
    <t>PHP</t>
  </si>
  <si>
    <t>Polish zloty</t>
  </si>
  <si>
    <t>PLN</t>
  </si>
  <si>
    <t>Romanian leu</t>
  </si>
  <si>
    <t>RON</t>
  </si>
  <si>
    <t>Russian ruble</t>
  </si>
  <si>
    <t>Saudi riyal</t>
  </si>
  <si>
    <t>SAR</t>
  </si>
  <si>
    <t>Singapore dollar</t>
  </si>
  <si>
    <t>SGD</t>
  </si>
  <si>
    <t>South African rand</t>
  </si>
  <si>
    <t>ZAR</t>
  </si>
  <si>
    <t>Swedish krona</t>
  </si>
  <si>
    <t>New Taiwan dollar</t>
  </si>
  <si>
    <t>TWD</t>
  </si>
  <si>
    <t>Thai baht</t>
  </si>
  <si>
    <t>THB</t>
  </si>
  <si>
    <t>TTD</t>
  </si>
  <si>
    <t>Turkish lira</t>
  </si>
  <si>
    <t>Ukrainian hryvnia</t>
  </si>
  <si>
    <t>UAH</t>
  </si>
  <si>
    <t>United Arab Emirates dirham</t>
  </si>
  <si>
    <t>AED</t>
  </si>
  <si>
    <t>British pound</t>
  </si>
  <si>
    <t>GBP</t>
  </si>
  <si>
    <t>Venezuelan bolívar</t>
  </si>
  <si>
    <t>VEF</t>
  </si>
  <si>
    <t>Vietnamese dong</t>
  </si>
  <si>
    <t>VND</t>
  </si>
  <si>
    <t>Currency Code</t>
  </si>
  <si>
    <t>South Korean Won</t>
  </si>
  <si>
    <t>Hong Kong dollar</t>
  </si>
  <si>
    <t>HKD</t>
  </si>
  <si>
    <t>Trinidad &amp; Tobago dollar</t>
  </si>
  <si>
    <t xml:space="preserve">  -----&gt; please check / reconfirm with your local tax also (especially if info is from KPMG source)</t>
  </si>
  <si>
    <t>Luxembourg</t>
  </si>
  <si>
    <t>Last updated 29/03/2023</t>
  </si>
  <si>
    <t xml:space="preserve"> * The automated Depreciation calculation works only if the useful life is 4, 5, 10, 15, 20, 25, 30 years. If you enter anything else please make your own Depr calculation for those assets</t>
  </si>
  <si>
    <t>1Q-2024</t>
  </si>
  <si>
    <r>
      <rPr>
        <b/>
        <u/>
        <sz val="15"/>
        <color rgb="FFFF0000"/>
        <rFont val="Univers 45 Light"/>
      </rPr>
      <t>New</t>
    </r>
    <r>
      <rPr>
        <b/>
        <u/>
        <sz val="14"/>
        <rFont val="Univers 45 Light"/>
      </rPr>
      <t xml:space="preserve"> Useful Life (Years)</t>
    </r>
  </si>
  <si>
    <t>Please open your own sheets (working sheet) for the detailed calculations (investment case, base case etc), but use the NPV PT sheet for the NPV/DCF calculations</t>
  </si>
  <si>
    <t>The grey sheets are info sheets, the white sheets are working sheets, yellow sheets are the charts needed for the big FM's, and the green ones are the main DCF sheets</t>
  </si>
  <si>
    <t>FX rates and inflation will be automatically populated from the blue book data (a hidden sheet) - please check the date - if there is new bluebook assumption please copy the new ones into the hidden sheets</t>
  </si>
  <si>
    <t>21.</t>
  </si>
  <si>
    <t>Another sheet was added for the asset useful lives - the recent changes are seen in a separate column (column F)</t>
  </si>
  <si>
    <t>* prepared by Grover</t>
  </si>
  <si>
    <t>Last updated 03/04/2024</t>
  </si>
  <si>
    <t>Iceland</t>
  </si>
  <si>
    <t>BP tax - 2023</t>
  </si>
  <si>
    <t>Withholding Tax</t>
  </si>
  <si>
    <t>GM+TCC</t>
  </si>
  <si>
    <t>Disp Gains &amp; Other cash</t>
  </si>
  <si>
    <t>Sales Volume</t>
  </si>
  <si>
    <t>Volume Improvement</t>
  </si>
  <si>
    <t>RCOP Improvement</t>
  </si>
  <si>
    <t>USD GM/Litre</t>
  </si>
  <si>
    <t>Coporate Tax @ 24%</t>
  </si>
  <si>
    <t>Profit After Tax</t>
  </si>
  <si>
    <t xml:space="preserve">Capex </t>
  </si>
  <si>
    <t>JV Interest @ 37%</t>
  </si>
  <si>
    <t>MY Auto Business</t>
  </si>
  <si>
    <t>ESTIMATE:</t>
  </si>
  <si>
    <t>Enter Data in Grey cells</t>
  </si>
  <si>
    <t>Estimate Accuracy:</t>
  </si>
  <si>
    <t xml:space="preserve">1 USD = </t>
  </si>
  <si>
    <t xml:space="preserve">Conversion </t>
  </si>
  <si>
    <t xml:space="preserve">     + or - 20% to 30% - for dFM </t>
  </si>
  <si>
    <t xml:space="preserve">     + or - 10% - for eFM </t>
  </si>
  <si>
    <t xml:space="preserve">USD </t>
  </si>
  <si>
    <t>Sr.No</t>
  </si>
  <si>
    <t xml:space="preserve">DESCRIPTION </t>
  </si>
  <si>
    <t xml:space="preserve">ITEM </t>
  </si>
  <si>
    <t>Unit PRICE in LOCAL  (K)</t>
  </si>
  <si>
    <t>PRICE in LOCAL  (K)</t>
  </si>
  <si>
    <t>PRICE in USD (K)</t>
  </si>
  <si>
    <t>REMARKS</t>
  </si>
  <si>
    <t>To supply, install, testing and comissioning of 8 units of in-line labeller, OCR reader and rejection system</t>
  </si>
  <si>
    <t>LAN cable installation for 8 lines</t>
  </si>
  <si>
    <t>Sub Total (Gross)</t>
  </si>
  <si>
    <t>VAT Or Tax</t>
  </si>
  <si>
    <t>ASEAN countries exempted
Country Specific</t>
  </si>
  <si>
    <t xml:space="preserve"> </t>
  </si>
  <si>
    <t xml:space="preserve">Allocated Provision (Allowances) </t>
  </si>
  <si>
    <t>MTO allowance, Risks, Cut and watse</t>
  </si>
  <si>
    <t xml:space="preserve">Sub Total (Base Cost) </t>
  </si>
  <si>
    <t>Base cost  (BC)</t>
  </si>
  <si>
    <t>Unallocated Provision (UAP-Contingency)</t>
  </si>
  <si>
    <t>Max 10% eFM&amp; 30% for dFM
Scope uncetanity, pricing etc</t>
  </si>
  <si>
    <t xml:space="preserve">Sub Total (Project Expecetd Cost)  </t>
  </si>
  <si>
    <t>Performace Target  (PT)</t>
  </si>
  <si>
    <t>Additional Unallocated Provision (AUAP)</t>
  </si>
  <si>
    <t>Escalation, weather, HiPot Incidents, Risk</t>
  </si>
  <si>
    <t>TOTAL (Not To Exceed)</t>
  </si>
  <si>
    <t>Not To Exceed (NTE)</t>
  </si>
  <si>
    <t>Round Up - TOTAL</t>
  </si>
  <si>
    <t xml:space="preserve">Manual entry </t>
  </si>
  <si>
    <t>.</t>
  </si>
  <si>
    <t>Amount in USD (K)</t>
  </si>
  <si>
    <t>CASHFLOW</t>
  </si>
  <si>
    <t>YEAR</t>
  </si>
  <si>
    <t>Distribution</t>
  </si>
  <si>
    <t>Q1</t>
  </si>
  <si>
    <t>Q2</t>
  </si>
  <si>
    <t>Q3</t>
  </si>
  <si>
    <t>Q4</t>
  </si>
  <si>
    <t>TOTAL</t>
  </si>
  <si>
    <t>IDY</t>
  </si>
  <si>
    <t>DONG</t>
  </si>
  <si>
    <t>JV Interes</t>
  </si>
  <si>
    <t>Volume growth @ 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</si>
</sst>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1" formatCode="_(* #,##0_);_(* \(#,##0\);_(* &quot;-&quot;_);_(@_)"/>
    <numFmt numFmtId="44" formatCode="_(&quot;$&quot;* #,##0.00_);_(&quot;$&quot;* \(#,##0.00\);_(&quot;$&quot;* &quot;-&quot;??_);_(@_)"/>
    <numFmt numFmtId="43" formatCode="_(* #,##0.00_);_(* \(#,##0.00\);_(* &quot;-&quot;??_);_(@_)"/>
    <numFmt numFmtId="164" formatCode="\+0;;"/>
    <numFmt numFmtId="165" formatCode="0;\(0\);\-;@"/>
    <numFmt numFmtId="166" formatCode="0.0;\(0.0\);\-;@"/>
    <numFmt numFmtId="167" formatCode="#,##0.000"/>
    <numFmt numFmtId="168" formatCode="0.00;\(0.00\);\-;@"/>
    <numFmt numFmtId="169" formatCode="0.0%"/>
    <numFmt numFmtId="170" formatCode="0.000"/>
    <numFmt numFmtId="171" formatCode="#,##0_ ;\-#,##0\ "/>
    <numFmt numFmtId="172" formatCode="0_ ;\-0\ "/>
    <numFmt numFmtId="173" formatCode="0.0"/>
    <numFmt numFmtId="174" formatCode="#,##0.00_ ;\-#,##0.00\ "/>
    <numFmt numFmtId="175" formatCode="_ * #,##0.00_ ;_ * \-#,##0.00_ ;_ * &quot;-&quot;??_ ;_ @_ "/>
    <numFmt numFmtId="176" formatCode="#,##0.0"/>
    <numFmt numFmtId="177" formatCode="_ * #,##0_ ;_ * \-#,##0_ ;_ * &quot;-&quot;??_ ;_ @_ "/>
    <numFmt numFmtId="178" formatCode="0.0&quot; yrs&quot;"/>
    <numFmt numFmtId="179" formatCode="0.0000"/>
    <numFmt numFmtId="180" formatCode="_(* #,##0_);_(* \(#,##0\);_(* &quot;-&quot;??_);_(@_)"/>
    <numFmt numFmtId="181" formatCode="_(&quot;$&quot;* #,##0_);_(&quot;$&quot;* \(#,##0\);_(&quot;$&quot;* &quot;-&quot;??_);_(@_)"/>
    <numFmt numFmtId="182" formatCode="_(* #,##0.0_);_(* \(#,##0.0\);_(* &quot;-&quot;??_);_(@_)"/>
    <numFmt numFmtId="183" formatCode="_(* #,##0.00_);_(* \(#,##0.00\);_(* &quot;-&quot;_);_(@_)"/>
  </numFmts>
  <fonts count="96">
    <font>
      <sz val="10"/>
      <color theme="1"/>
      <name val="Univers 45 Light"/>
      <family val="2"/>
    </font>
    <font>
      <sz val="11"/>
      <color theme="1"/>
      <name val="Calibri"/>
      <family val="2"/>
      <scheme val="minor"/>
    </font>
    <font>
      <sz val="10"/>
      <color theme="1"/>
      <name val="Univers 45 Light"/>
      <family val="2"/>
    </font>
    <font>
      <b/>
      <sz val="11"/>
      <color theme="3"/>
      <name val="Univers 45 Light"/>
      <family val="2"/>
    </font>
    <font>
      <sz val="10"/>
      <name val="Univers 45 Light"/>
      <family val="2"/>
    </font>
    <font>
      <sz val="10"/>
      <color theme="1"/>
      <name val="Univers 45 Light"/>
    </font>
    <font>
      <b/>
      <u/>
      <sz val="10"/>
      <color theme="1"/>
      <name val="Univers 45 Light"/>
    </font>
    <font>
      <u/>
      <sz val="10"/>
      <color theme="10"/>
      <name val="Univers 45 Light"/>
      <family val="2"/>
    </font>
    <font>
      <b/>
      <sz val="14"/>
      <color indexed="12"/>
      <name val="Univers 45 Light"/>
    </font>
    <font>
      <i/>
      <sz val="10"/>
      <color theme="6" tint="-0.499984740745262"/>
      <name val="Univers 45 Light"/>
    </font>
    <font>
      <sz val="10"/>
      <color indexed="81"/>
      <name val="Univers 45 Light"/>
    </font>
    <font>
      <b/>
      <i/>
      <sz val="10"/>
      <color theme="1"/>
      <name val="Univers 45 Light"/>
    </font>
    <font>
      <sz val="10"/>
      <color rgb="FF0000FF"/>
      <name val="Univers 45 Light"/>
      <family val="2"/>
    </font>
    <font>
      <sz val="10"/>
      <color rgb="FFFF0000"/>
      <name val="Univers 45 Light"/>
      <family val="2"/>
    </font>
    <font>
      <sz val="10"/>
      <name val="Arial"/>
      <family val="2"/>
      <charset val="162"/>
    </font>
    <font>
      <b/>
      <sz val="14"/>
      <name val="Arial"/>
      <family val="2"/>
    </font>
    <font>
      <b/>
      <sz val="10"/>
      <name val="Arial"/>
      <family val="2"/>
    </font>
    <font>
      <b/>
      <sz val="10.5"/>
      <name val="Arial"/>
      <family val="2"/>
      <charset val="162"/>
    </font>
    <font>
      <b/>
      <sz val="10.5"/>
      <color rgb="FFFF0000"/>
      <name val="Arial"/>
      <family val="2"/>
    </font>
    <font>
      <sz val="10.5"/>
      <name val="Arial"/>
      <family val="2"/>
      <charset val="162"/>
    </font>
    <font>
      <sz val="10"/>
      <name val="Arial"/>
      <family val="2"/>
    </font>
    <font>
      <b/>
      <sz val="10.5"/>
      <color rgb="FFFF0000"/>
      <name val="Arial"/>
      <family val="2"/>
      <charset val="162"/>
    </font>
    <font>
      <sz val="10.5"/>
      <color theme="1"/>
      <name val="Arial"/>
      <family val="2"/>
      <charset val="162"/>
    </font>
    <font>
      <sz val="10.5"/>
      <name val="Arial"/>
      <family val="2"/>
    </font>
    <font>
      <b/>
      <sz val="10.5"/>
      <name val="Arial"/>
      <family val="2"/>
    </font>
    <font>
      <b/>
      <sz val="10.5"/>
      <color rgb="FF0000FF"/>
      <name val="Arial"/>
      <family val="2"/>
    </font>
    <font>
      <b/>
      <u/>
      <sz val="10"/>
      <name val="Arial"/>
      <family val="2"/>
    </font>
    <font>
      <b/>
      <sz val="9"/>
      <color indexed="81"/>
      <name val="Tahoma"/>
      <family val="2"/>
    </font>
    <font>
      <sz val="9"/>
      <color indexed="81"/>
      <name val="Tahoma"/>
      <family val="2"/>
    </font>
    <font>
      <sz val="10"/>
      <name val="Univers 45 Light"/>
    </font>
    <font>
      <b/>
      <sz val="14"/>
      <color indexed="18"/>
      <name val="Univers 45 Light"/>
    </font>
    <font>
      <sz val="10"/>
      <name val="Times New Roman"/>
      <family val="1"/>
    </font>
    <font>
      <sz val="11"/>
      <name val="Univers 45 Light"/>
    </font>
    <font>
      <sz val="10"/>
      <color rgb="FFFF0000"/>
      <name val="Univers 45 Light"/>
    </font>
    <font>
      <b/>
      <sz val="11"/>
      <name val="Univers 45 Light"/>
    </font>
    <font>
      <i/>
      <sz val="11"/>
      <name val="Univers 45 Light"/>
    </font>
    <font>
      <i/>
      <sz val="11"/>
      <color rgb="FFFF0000"/>
      <name val="Univers 45 Light"/>
    </font>
    <font>
      <sz val="10.5"/>
      <color theme="0" tint="-0.14999847407452621"/>
      <name val="Arial"/>
      <family val="2"/>
      <charset val="162"/>
    </font>
    <font>
      <sz val="10.5"/>
      <color theme="0" tint="-0.14999847407452621"/>
      <name val="Arial"/>
      <family val="2"/>
    </font>
    <font>
      <b/>
      <sz val="10"/>
      <color theme="0" tint="-0.14999847407452621"/>
      <name val="Arial"/>
      <family val="2"/>
    </font>
    <font>
      <sz val="10"/>
      <color theme="0" tint="-0.34998626667073579"/>
      <name val="Arial"/>
      <family val="2"/>
      <charset val="162"/>
    </font>
    <font>
      <sz val="12"/>
      <color theme="1"/>
      <name val="Univers 45 Light"/>
    </font>
    <font>
      <b/>
      <u/>
      <sz val="13"/>
      <color rgb="FF0000FF"/>
      <name val="Univers 45 Light"/>
    </font>
    <font>
      <b/>
      <sz val="13"/>
      <name val="Arial"/>
      <family val="2"/>
      <charset val="162"/>
    </font>
    <font>
      <b/>
      <sz val="11"/>
      <color rgb="FF009900"/>
      <name val="Univers for BP Light"/>
      <family val="2"/>
    </font>
    <font>
      <sz val="11"/>
      <color rgb="FF009900"/>
      <name val="Univers for BP Light"/>
      <family val="2"/>
    </font>
    <font>
      <sz val="2"/>
      <color theme="1"/>
      <name val="Univers for BP Light"/>
      <family val="2"/>
    </font>
    <font>
      <b/>
      <sz val="10"/>
      <color rgb="FF000000"/>
      <name val="Univers for BP Light"/>
      <family val="2"/>
    </font>
    <font>
      <sz val="10"/>
      <color rgb="FF292929"/>
      <name val="Univers for BP Light"/>
      <family val="2"/>
    </font>
    <font>
      <sz val="10"/>
      <color rgb="FF99CC00"/>
      <name val="Symbol"/>
      <family val="1"/>
      <charset val="2"/>
    </font>
    <font>
      <sz val="7"/>
      <color rgb="FF99CC00"/>
      <name val="Times New Roman"/>
      <family val="1"/>
    </font>
    <font>
      <b/>
      <sz val="2"/>
      <color theme="1"/>
      <name val="Univers for BP Light"/>
      <family val="2"/>
    </font>
    <font>
      <b/>
      <sz val="10"/>
      <color theme="1"/>
      <name val="Univers for BP Light"/>
      <family val="2"/>
    </font>
    <font>
      <sz val="10"/>
      <color theme="1"/>
      <name val="Univers for BP Light"/>
      <family val="2"/>
    </font>
    <font>
      <sz val="8"/>
      <name val="Univers 45 Light"/>
      <family val="2"/>
    </font>
    <font>
      <b/>
      <sz val="14"/>
      <name val="Univers 45 Light"/>
    </font>
    <font>
      <b/>
      <u/>
      <sz val="10"/>
      <name val="Univers 45 Light"/>
    </font>
    <font>
      <b/>
      <u/>
      <sz val="14"/>
      <name val="Univers 45 Light"/>
    </font>
    <font>
      <b/>
      <i/>
      <sz val="10"/>
      <name val="Univers 45 Light"/>
    </font>
    <font>
      <sz val="10"/>
      <color indexed="10"/>
      <name val="Univers 45 Light"/>
    </font>
    <font>
      <i/>
      <sz val="9"/>
      <color theme="1"/>
      <name val="Univers 45 Light"/>
    </font>
    <font>
      <i/>
      <sz val="9"/>
      <color rgb="FFFF0000"/>
      <name val="Univers 45 Light"/>
    </font>
    <font>
      <sz val="11"/>
      <color theme="1"/>
      <name val="Calibri"/>
      <family val="2"/>
    </font>
    <font>
      <sz val="9"/>
      <name val="Arial"/>
      <family val="2"/>
    </font>
    <font>
      <b/>
      <sz val="10"/>
      <color rgb="FFFF0000"/>
      <name val="Arial"/>
      <family val="2"/>
    </font>
    <font>
      <sz val="8"/>
      <name val="Arial"/>
      <family val="2"/>
      <charset val="162"/>
    </font>
    <font>
      <b/>
      <sz val="18"/>
      <color rgb="FFFF0000"/>
      <name val="Univers 45 Light"/>
    </font>
    <font>
      <b/>
      <u/>
      <sz val="10"/>
      <color rgb="FFFF0000"/>
      <name val="Arial"/>
      <family val="2"/>
    </font>
    <font>
      <sz val="8"/>
      <name val="Univers 45 Light"/>
    </font>
    <font>
      <i/>
      <sz val="9"/>
      <name val="Univers 45 Light"/>
    </font>
    <font>
      <b/>
      <sz val="10"/>
      <name val="Univers 45 Light"/>
    </font>
    <font>
      <b/>
      <u/>
      <sz val="15"/>
      <color rgb="FFFF0000"/>
      <name val="Univers 45 Light"/>
    </font>
    <font>
      <b/>
      <sz val="13"/>
      <color rgb="FFFF0000"/>
      <name val="Univers 45 Light"/>
    </font>
    <font>
      <b/>
      <sz val="12"/>
      <color rgb="FFFF0000"/>
      <name val="Univers 45 Light"/>
    </font>
    <font>
      <sz val="10.5"/>
      <color theme="0"/>
      <name val="Arial"/>
      <family val="2"/>
    </font>
    <font>
      <sz val="10"/>
      <color theme="0"/>
      <name val="Arial"/>
      <family val="2"/>
    </font>
    <font>
      <b/>
      <sz val="13"/>
      <color theme="0"/>
      <name val="Arial"/>
      <family val="2"/>
    </font>
    <font>
      <sz val="10.5"/>
      <color theme="0"/>
      <name val="Arial"/>
      <family val="2"/>
      <charset val="162"/>
    </font>
    <font>
      <i/>
      <sz val="8"/>
      <name val="Arial"/>
      <family val="2"/>
    </font>
    <font>
      <u/>
      <sz val="10"/>
      <color indexed="12"/>
      <name val="Arial"/>
      <family val="2"/>
    </font>
    <font>
      <sz val="10.5"/>
      <color rgb="FF0000FF"/>
      <name val="Arial"/>
      <family val="2"/>
      <charset val="162"/>
    </font>
    <font>
      <b/>
      <sz val="11"/>
      <color theme="0"/>
      <name val="Calibri"/>
      <family val="2"/>
      <scheme val="minor"/>
    </font>
    <font>
      <sz val="11"/>
      <color theme="0"/>
      <name val="Calibri"/>
      <family val="2"/>
      <scheme val="minor"/>
    </font>
    <font>
      <b/>
      <sz val="10"/>
      <color theme="0"/>
      <name val="Univers 45 Light"/>
    </font>
    <font>
      <b/>
      <u val="double"/>
      <sz val="16"/>
      <name val="Calibri"/>
      <family val="2"/>
      <scheme val="minor"/>
    </font>
    <font>
      <sz val="10"/>
      <name val="Calibri"/>
      <family val="2"/>
      <scheme val="minor"/>
    </font>
    <font>
      <b/>
      <sz val="11"/>
      <name val="Calibri"/>
      <family val="2"/>
      <scheme val="minor"/>
    </font>
    <font>
      <sz val="11"/>
      <name val="Calibri"/>
      <family val="2"/>
      <scheme val="minor"/>
    </font>
    <font>
      <b/>
      <u/>
      <sz val="11"/>
      <name val="Calibri"/>
      <family val="2"/>
      <scheme val="minor"/>
    </font>
    <font>
      <sz val="11"/>
      <color theme="0" tint="-0.34998626667073579"/>
      <name val="Calibri"/>
      <family val="2"/>
      <scheme val="minor"/>
    </font>
    <font>
      <sz val="11"/>
      <color rgb="FF000000"/>
      <name val="Calibri"/>
      <family val="2"/>
    </font>
    <font>
      <sz val="10"/>
      <color theme="1"/>
      <name val="Calibri"/>
      <family val="2"/>
      <scheme val="minor"/>
    </font>
    <font>
      <sz val="10"/>
      <color theme="0" tint="-0.34998626667073579"/>
      <name val="Calibri"/>
      <family val="2"/>
      <scheme val="minor"/>
    </font>
    <font>
      <b/>
      <sz val="10"/>
      <color theme="1"/>
      <name val="Calibri"/>
      <family val="2"/>
      <scheme val="minor"/>
    </font>
    <font>
      <sz val="10"/>
      <color rgb="FFFF0000"/>
      <name val="Calibri"/>
      <family val="2"/>
      <scheme val="minor"/>
    </font>
    <font>
      <b/>
      <sz val="10"/>
      <name val="Calibri"/>
      <family val="2"/>
      <scheme val="minor"/>
    </font>
  </fonts>
  <fills count="16">
    <fill>
      <patternFill patternType="none"/>
    </fill>
    <fill>
      <patternFill patternType="gray125"/>
    </fill>
    <fill>
      <patternFill patternType="solid">
        <fgColor theme="6" tint="0.39994506668294322"/>
        <bgColor indexed="64"/>
      </patternFill>
    </fill>
    <fill>
      <patternFill patternType="solid">
        <fgColor theme="0" tint="-0.14999847407452621"/>
        <bgColor indexed="64"/>
      </patternFill>
    </fill>
    <fill>
      <patternFill patternType="solid">
        <fgColor rgb="FFFFFFCC"/>
        <bgColor indexed="64"/>
      </patternFill>
    </fill>
    <fill>
      <patternFill patternType="solid">
        <fgColor theme="0"/>
        <bgColor indexed="64"/>
      </patternFill>
    </fill>
    <fill>
      <patternFill patternType="solid">
        <fgColor indexed="42"/>
        <bgColor indexed="64"/>
      </patternFill>
    </fill>
    <fill>
      <patternFill patternType="solid">
        <fgColor indexed="50"/>
        <bgColor indexed="64"/>
      </patternFill>
    </fill>
    <fill>
      <patternFill patternType="solid">
        <fgColor indexed="9"/>
        <bgColor indexed="64"/>
      </patternFill>
    </fill>
    <fill>
      <patternFill patternType="solid">
        <fgColor rgb="FFFFC000"/>
        <bgColor indexed="64"/>
      </patternFill>
    </fill>
    <fill>
      <patternFill patternType="solid">
        <fgColor theme="2"/>
        <bgColor indexed="64"/>
      </patternFill>
    </fill>
    <fill>
      <patternFill patternType="solid">
        <fgColor indexed="13"/>
        <bgColor indexed="64"/>
      </patternFill>
    </fill>
    <fill>
      <patternFill patternType="solid">
        <fgColor rgb="FFFFFF00"/>
        <bgColor indexed="64"/>
      </patternFill>
    </fill>
    <fill>
      <patternFill patternType="solid">
        <fgColor theme="0" tint="-0.34998626667073579"/>
        <bgColor indexed="64"/>
      </patternFill>
    </fill>
    <fill>
      <patternFill patternType="solid">
        <fgColor rgb="FF00B050"/>
        <bgColor indexed="64"/>
      </patternFill>
    </fill>
    <fill>
      <patternFill patternType="solid">
        <fgColor theme="0" tint="-0.249977111117893"/>
        <bgColor indexed="64"/>
      </patternFill>
    </fill>
  </fills>
  <borders count="71">
    <border>
      <left/>
      <right/>
      <top/>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theme="0" tint="-0.499984740745262"/>
      </right>
      <top style="thin">
        <color auto="1"/>
      </top>
      <bottom style="thin">
        <color theme="0" tint="-0.499984740745262"/>
      </bottom>
      <diagonal/>
    </border>
    <border>
      <left style="thin">
        <color theme="0" tint="-0.499984740745262"/>
      </left>
      <right style="thin">
        <color theme="0" tint="-0.499984740745262"/>
      </right>
      <top style="thin">
        <color auto="1"/>
      </top>
      <bottom style="thin">
        <color theme="0" tint="-0.499984740745262"/>
      </bottom>
      <diagonal/>
    </border>
    <border>
      <left style="thin">
        <color theme="0" tint="-0.499984740745262"/>
      </left>
      <right style="thin">
        <color auto="1"/>
      </right>
      <top style="thin">
        <color auto="1"/>
      </top>
      <bottom style="thin">
        <color theme="0" tint="-0.499984740745262"/>
      </bottom>
      <diagonal/>
    </border>
    <border>
      <left style="thin">
        <color auto="1"/>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auto="1"/>
      </right>
      <top style="thin">
        <color theme="0" tint="-0.499984740745262"/>
      </top>
      <bottom style="thin">
        <color theme="0" tint="-0.499984740745262"/>
      </bottom>
      <diagonal/>
    </border>
    <border>
      <left style="thin">
        <color auto="1"/>
      </left>
      <right style="thin">
        <color theme="0" tint="-0.499984740745262"/>
      </right>
      <top style="thin">
        <color theme="0" tint="-0.499984740745262"/>
      </top>
      <bottom style="thin">
        <color auto="1"/>
      </bottom>
      <diagonal/>
    </border>
    <border>
      <left style="thin">
        <color theme="0" tint="-0.499984740745262"/>
      </left>
      <right style="thin">
        <color theme="0" tint="-0.499984740745262"/>
      </right>
      <top style="thin">
        <color theme="0" tint="-0.499984740745262"/>
      </top>
      <bottom style="thin">
        <color auto="1"/>
      </bottom>
      <diagonal/>
    </border>
    <border>
      <left style="thin">
        <color theme="0" tint="-0.499984740745262"/>
      </left>
      <right style="thin">
        <color auto="1"/>
      </right>
      <top style="thin">
        <color theme="0" tint="-0.499984740745262"/>
      </top>
      <bottom style="thin">
        <color auto="1"/>
      </bottom>
      <diagonal/>
    </border>
    <border>
      <left style="thin">
        <color indexed="64"/>
      </left>
      <right/>
      <top/>
      <bottom/>
      <diagonal/>
    </border>
    <border>
      <left/>
      <right style="thin">
        <color indexed="64"/>
      </right>
      <top/>
      <bottom/>
      <diagonal/>
    </border>
    <border>
      <left style="thin">
        <color theme="0" tint="-0.499984740745262"/>
      </left>
      <right style="thin">
        <color auto="1"/>
      </right>
      <top/>
      <bottom style="thin">
        <color theme="0" tint="-0.499984740745262"/>
      </bottom>
      <diagonal/>
    </border>
    <border>
      <left/>
      <right style="thin">
        <color rgb="FF7F7F7F"/>
      </right>
      <top style="thin">
        <color rgb="FF7F7F7F"/>
      </top>
      <bottom style="thin">
        <color rgb="FF7F7F7F"/>
      </bottom>
      <diagonal/>
    </border>
    <border>
      <left style="thin">
        <color auto="1"/>
      </left>
      <right style="thin">
        <color theme="0" tint="-0.499984740745262"/>
      </right>
      <top/>
      <bottom style="thin">
        <color auto="1"/>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theme="0" tint="-0.499984740745262"/>
      </top>
      <bottom style="thin">
        <color auto="1"/>
      </bottom>
      <diagonal/>
    </border>
    <border>
      <left style="thin">
        <color theme="0" tint="-0.499984740745262"/>
      </left>
      <right/>
      <top style="thin">
        <color auto="1"/>
      </top>
      <bottom style="thin">
        <color theme="0" tint="-0.499984740745262"/>
      </bottom>
      <diagonal/>
    </border>
    <border>
      <left style="thin">
        <color auto="1"/>
      </left>
      <right/>
      <top style="thin">
        <color auto="1"/>
      </top>
      <bottom style="thin">
        <color theme="0" tint="-0.499984740745262"/>
      </bottom>
      <diagonal/>
    </border>
    <border>
      <left style="thin">
        <color auto="1"/>
      </left>
      <right/>
      <top style="thin">
        <color theme="0" tint="-0.499984740745262"/>
      </top>
      <bottom style="thin">
        <color theme="0" tint="-0.499984740745262"/>
      </bottom>
      <diagonal/>
    </border>
    <border>
      <left style="thin">
        <color theme="0" tint="-0.499984740745262"/>
      </left>
      <right style="thin">
        <color auto="1"/>
      </right>
      <top/>
      <bottom style="thin">
        <color auto="1"/>
      </bottom>
      <diagonal/>
    </border>
    <border>
      <left style="thin">
        <color indexed="64"/>
      </left>
      <right style="thin">
        <color indexed="64"/>
      </right>
      <top/>
      <bottom style="thin">
        <color indexed="64"/>
      </bottom>
      <diagonal/>
    </border>
    <border>
      <left style="thin">
        <color indexed="64"/>
      </left>
      <right style="thin">
        <color indexed="64"/>
      </right>
      <top style="thin">
        <color theme="0" tint="-0.499984740745262"/>
      </top>
      <bottom style="thin">
        <color theme="0" tint="-0.499984740745262"/>
      </bottom>
      <diagonal/>
    </border>
    <border>
      <left style="thin">
        <color rgb="FF7F7F7F"/>
      </left>
      <right/>
      <top style="thin">
        <color rgb="FF7F7F7F"/>
      </top>
      <bottom style="thin">
        <color rgb="FF7F7F7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bottom style="dotted">
        <color rgb="FF009900"/>
      </bottom>
      <diagonal/>
    </border>
    <border>
      <left/>
      <right style="dotted">
        <color rgb="FF009900"/>
      </right>
      <top/>
      <bottom style="dotted">
        <color rgb="FF009900"/>
      </bottom>
      <diagonal/>
    </border>
    <border>
      <left/>
      <right/>
      <top/>
      <bottom style="mediumDashed">
        <color rgb="FF009900"/>
      </bottom>
      <diagonal/>
    </border>
    <border>
      <left/>
      <right style="dotted">
        <color rgb="FF009900"/>
      </right>
      <top/>
      <bottom style="mediumDashed">
        <color rgb="FF009900"/>
      </bottom>
      <diagonal/>
    </border>
    <border>
      <left/>
      <right/>
      <top/>
      <bottom style="medium">
        <color rgb="FF009900"/>
      </bottom>
      <diagonal/>
    </border>
    <border>
      <left/>
      <right/>
      <top style="medium">
        <color rgb="FF009900"/>
      </top>
      <bottom/>
      <diagonal/>
    </border>
    <border>
      <left/>
      <right/>
      <top style="dotted">
        <color rgb="FF009900"/>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s>
  <cellStyleXfs count="20">
    <xf numFmtId="0" fontId="0" fillId="0" borderId="0"/>
    <xf numFmtId="0" fontId="3" fillId="0" borderId="1" applyNumberFormat="0" applyFill="0" applyAlignment="0" applyProtection="0"/>
    <xf numFmtId="0" fontId="4" fillId="2" borderId="2" applyNumberFormat="0" applyAlignment="0">
      <protection locked="0"/>
    </xf>
    <xf numFmtId="0" fontId="7" fillId="0" borderId="0" applyNumberForma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14" fillId="0" borderId="0"/>
    <xf numFmtId="0" fontId="14" fillId="0" borderId="0"/>
    <xf numFmtId="9" fontId="20" fillId="0" borderId="0" applyFont="0" applyFill="0" applyBorder="0" applyAlignment="0" applyProtection="0"/>
    <xf numFmtId="43" fontId="14" fillId="0" borderId="0" applyFont="0" applyFill="0" applyBorder="0" applyAlignment="0" applyProtection="0"/>
    <xf numFmtId="0" fontId="31" fillId="0" borderId="0"/>
    <xf numFmtId="9" fontId="31" fillId="0" borderId="0" applyFont="0" applyFill="0" applyBorder="0" applyAlignment="0" applyProtection="0"/>
    <xf numFmtId="0" fontId="20" fillId="0" borderId="0"/>
    <xf numFmtId="0" fontId="79" fillId="0" borderId="0" applyNumberFormat="0" applyFill="0" applyBorder="0" applyAlignment="0" applyProtection="0">
      <alignment vertical="top"/>
      <protection locked="0"/>
    </xf>
    <xf numFmtId="0" fontId="20" fillId="0" borderId="0"/>
    <xf numFmtId="0" fontId="31" fillId="0" borderId="0"/>
    <xf numFmtId="0" fontId="1" fillId="0" borderId="0"/>
    <xf numFmtId="0" fontId="20" fillId="0" borderId="0"/>
    <xf numFmtId="44" fontId="20" fillId="0" borderId="0" applyFont="0" applyFill="0" applyBorder="0" applyAlignment="0" applyProtection="0"/>
    <xf numFmtId="43" fontId="20" fillId="0" borderId="0" applyFont="0" applyFill="0" applyBorder="0" applyAlignment="0" applyProtection="0"/>
  </cellStyleXfs>
  <cellXfs count="428">
    <xf numFmtId="0" fontId="0" fillId="0" borderId="0" xfId="0"/>
    <xf numFmtId="0" fontId="3" fillId="0" borderId="1" xfId="1"/>
    <xf numFmtId="0" fontId="0" fillId="0" borderId="11" xfId="0" applyBorder="1" applyAlignment="1">
      <alignment horizontal="centerContinuous"/>
    </xf>
    <xf numFmtId="0" fontId="0" fillId="0" borderId="10" xfId="0" applyBorder="1" applyAlignment="1">
      <alignment horizontal="centerContinuous"/>
    </xf>
    <xf numFmtId="0" fontId="0" fillId="0" borderId="9" xfId="0" applyBorder="1" applyAlignment="1">
      <alignment horizontal="centerContinuous"/>
    </xf>
    <xf numFmtId="0" fontId="6" fillId="0" borderId="0" xfId="0" applyFont="1"/>
    <xf numFmtId="0" fontId="0" fillId="0" borderId="0" xfId="0" applyAlignment="1">
      <alignment horizontal="center"/>
    </xf>
    <xf numFmtId="0" fontId="4" fillId="2" borderId="2" xfId="2">
      <protection locked="0"/>
    </xf>
    <xf numFmtId="0" fontId="0" fillId="0" borderId="8" xfId="0" applyBorder="1" applyAlignment="1">
      <alignment horizontal="center"/>
    </xf>
    <xf numFmtId="0" fontId="4" fillId="2" borderId="24" xfId="2" applyBorder="1">
      <protection locked="0"/>
    </xf>
    <xf numFmtId="0" fontId="8" fillId="0" borderId="3" xfId="3" applyFont="1" applyBorder="1"/>
    <xf numFmtId="1" fontId="0" fillId="3" borderId="16" xfId="0" applyNumberFormat="1" applyFill="1" applyBorder="1" applyAlignment="1">
      <alignment horizontal="center"/>
    </xf>
    <xf numFmtId="1" fontId="0" fillId="3" borderId="19" xfId="0" applyNumberFormat="1"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0" fillId="0" borderId="0" xfId="0" applyAlignment="1">
      <alignment horizontal="left"/>
    </xf>
    <xf numFmtId="0" fontId="0" fillId="0" borderId="7" xfId="0" applyBorder="1" applyAlignment="1">
      <alignment horizontal="centerContinuous"/>
    </xf>
    <xf numFmtId="0" fontId="0" fillId="0" borderId="22" xfId="0" applyBorder="1"/>
    <xf numFmtId="0" fontId="0" fillId="0" borderId="8" xfId="0" applyBorder="1" applyAlignment="1">
      <alignment horizontal="left"/>
    </xf>
    <xf numFmtId="9" fontId="4" fillId="2" borderId="15" xfId="4" applyFont="1" applyFill="1" applyBorder="1" applyAlignment="1" applyProtection="1">
      <alignment horizontal="center"/>
      <protection locked="0"/>
    </xf>
    <xf numFmtId="9" fontId="4" fillId="2" borderId="17" xfId="4" applyFont="1" applyFill="1" applyBorder="1" applyAlignment="1" applyProtection="1">
      <alignment horizontal="center"/>
      <protection locked="0"/>
    </xf>
    <xf numFmtId="0" fontId="0" fillId="0" borderId="20" xfId="0" applyBorder="1" applyAlignment="1">
      <alignment horizontal="center"/>
    </xf>
    <xf numFmtId="0" fontId="9" fillId="0" borderId="21" xfId="0" applyFont="1" applyBorder="1"/>
    <xf numFmtId="0" fontId="0" fillId="0" borderId="25" xfId="0" applyBorder="1" applyAlignment="1">
      <alignment horizontal="center"/>
    </xf>
    <xf numFmtId="0" fontId="0" fillId="0" borderId="31" xfId="0" applyBorder="1" applyAlignment="1">
      <alignment horizontal="center"/>
    </xf>
    <xf numFmtId="0" fontId="0" fillId="0" borderId="23" xfId="0" applyBorder="1"/>
    <xf numFmtId="0" fontId="0" fillId="0" borderId="32" xfId="0" applyBorder="1"/>
    <xf numFmtId="0" fontId="0" fillId="0" borderId="33" xfId="0" applyBorder="1"/>
    <xf numFmtId="164" fontId="0" fillId="3" borderId="19" xfId="0" applyNumberFormat="1" applyFill="1" applyBorder="1" applyAlignment="1">
      <alignment horizontal="center"/>
    </xf>
    <xf numFmtId="164" fontId="0" fillId="3" borderId="16" xfId="0" applyNumberFormat="1" applyFill="1" applyBorder="1" applyAlignment="1">
      <alignment horizontal="center"/>
    </xf>
    <xf numFmtId="164" fontId="0" fillId="3" borderId="17" xfId="0" applyNumberFormat="1" applyFill="1" applyBorder="1" applyAlignment="1">
      <alignment horizontal="center"/>
    </xf>
    <xf numFmtId="164" fontId="0" fillId="3" borderId="20" xfId="0" applyNumberFormat="1" applyFill="1" applyBorder="1" applyAlignment="1">
      <alignment horizontal="center"/>
    </xf>
    <xf numFmtId="165" fontId="4" fillId="2" borderId="16" xfId="5" applyNumberFormat="1" applyFont="1" applyFill="1" applyBorder="1" applyAlignment="1" applyProtection="1">
      <alignment horizontal="center"/>
      <protection locked="0"/>
    </xf>
    <xf numFmtId="165" fontId="0" fillId="0" borderId="12" xfId="0" applyNumberFormat="1" applyBorder="1"/>
    <xf numFmtId="165" fontId="4" fillId="2" borderId="13" xfId="2" applyNumberFormat="1" applyBorder="1" applyAlignment="1">
      <alignment horizontal="center"/>
      <protection locked="0"/>
    </xf>
    <xf numFmtId="165" fontId="0" fillId="0" borderId="13" xfId="0" applyNumberFormat="1" applyBorder="1" applyAlignment="1">
      <alignment horizontal="center"/>
    </xf>
    <xf numFmtId="165" fontId="4" fillId="2" borderId="15" xfId="2" applyNumberFormat="1" applyBorder="1">
      <protection locked="0"/>
    </xf>
    <xf numFmtId="165" fontId="0" fillId="0" borderId="15" xfId="0" applyNumberFormat="1" applyBorder="1"/>
    <xf numFmtId="165" fontId="4" fillId="2" borderId="15" xfId="2" applyNumberFormat="1" applyBorder="1" applyAlignment="1">
      <alignment horizontal="center"/>
      <protection locked="0"/>
    </xf>
    <xf numFmtId="165" fontId="4" fillId="2" borderId="17" xfId="2" applyNumberFormat="1" applyBorder="1" applyAlignment="1">
      <alignment horizontal="center"/>
      <protection locked="0"/>
    </xf>
    <xf numFmtId="0" fontId="4" fillId="2" borderId="34" xfId="2" applyBorder="1">
      <protection locked="0"/>
    </xf>
    <xf numFmtId="0" fontId="3" fillId="0" borderId="0" xfId="1" applyBorder="1"/>
    <xf numFmtId="0" fontId="0" fillId="0" borderId="8" xfId="0" applyBorder="1"/>
    <xf numFmtId="165" fontId="0" fillId="0" borderId="16" xfId="5" applyNumberFormat="1" applyFont="1" applyBorder="1" applyAlignment="1">
      <alignment horizontal="center"/>
    </xf>
    <xf numFmtId="165" fontId="0" fillId="0" borderId="18" xfId="0" applyNumberFormat="1" applyBorder="1"/>
    <xf numFmtId="165" fontId="0" fillId="0" borderId="19" xfId="5" applyNumberFormat="1" applyFont="1" applyBorder="1" applyAlignment="1">
      <alignment horizontal="center"/>
    </xf>
    <xf numFmtId="165" fontId="0" fillId="0" borderId="0" xfId="0" applyNumberFormat="1"/>
    <xf numFmtId="0" fontId="5" fillId="3" borderId="12" xfId="0" applyFont="1" applyFill="1" applyBorder="1" applyAlignment="1">
      <alignment horizontal="left"/>
    </xf>
    <xf numFmtId="0" fontId="5" fillId="3" borderId="15" xfId="0" applyFont="1" applyFill="1" applyBorder="1" applyAlignment="1">
      <alignment horizontal="left"/>
    </xf>
    <xf numFmtId="0" fontId="5" fillId="3" borderId="18" xfId="0" applyFont="1" applyFill="1" applyBorder="1" applyAlignment="1">
      <alignment horizontal="left"/>
    </xf>
    <xf numFmtId="0" fontId="0" fillId="3" borderId="28" xfId="0" applyFill="1" applyBorder="1" applyAlignment="1">
      <alignment horizontal="center"/>
    </xf>
    <xf numFmtId="1" fontId="0" fillId="3" borderId="26" xfId="0" applyNumberFormat="1" applyFill="1" applyBorder="1" applyAlignment="1">
      <alignment horizontal="center"/>
    </xf>
    <xf numFmtId="1" fontId="0" fillId="3" borderId="27" xfId="0" applyNumberFormat="1" applyFill="1" applyBorder="1" applyAlignment="1">
      <alignment horizontal="center"/>
    </xf>
    <xf numFmtId="0" fontId="0" fillId="3" borderId="12" xfId="0" applyFill="1" applyBorder="1" applyAlignment="1">
      <alignment horizontal="center"/>
    </xf>
    <xf numFmtId="164" fontId="0" fillId="3" borderId="15" xfId="0" applyNumberFormat="1" applyFill="1" applyBorder="1" applyAlignment="1">
      <alignment horizontal="center"/>
    </xf>
    <xf numFmtId="0" fontId="4" fillId="2" borderId="30" xfId="2" applyBorder="1" applyAlignment="1">
      <alignment wrapText="1"/>
      <protection locked="0"/>
    </xf>
    <xf numFmtId="0" fontId="11" fillId="0" borderId="0" xfId="0" applyFont="1"/>
    <xf numFmtId="167" fontId="0" fillId="0" borderId="0" xfId="0" applyNumberFormat="1"/>
    <xf numFmtId="0" fontId="12" fillId="2" borderId="30" xfId="2" applyFont="1" applyBorder="1" applyAlignment="1">
      <alignment wrapText="1"/>
      <protection locked="0"/>
    </xf>
    <xf numFmtId="9" fontId="12" fillId="2" borderId="15" xfId="4" applyFont="1" applyFill="1" applyBorder="1" applyAlignment="1" applyProtection="1">
      <alignment horizontal="center"/>
      <protection locked="0"/>
    </xf>
    <xf numFmtId="9" fontId="12" fillId="2" borderId="17" xfId="4" applyFont="1" applyFill="1" applyBorder="1" applyAlignment="1" applyProtection="1">
      <alignment horizontal="center"/>
      <protection locked="0"/>
    </xf>
    <xf numFmtId="166" fontId="12" fillId="2" borderId="15" xfId="2" applyNumberFormat="1" applyFont="1" applyBorder="1" applyAlignment="1">
      <alignment horizontal="center"/>
      <protection locked="0"/>
    </xf>
    <xf numFmtId="166" fontId="12" fillId="2" borderId="17" xfId="2" applyNumberFormat="1" applyFont="1" applyBorder="1" applyAlignment="1">
      <alignment horizontal="center"/>
      <protection locked="0"/>
    </xf>
    <xf numFmtId="166" fontId="4" fillId="2" borderId="15" xfId="2" applyNumberFormat="1" applyBorder="1" applyAlignment="1">
      <alignment horizontal="center"/>
      <protection locked="0"/>
    </xf>
    <xf numFmtId="166" fontId="0" fillId="0" borderId="0" xfId="0" applyNumberFormat="1"/>
    <xf numFmtId="168" fontId="13" fillId="2" borderId="16" xfId="5" applyNumberFormat="1" applyFont="1" applyFill="1" applyBorder="1" applyAlignment="1" applyProtection="1">
      <alignment horizontal="center"/>
      <protection locked="0"/>
    </xf>
    <xf numFmtId="168" fontId="4" fillId="2" borderId="16" xfId="5" applyNumberFormat="1" applyFont="1" applyFill="1" applyBorder="1" applyAlignment="1" applyProtection="1">
      <alignment horizontal="center"/>
      <protection locked="0"/>
    </xf>
    <xf numFmtId="166" fontId="4" fillId="2" borderId="16" xfId="5" applyNumberFormat="1" applyFont="1" applyFill="1" applyBorder="1" applyAlignment="1" applyProtection="1">
      <alignment horizontal="center"/>
      <protection locked="0"/>
    </xf>
    <xf numFmtId="166" fontId="4" fillId="2" borderId="17" xfId="2" applyNumberFormat="1" applyBorder="1" applyAlignment="1">
      <alignment horizontal="center"/>
      <protection locked="0"/>
    </xf>
    <xf numFmtId="0" fontId="4" fillId="2" borderId="29" xfId="2" applyBorder="1" applyAlignment="1">
      <alignment wrapText="1"/>
      <protection locked="0"/>
    </xf>
    <xf numFmtId="166" fontId="4" fillId="2" borderId="12" xfId="2" applyNumberFormat="1" applyBorder="1" applyAlignment="1">
      <alignment horizontal="center"/>
      <protection locked="0"/>
    </xf>
    <xf numFmtId="166" fontId="4" fillId="2" borderId="14" xfId="2" applyNumberFormat="1" applyBorder="1" applyAlignment="1">
      <alignment horizontal="center"/>
      <protection locked="0"/>
    </xf>
    <xf numFmtId="0" fontId="17" fillId="7" borderId="4" xfId="7" applyFont="1" applyFill="1" applyBorder="1" applyAlignment="1">
      <alignment horizontal="center"/>
    </xf>
    <xf numFmtId="0" fontId="29" fillId="0" borderId="0" xfId="0" applyFont="1"/>
    <xf numFmtId="0" fontId="29" fillId="0" borderId="0" xfId="0" applyFont="1" applyAlignment="1">
      <alignment horizontal="center"/>
    </xf>
    <xf numFmtId="0" fontId="30" fillId="0" borderId="0" xfId="7" applyFont="1"/>
    <xf numFmtId="0" fontId="32" fillId="0" borderId="0" xfId="10" applyFont="1" applyAlignment="1">
      <alignment horizontal="center"/>
    </xf>
    <xf numFmtId="0" fontId="32" fillId="0" borderId="0" xfId="10" applyFont="1"/>
    <xf numFmtId="0" fontId="33" fillId="0" borderId="0" xfId="10" applyFont="1"/>
    <xf numFmtId="0" fontId="32" fillId="0" borderId="41" xfId="10" applyFont="1" applyBorder="1"/>
    <xf numFmtId="0" fontId="32" fillId="0" borderId="41" xfId="10" applyFont="1" applyBorder="1" applyAlignment="1">
      <alignment horizontal="center"/>
    </xf>
    <xf numFmtId="0" fontId="32" fillId="0" borderId="0" xfId="7" applyFont="1"/>
    <xf numFmtId="0" fontId="34" fillId="0" borderId="0" xfId="10" applyFont="1" applyAlignment="1">
      <alignment horizontal="center"/>
    </xf>
    <xf numFmtId="0" fontId="34" fillId="10" borderId="0" xfId="10" applyFont="1" applyFill="1" applyAlignment="1">
      <alignment horizontal="center"/>
    </xf>
    <xf numFmtId="0" fontId="32" fillId="10" borderId="0" xfId="10" applyFont="1" applyFill="1" applyAlignment="1">
      <alignment horizontal="center"/>
    </xf>
    <xf numFmtId="0" fontId="32" fillId="0" borderId="0" xfId="11" applyNumberFormat="1" applyFont="1"/>
    <xf numFmtId="173" fontId="32" fillId="0" borderId="0" xfId="10" applyNumberFormat="1" applyFont="1" applyAlignment="1">
      <alignment horizontal="center"/>
    </xf>
    <xf numFmtId="173" fontId="32" fillId="10" borderId="0" xfId="10" applyNumberFormat="1" applyFont="1" applyFill="1" applyAlignment="1">
      <alignment horizontal="center"/>
    </xf>
    <xf numFmtId="0" fontId="35" fillId="0" borderId="0" xfId="11" applyNumberFormat="1" applyFont="1"/>
    <xf numFmtId="173" fontId="35" fillId="0" borderId="0" xfId="10" applyNumberFormat="1" applyFont="1" applyAlignment="1">
      <alignment horizontal="center"/>
    </xf>
    <xf numFmtId="173" fontId="35" fillId="10" borderId="0" xfId="10" applyNumberFormat="1" applyFont="1" applyFill="1" applyAlignment="1">
      <alignment horizontal="center"/>
    </xf>
    <xf numFmtId="0" fontId="35" fillId="0" borderId="0" xfId="10" applyFont="1"/>
    <xf numFmtId="0" fontId="30" fillId="0" borderId="0" xfId="10" applyFont="1"/>
    <xf numFmtId="0" fontId="34" fillId="0" borderId="41" xfId="10" applyFont="1" applyBorder="1"/>
    <xf numFmtId="2" fontId="32" fillId="0" borderId="0" xfId="10" applyNumberFormat="1" applyFont="1" applyAlignment="1">
      <alignment horizontal="center"/>
    </xf>
    <xf numFmtId="2" fontId="32" fillId="10" borderId="0" xfId="10" applyNumberFormat="1" applyFont="1" applyFill="1" applyAlignment="1">
      <alignment horizontal="center"/>
    </xf>
    <xf numFmtId="170" fontId="32" fillId="0" borderId="0" xfId="10" applyNumberFormat="1" applyFont="1" applyAlignment="1">
      <alignment horizontal="center"/>
    </xf>
    <xf numFmtId="170" fontId="32" fillId="10" borderId="0" xfId="10" applyNumberFormat="1" applyFont="1" applyFill="1" applyAlignment="1">
      <alignment horizontal="center"/>
    </xf>
    <xf numFmtId="0" fontId="36" fillId="0" borderId="0" xfId="10" applyFont="1"/>
    <xf numFmtId="1" fontId="32" fillId="10" borderId="0" xfId="10" applyNumberFormat="1" applyFont="1" applyFill="1" applyAlignment="1">
      <alignment horizontal="center"/>
    </xf>
    <xf numFmtId="1" fontId="32" fillId="0" borderId="0" xfId="10" applyNumberFormat="1" applyFont="1" applyAlignment="1">
      <alignment horizontal="center"/>
    </xf>
    <xf numFmtId="166" fontId="4" fillId="0" borderId="16" xfId="5" applyNumberFormat="1" applyFont="1" applyBorder="1" applyAlignment="1">
      <alignment horizontal="center"/>
    </xf>
    <xf numFmtId="166" fontId="4" fillId="0" borderId="19" xfId="5" applyNumberFormat="1" applyFont="1" applyBorder="1" applyAlignment="1">
      <alignment horizontal="center"/>
    </xf>
    <xf numFmtId="0" fontId="41" fillId="0" borderId="0" xfId="0" applyFont="1"/>
    <xf numFmtId="0" fontId="41" fillId="0" borderId="0" xfId="0" quotePrefix="1" applyFont="1"/>
    <xf numFmtId="0" fontId="42" fillId="0" borderId="0" xfId="0" applyFont="1"/>
    <xf numFmtId="0" fontId="44" fillId="0" borderId="0" xfId="0" applyFont="1" applyAlignment="1">
      <alignment vertical="center"/>
    </xf>
    <xf numFmtId="0" fontId="46" fillId="0" borderId="0" xfId="0" applyFont="1" applyAlignment="1">
      <alignment vertical="center"/>
    </xf>
    <xf numFmtId="0" fontId="47" fillId="0" borderId="45" xfId="0" applyFont="1" applyBorder="1" applyAlignment="1">
      <alignment horizontal="justify" vertical="center" wrapText="1"/>
    </xf>
    <xf numFmtId="0" fontId="47" fillId="0" borderId="45" xfId="0" applyFont="1" applyBorder="1" applyAlignment="1">
      <alignment horizontal="center" vertical="center" wrapText="1"/>
    </xf>
    <xf numFmtId="0" fontId="47" fillId="0" borderId="46" xfId="0" applyFont="1" applyBorder="1" applyAlignment="1">
      <alignment horizontal="center" vertical="center" wrapText="1"/>
    </xf>
    <xf numFmtId="0" fontId="48" fillId="0" borderId="47" xfId="0" applyFont="1" applyBorder="1" applyAlignment="1">
      <alignment vertical="center" wrapText="1"/>
    </xf>
    <xf numFmtId="0" fontId="48" fillId="0" borderId="45" xfId="0" applyFont="1" applyBorder="1" applyAlignment="1">
      <alignment vertical="center" wrapText="1"/>
    </xf>
    <xf numFmtId="0" fontId="48" fillId="0" borderId="45" xfId="0" applyFont="1" applyBorder="1" applyAlignment="1">
      <alignment horizontal="center" vertical="center" wrapText="1"/>
    </xf>
    <xf numFmtId="0" fontId="48" fillId="0" borderId="46" xfId="0" applyFont="1" applyBorder="1" applyAlignment="1">
      <alignment horizontal="center" vertical="center" wrapText="1"/>
    </xf>
    <xf numFmtId="0" fontId="51" fillId="0" borderId="0" xfId="0" applyFont="1" applyAlignment="1">
      <alignment vertical="center"/>
    </xf>
    <xf numFmtId="0" fontId="52" fillId="0" borderId="0" xfId="0" applyFont="1" applyAlignment="1">
      <alignment horizontal="center" vertical="center" wrapText="1"/>
    </xf>
    <xf numFmtId="0" fontId="52" fillId="0" borderId="49" xfId="0" applyFont="1" applyBorder="1" applyAlignment="1">
      <alignment horizontal="center" vertical="center" wrapText="1"/>
    </xf>
    <xf numFmtId="0" fontId="53" fillId="0" borderId="47" xfId="0" applyFont="1" applyBorder="1" applyAlignment="1">
      <alignment horizontal="center" vertical="center" wrapText="1"/>
    </xf>
    <xf numFmtId="0" fontId="53" fillId="0" borderId="49" xfId="0" applyFont="1" applyBorder="1" applyAlignment="1">
      <alignment horizontal="center" vertical="center" wrapText="1"/>
    </xf>
    <xf numFmtId="0" fontId="48" fillId="0" borderId="0" xfId="0" applyFont="1" applyAlignment="1">
      <alignment horizontal="justify" vertical="center"/>
    </xf>
    <xf numFmtId="0" fontId="0" fillId="0" borderId="35" xfId="0" applyBorder="1"/>
    <xf numFmtId="0" fontId="0" fillId="0" borderId="36" xfId="0" applyBorder="1" applyAlignment="1">
      <alignment horizontal="left"/>
    </xf>
    <xf numFmtId="0" fontId="0" fillId="0" borderId="36" xfId="0" applyBorder="1" applyAlignment="1">
      <alignment horizontal="center"/>
    </xf>
    <xf numFmtId="0" fontId="17" fillId="7" borderId="58" xfId="7" applyFont="1" applyFill="1" applyBorder="1" applyAlignment="1">
      <alignment horizontal="center"/>
    </xf>
    <xf numFmtId="0" fontId="17" fillId="7" borderId="59" xfId="7" applyFont="1" applyFill="1" applyBorder="1" applyAlignment="1">
      <alignment horizontal="center"/>
    </xf>
    <xf numFmtId="0" fontId="0" fillId="0" borderId="38" xfId="0" applyBorder="1"/>
    <xf numFmtId="0" fontId="0" fillId="0" borderId="39" xfId="0" applyBorder="1"/>
    <xf numFmtId="3" fontId="0" fillId="0" borderId="0" xfId="0" applyNumberFormat="1" applyAlignment="1">
      <alignment horizontal="center"/>
    </xf>
    <xf numFmtId="3" fontId="0" fillId="0" borderId="39" xfId="0" applyNumberFormat="1" applyBorder="1" applyAlignment="1">
      <alignment horizontal="center"/>
    </xf>
    <xf numFmtId="0" fontId="60" fillId="0" borderId="0" xfId="0" applyFont="1"/>
    <xf numFmtId="0" fontId="17" fillId="7" borderId="60" xfId="7" applyFont="1" applyFill="1" applyBorder="1" applyAlignment="1">
      <alignment horizontal="center"/>
    </xf>
    <xf numFmtId="0" fontId="0" fillId="0" borderId="40" xfId="0" applyBorder="1"/>
    <xf numFmtId="0" fontId="0" fillId="0" borderId="41" xfId="0" applyBorder="1"/>
    <xf numFmtId="0" fontId="0" fillId="0" borderId="41" xfId="0" applyBorder="1" applyAlignment="1">
      <alignment horizontal="center"/>
    </xf>
    <xf numFmtId="3" fontId="0" fillId="0" borderId="41" xfId="0" applyNumberFormat="1" applyBorder="1" applyAlignment="1">
      <alignment horizontal="center"/>
    </xf>
    <xf numFmtId="3" fontId="0" fillId="0" borderId="42" xfId="0" applyNumberFormat="1" applyBorder="1" applyAlignment="1">
      <alignment horizontal="center"/>
    </xf>
    <xf numFmtId="0" fontId="14" fillId="0" borderId="0" xfId="0" applyFont="1" applyProtection="1">
      <protection locked="0"/>
    </xf>
    <xf numFmtId="169" fontId="14" fillId="0" borderId="0" xfId="0" applyNumberFormat="1" applyFont="1" applyAlignment="1" applyProtection="1">
      <alignment horizontal="center"/>
      <protection locked="0"/>
    </xf>
    <xf numFmtId="0" fontId="14" fillId="0" borderId="4" xfId="0" applyFont="1" applyBorder="1" applyProtection="1">
      <protection locked="0"/>
    </xf>
    <xf numFmtId="0" fontId="17" fillId="7" borderId="4" xfId="0" applyFont="1" applyFill="1" applyBorder="1" applyAlignment="1" applyProtection="1">
      <alignment horizontal="center"/>
      <protection locked="0"/>
    </xf>
    <xf numFmtId="171" fontId="14" fillId="0" borderId="0" xfId="0" applyNumberFormat="1" applyFont="1" applyProtection="1">
      <protection locked="0"/>
    </xf>
    <xf numFmtId="0" fontId="16" fillId="5" borderId="0" xfId="6" applyFont="1" applyFill="1" applyAlignment="1" applyProtection="1">
      <alignment horizontal="left" vertical="center" wrapText="1"/>
      <protection locked="0"/>
    </xf>
    <xf numFmtId="172" fontId="14" fillId="0" borderId="0" xfId="0" applyNumberFormat="1" applyFont="1" applyAlignment="1" applyProtection="1">
      <alignment horizontal="center"/>
      <protection locked="0"/>
    </xf>
    <xf numFmtId="0" fontId="17" fillId="7" borderId="4" xfId="7" applyFont="1" applyFill="1" applyBorder="1" applyAlignment="1" applyProtection="1">
      <alignment horizontal="center"/>
      <protection locked="0"/>
    </xf>
    <xf numFmtId="0" fontId="18" fillId="0" borderId="4" xfId="0" applyFont="1" applyBorder="1" applyProtection="1">
      <protection locked="0"/>
    </xf>
    <xf numFmtId="0" fontId="19" fillId="0" borderId="4" xfId="0" applyFont="1" applyBorder="1" applyAlignment="1" applyProtection="1">
      <alignment horizontal="center"/>
      <protection locked="0"/>
    </xf>
    <xf numFmtId="170" fontId="14" fillId="0" borderId="4" xfId="0" applyNumberFormat="1" applyFont="1" applyBorder="1" applyProtection="1">
      <protection locked="0"/>
    </xf>
    <xf numFmtId="0" fontId="19" fillId="0" borderId="4" xfId="0" applyFont="1" applyBorder="1" applyProtection="1">
      <protection locked="0"/>
    </xf>
    <xf numFmtId="2" fontId="14" fillId="0" borderId="4" xfId="0" applyNumberFormat="1" applyFont="1" applyBorder="1" applyProtection="1">
      <protection locked="0"/>
    </xf>
    <xf numFmtId="169" fontId="19" fillId="0" borderId="4" xfId="8" applyNumberFormat="1" applyFont="1" applyBorder="1" applyProtection="1">
      <protection locked="0"/>
    </xf>
    <xf numFmtId="0" fontId="21" fillId="0" borderId="43" xfId="0" applyFont="1" applyBorder="1" applyProtection="1">
      <protection locked="0"/>
    </xf>
    <xf numFmtId="0" fontId="19" fillId="0" borderId="43" xfId="0" applyFont="1" applyBorder="1" applyAlignment="1" applyProtection="1">
      <alignment horizontal="center"/>
      <protection locked="0"/>
    </xf>
    <xf numFmtId="3" fontId="19" fillId="0" borderId="44" xfId="0" applyNumberFormat="1" applyFont="1" applyBorder="1" applyProtection="1">
      <protection locked="0"/>
    </xf>
    <xf numFmtId="3" fontId="19" fillId="0" borderId="7" xfId="0" applyNumberFormat="1" applyFont="1" applyBorder="1" applyProtection="1">
      <protection locked="0"/>
    </xf>
    <xf numFmtId="0" fontId="22" fillId="0" borderId="43" xfId="0" applyFont="1" applyBorder="1" applyProtection="1">
      <protection locked="0"/>
    </xf>
    <xf numFmtId="0" fontId="22" fillId="0" borderId="21" xfId="0" applyFont="1" applyBorder="1" applyAlignment="1" applyProtection="1">
      <alignment horizontal="center"/>
      <protection locked="0"/>
    </xf>
    <xf numFmtId="0" fontId="22" fillId="0" borderId="43" xfId="0" applyFont="1" applyBorder="1" applyAlignment="1" applyProtection="1">
      <alignment horizontal="center"/>
      <protection locked="0"/>
    </xf>
    <xf numFmtId="0" fontId="19" fillId="0" borderId="43" xfId="0" applyFont="1" applyBorder="1" applyProtection="1">
      <protection locked="0"/>
    </xf>
    <xf numFmtId="0" fontId="19" fillId="0" borderId="21" xfId="0" applyFont="1" applyBorder="1" applyAlignment="1" applyProtection="1">
      <alignment horizontal="center"/>
      <protection locked="0"/>
    </xf>
    <xf numFmtId="0" fontId="14" fillId="0" borderId="0" xfId="0" applyFont="1" applyAlignment="1" applyProtection="1">
      <alignment horizontal="right"/>
      <protection locked="0"/>
    </xf>
    <xf numFmtId="0" fontId="14" fillId="0" borderId="0" xfId="0" quotePrefix="1" applyFont="1" applyProtection="1">
      <protection locked="0"/>
    </xf>
    <xf numFmtId="0" fontId="17" fillId="6" borderId="4" xfId="0" applyFont="1" applyFill="1" applyBorder="1" applyProtection="1">
      <protection locked="0"/>
    </xf>
    <xf numFmtId="0" fontId="17" fillId="6" borderId="4" xfId="0" applyFont="1" applyFill="1" applyBorder="1" applyAlignment="1" applyProtection="1">
      <alignment horizontal="center"/>
      <protection locked="0"/>
    </xf>
    <xf numFmtId="0" fontId="23" fillId="0" borderId="43" xfId="0" applyFont="1" applyBorder="1" applyProtection="1">
      <protection locked="0"/>
    </xf>
    <xf numFmtId="0" fontId="23" fillId="0" borderId="43" xfId="0" applyFont="1" applyBorder="1" applyAlignment="1" applyProtection="1">
      <alignment horizontal="center"/>
      <protection locked="0"/>
    </xf>
    <xf numFmtId="0" fontId="24" fillId="6" borderId="4" xfId="0" applyFont="1" applyFill="1" applyBorder="1" applyProtection="1">
      <protection locked="0"/>
    </xf>
    <xf numFmtId="0" fontId="24" fillId="6" borderId="4" xfId="0" applyFont="1" applyFill="1" applyBorder="1" applyAlignment="1" applyProtection="1">
      <alignment horizontal="center"/>
      <protection locked="0"/>
    </xf>
    <xf numFmtId="4" fontId="24" fillId="6" borderId="4" xfId="0" applyNumberFormat="1" applyFont="1" applyFill="1" applyBorder="1" applyProtection="1">
      <protection locked="0"/>
    </xf>
    <xf numFmtId="0" fontId="25" fillId="6" borderId="4" xfId="0" applyFont="1" applyFill="1" applyBorder="1" applyProtection="1">
      <protection locked="0"/>
    </xf>
    <xf numFmtId="0" fontId="25" fillId="6" borderId="4" xfId="0" applyFont="1" applyFill="1" applyBorder="1" applyAlignment="1" applyProtection="1">
      <alignment horizontal="center"/>
      <protection locked="0"/>
    </xf>
    <xf numFmtId="4" fontId="25" fillId="6" borderId="4" xfId="0" applyNumberFormat="1" applyFont="1" applyFill="1" applyBorder="1" applyProtection="1">
      <protection locked="0"/>
    </xf>
    <xf numFmtId="0" fontId="19" fillId="0" borderId="0" xfId="0" applyFont="1" applyProtection="1">
      <protection locked="0"/>
    </xf>
    <xf numFmtId="0" fontId="37" fillId="0" borderId="0" xfId="0" applyFont="1" applyProtection="1">
      <protection locked="0"/>
    </xf>
    <xf numFmtId="174" fontId="19" fillId="0" borderId="4" xfId="0" applyNumberFormat="1" applyFont="1" applyBorder="1" applyProtection="1">
      <protection locked="0"/>
    </xf>
    <xf numFmtId="169" fontId="19" fillId="0" borderId="4" xfId="8" applyNumberFormat="1" applyFont="1" applyFill="1" applyBorder="1" applyProtection="1">
      <protection locked="0"/>
    </xf>
    <xf numFmtId="2" fontId="19" fillId="0" borderId="4" xfId="0" applyNumberFormat="1" applyFont="1" applyBorder="1" applyProtection="1">
      <protection locked="0"/>
    </xf>
    <xf numFmtId="175" fontId="19" fillId="0" borderId="4" xfId="5" applyNumberFormat="1" applyFont="1" applyBorder="1" applyProtection="1">
      <protection locked="0"/>
    </xf>
    <xf numFmtId="0" fontId="38" fillId="0" borderId="0" xfId="0" applyFont="1" applyProtection="1">
      <protection locked="0"/>
    </xf>
    <xf numFmtId="175" fontId="38" fillId="0" borderId="0" xfId="5" applyNumberFormat="1" applyFont="1" applyProtection="1">
      <protection locked="0"/>
    </xf>
    <xf numFmtId="0" fontId="16" fillId="0" borderId="0" xfId="0" applyFont="1" applyAlignment="1" applyProtection="1">
      <alignment wrapText="1"/>
      <protection locked="0"/>
    </xf>
    <xf numFmtId="0" fontId="39" fillId="0" borderId="0" xfId="0" applyFont="1" applyAlignment="1" applyProtection="1">
      <alignment wrapText="1"/>
      <protection locked="0"/>
    </xf>
    <xf numFmtId="0" fontId="40" fillId="0" borderId="0" xfId="0" applyFont="1" applyProtection="1">
      <protection locked="0"/>
    </xf>
    <xf numFmtId="4" fontId="40" fillId="0" borderId="0" xfId="0" applyNumberFormat="1" applyFont="1" applyProtection="1">
      <protection locked="0"/>
    </xf>
    <xf numFmtId="0" fontId="26" fillId="0" borderId="0" xfId="0" applyFont="1" applyProtection="1">
      <protection locked="0"/>
    </xf>
    <xf numFmtId="0" fontId="20" fillId="0" borderId="0" xfId="0" applyFont="1" applyProtection="1">
      <protection locked="0"/>
    </xf>
    <xf numFmtId="0" fontId="26" fillId="0" borderId="0" xfId="0" applyFont="1" applyAlignment="1" applyProtection="1">
      <alignment horizontal="center"/>
      <protection locked="0"/>
    </xf>
    <xf numFmtId="3" fontId="20" fillId="0" borderId="0" xfId="0" applyNumberFormat="1" applyFont="1" applyProtection="1">
      <protection locked="0"/>
    </xf>
    <xf numFmtId="3" fontId="20" fillId="0" borderId="0" xfId="0" applyNumberFormat="1" applyFont="1" applyAlignment="1" applyProtection="1">
      <alignment horizontal="center"/>
      <protection locked="0"/>
    </xf>
    <xf numFmtId="3" fontId="16" fillId="0" borderId="0" xfId="0" applyNumberFormat="1" applyFont="1" applyAlignment="1" applyProtection="1">
      <alignment horizontal="center"/>
      <protection locked="0"/>
    </xf>
    <xf numFmtId="9" fontId="17" fillId="7" borderId="4" xfId="4" applyFont="1" applyFill="1" applyBorder="1" applyAlignment="1" applyProtection="1">
      <alignment horizontal="center"/>
    </xf>
    <xf numFmtId="2" fontId="14" fillId="0" borderId="4" xfId="0" applyNumberFormat="1" applyFont="1" applyBorder="1"/>
    <xf numFmtId="169" fontId="19" fillId="0" borderId="4" xfId="8" applyNumberFormat="1" applyFont="1" applyBorder="1" applyProtection="1"/>
    <xf numFmtId="0" fontId="38" fillId="0" borderId="0" xfId="0" applyFont="1"/>
    <xf numFmtId="177" fontId="38" fillId="0" borderId="0" xfId="5" applyNumberFormat="1" applyFont="1" applyProtection="1"/>
    <xf numFmtId="175" fontId="38" fillId="0" borderId="0" xfId="5" applyNumberFormat="1" applyFont="1" applyProtection="1"/>
    <xf numFmtId="0" fontId="37" fillId="0" borderId="0" xfId="0" applyFont="1"/>
    <xf numFmtId="170" fontId="14" fillId="0" borderId="0" xfId="0" applyNumberFormat="1" applyFont="1" applyAlignment="1" applyProtection="1">
      <alignment horizontal="center"/>
      <protection locked="0"/>
    </xf>
    <xf numFmtId="9" fontId="19" fillId="0" borderId="43" xfId="0" applyNumberFormat="1" applyFont="1" applyBorder="1" applyAlignment="1" applyProtection="1">
      <alignment horizontal="center"/>
      <protection locked="0"/>
    </xf>
    <xf numFmtId="0" fontId="0" fillId="0" borderId="0" xfId="0" applyAlignment="1">
      <alignment vertical="top"/>
    </xf>
    <xf numFmtId="0" fontId="20" fillId="0" borderId="0" xfId="0" applyFont="1" applyAlignment="1">
      <alignment horizontal="center" vertical="top"/>
    </xf>
    <xf numFmtId="0" fontId="16" fillId="0" borderId="0" xfId="0" applyFont="1" applyAlignment="1">
      <alignment vertical="top" wrapText="1"/>
    </xf>
    <xf numFmtId="0" fontId="16" fillId="0" borderId="4" xfId="0" applyFont="1" applyBorder="1" applyAlignment="1">
      <alignment horizontal="center" vertical="top"/>
    </xf>
    <xf numFmtId="0" fontId="16" fillId="0" borderId="4" xfId="0" applyFont="1" applyBorder="1" applyAlignment="1">
      <alignment vertical="top" wrapText="1"/>
    </xf>
    <xf numFmtId="0" fontId="20" fillId="0" borderId="4" xfId="0" applyFont="1" applyBorder="1" applyAlignment="1">
      <alignment vertical="top" wrapText="1"/>
    </xf>
    <xf numFmtId="0" fontId="20" fillId="0" borderId="0" xfId="0" applyFont="1" applyAlignment="1">
      <alignment vertical="top" wrapText="1"/>
    </xf>
    <xf numFmtId="0" fontId="60" fillId="0" borderId="0" xfId="0" applyFont="1" applyAlignment="1">
      <alignment horizontal="left"/>
    </xf>
    <xf numFmtId="0" fontId="0" fillId="0" borderId="4" xfId="0" applyBorder="1" applyAlignment="1">
      <alignment horizontal="center" vertical="top"/>
    </xf>
    <xf numFmtId="0" fontId="0" fillId="0" borderId="0" xfId="0" applyAlignment="1">
      <alignment horizontal="center" vertical="top"/>
    </xf>
    <xf numFmtId="0" fontId="16" fillId="12" borderId="11" xfId="0" applyFont="1" applyFill="1" applyBorder="1" applyAlignment="1">
      <alignment horizontal="left" vertical="top"/>
    </xf>
    <xf numFmtId="0" fontId="0" fillId="12" borderId="9" xfId="0" applyFill="1" applyBorder="1" applyAlignment="1">
      <alignment vertical="top"/>
    </xf>
    <xf numFmtId="0" fontId="14" fillId="0" borderId="32" xfId="0" applyFont="1" applyBorder="1" applyProtection="1">
      <protection locked="0"/>
    </xf>
    <xf numFmtId="9" fontId="17" fillId="7" borderId="32" xfId="4" applyFont="1" applyFill="1" applyBorder="1" applyAlignment="1" applyProtection="1">
      <alignment horizontal="center"/>
    </xf>
    <xf numFmtId="0" fontId="14" fillId="0" borderId="61" xfId="0" applyFont="1" applyBorder="1" applyProtection="1">
      <protection locked="0"/>
    </xf>
    <xf numFmtId="3" fontId="24" fillId="4" borderId="62" xfId="5" applyNumberFormat="1" applyFont="1" applyFill="1" applyBorder="1" applyAlignment="1" applyProtection="1">
      <alignment horizontal="center"/>
      <protection locked="0"/>
    </xf>
    <xf numFmtId="0" fontId="43" fillId="8" borderId="63" xfId="0" applyFont="1" applyFill="1" applyBorder="1" applyAlignment="1" applyProtection="1">
      <alignment vertical="center" wrapText="1"/>
      <protection locked="0"/>
    </xf>
    <xf numFmtId="0" fontId="43" fillId="0" borderId="64" xfId="0" applyFont="1" applyBorder="1" applyAlignment="1" applyProtection="1">
      <alignment vertical="center" wrapText="1"/>
      <protection locked="0"/>
    </xf>
    <xf numFmtId="9" fontId="43" fillId="9" borderId="60" xfId="0" applyNumberFormat="1" applyFont="1" applyFill="1" applyBorder="1" applyAlignment="1" applyProtection="1">
      <alignment horizontal="right" vertical="center" wrapText="1"/>
      <protection locked="0"/>
    </xf>
    <xf numFmtId="178" fontId="43" fillId="9" borderId="60" xfId="9" applyNumberFormat="1" applyFont="1" applyFill="1" applyBorder="1" applyAlignment="1" applyProtection="1">
      <alignment horizontal="right" vertical="center" wrapText="1"/>
      <protection locked="0"/>
    </xf>
    <xf numFmtId="0" fontId="43" fillId="0" borderId="65" xfId="0" applyFont="1" applyBorder="1" applyAlignment="1" applyProtection="1">
      <alignment vertical="center" wrapText="1"/>
      <protection locked="0"/>
    </xf>
    <xf numFmtId="176" fontId="43" fillId="9" borderId="66" xfId="0" applyNumberFormat="1" applyFont="1" applyFill="1" applyBorder="1" applyAlignment="1" applyProtection="1">
      <alignment horizontal="right" vertical="center" wrapText="1"/>
      <protection locked="0"/>
    </xf>
    <xf numFmtId="0" fontId="61" fillId="0" borderId="0" xfId="0" applyFont="1" applyAlignment="1">
      <alignment horizontal="left"/>
    </xf>
    <xf numFmtId="0" fontId="62" fillId="0" borderId="0" xfId="0" applyFont="1" applyAlignment="1">
      <alignment horizontal="left" vertical="center" indent="1"/>
    </xf>
    <xf numFmtId="0" fontId="63" fillId="0" borderId="0" xfId="0" applyFont="1" applyProtection="1">
      <protection locked="0"/>
    </xf>
    <xf numFmtId="0" fontId="64" fillId="0" borderId="0" xfId="0" applyFont="1" applyProtection="1">
      <protection locked="0"/>
    </xf>
    <xf numFmtId="9" fontId="65" fillId="0" borderId="43" xfId="0" applyNumberFormat="1" applyFont="1" applyBorder="1" applyAlignment="1" applyProtection="1">
      <alignment horizontal="center"/>
      <protection locked="0"/>
    </xf>
    <xf numFmtId="0" fontId="66" fillId="0" borderId="0" xfId="0" applyFont="1"/>
    <xf numFmtId="0" fontId="14" fillId="0" borderId="0" xfId="0" applyFont="1" applyAlignment="1" applyProtection="1">
      <alignment horizontal="center"/>
      <protection locked="0"/>
    </xf>
    <xf numFmtId="0" fontId="67" fillId="0" borderId="0" xfId="0" applyFont="1" applyAlignment="1" applyProtection="1">
      <alignment horizontal="center"/>
      <protection locked="0"/>
    </xf>
    <xf numFmtId="14" fontId="68" fillId="0" borderId="0" xfId="0" applyNumberFormat="1" applyFont="1" applyAlignment="1">
      <alignment horizontal="center"/>
    </xf>
    <xf numFmtId="0" fontId="69" fillId="0" borderId="0" xfId="0" applyFont="1" applyAlignment="1">
      <alignment horizontal="left"/>
    </xf>
    <xf numFmtId="0" fontId="5" fillId="0" borderId="0" xfId="0" applyFont="1"/>
    <xf numFmtId="4" fontId="43" fillId="9" borderId="59" xfId="0" applyNumberFormat="1" applyFont="1" applyFill="1" applyBorder="1" applyAlignment="1" applyProtection="1">
      <alignment horizontal="right" vertical="center" wrapText="1"/>
      <protection locked="0"/>
    </xf>
    <xf numFmtId="0" fontId="70" fillId="11" borderId="0" xfId="0" applyFont="1" applyFill="1" applyAlignment="1">
      <alignment horizontal="center"/>
    </xf>
    <xf numFmtId="0" fontId="55" fillId="6" borderId="52" xfId="0" applyFont="1" applyFill="1" applyBorder="1" applyAlignment="1">
      <alignment horizontal="center"/>
    </xf>
    <xf numFmtId="0" fontId="56" fillId="6" borderId="53" xfId="0" applyFont="1" applyFill="1" applyBorder="1" applyAlignment="1">
      <alignment horizontal="center"/>
    </xf>
    <xf numFmtId="0" fontId="57" fillId="6" borderId="52" xfId="0" applyFont="1" applyFill="1" applyBorder="1" applyAlignment="1">
      <alignment horizontal="center" wrapText="1"/>
    </xf>
    <xf numFmtId="0" fontId="57" fillId="6" borderId="53" xfId="0" applyFont="1" applyFill="1" applyBorder="1" applyAlignment="1">
      <alignment horizontal="center" wrapText="1"/>
    </xf>
    <xf numFmtId="0" fontId="57" fillId="6" borderId="53" xfId="0" applyFont="1" applyFill="1" applyBorder="1" applyAlignment="1">
      <alignment horizontal="center"/>
    </xf>
    <xf numFmtId="0" fontId="29" fillId="0" borderId="38" xfId="0" applyFont="1" applyBorder="1"/>
    <xf numFmtId="49" fontId="29" fillId="0" borderId="54" xfId="0" applyNumberFormat="1" applyFont="1" applyBorder="1"/>
    <xf numFmtId="0" fontId="29" fillId="0" borderId="37" xfId="0" applyFont="1" applyBorder="1"/>
    <xf numFmtId="0" fontId="72" fillId="0" borderId="54" xfId="0" applyFont="1" applyBorder="1"/>
    <xf numFmtId="49" fontId="29" fillId="0" borderId="55" xfId="0" applyNumberFormat="1" applyFont="1" applyBorder="1"/>
    <xf numFmtId="0" fontId="29" fillId="0" borderId="39" xfId="0" applyFont="1" applyBorder="1"/>
    <xf numFmtId="0" fontId="29" fillId="0" borderId="55" xfId="0" applyFont="1" applyBorder="1"/>
    <xf numFmtId="0" fontId="29" fillId="0" borderId="40" xfId="0" applyFont="1" applyBorder="1"/>
    <xf numFmtId="49" fontId="29" fillId="0" borderId="56" xfId="0" applyNumberFormat="1" applyFont="1" applyBorder="1"/>
    <xf numFmtId="0" fontId="29" fillId="0" borderId="42" xfId="0" applyFont="1" applyBorder="1"/>
    <xf numFmtId="0" fontId="29" fillId="0" borderId="56" xfId="0" applyFont="1" applyBorder="1"/>
    <xf numFmtId="0" fontId="29" fillId="0" borderId="35" xfId="0" applyFont="1" applyBorder="1"/>
    <xf numFmtId="0" fontId="72" fillId="0" borderId="56" xfId="0" applyFont="1" applyBorder="1"/>
    <xf numFmtId="0" fontId="72" fillId="0" borderId="55" xfId="0" applyFont="1" applyBorder="1"/>
    <xf numFmtId="0" fontId="73" fillId="0" borderId="55" xfId="0" applyFont="1" applyBorder="1"/>
    <xf numFmtId="0" fontId="29" fillId="0" borderId="54" xfId="0" applyFont="1" applyBorder="1"/>
    <xf numFmtId="0" fontId="58" fillId="0" borderId="0" xfId="0" applyFont="1"/>
    <xf numFmtId="0" fontId="29" fillId="0" borderId="52" xfId="0" applyFont="1" applyBorder="1"/>
    <xf numFmtId="0" fontId="57" fillId="6" borderId="52" xfId="0" applyFont="1" applyFill="1" applyBorder="1" applyAlignment="1">
      <alignment horizontal="center"/>
    </xf>
    <xf numFmtId="0" fontId="29" fillId="0" borderId="43" xfId="0" applyFont="1" applyBorder="1"/>
    <xf numFmtId="0" fontId="29" fillId="0" borderId="57" xfId="0" applyFont="1" applyBorder="1"/>
    <xf numFmtId="0" fontId="59" fillId="0" borderId="36" xfId="0" applyFont="1" applyBorder="1"/>
    <xf numFmtId="0" fontId="74" fillId="0" borderId="0" xfId="0" applyFont="1"/>
    <xf numFmtId="177" fontId="74" fillId="0" borderId="0" xfId="5" applyNumberFormat="1" applyFont="1" applyProtection="1"/>
    <xf numFmtId="175" fontId="74" fillId="0" borderId="0" xfId="5" applyNumberFormat="1" applyFont="1" applyProtection="1"/>
    <xf numFmtId="1" fontId="74" fillId="0" borderId="0" xfId="0" applyNumberFormat="1" applyFont="1"/>
    <xf numFmtId="2" fontId="74" fillId="0" borderId="0" xfId="0" applyNumberFormat="1" applyFont="1"/>
    <xf numFmtId="3" fontId="74" fillId="0" borderId="0" xfId="0" applyNumberFormat="1" applyFont="1"/>
    <xf numFmtId="2" fontId="75" fillId="0" borderId="0" xfId="0" applyNumberFormat="1" applyFont="1"/>
    <xf numFmtId="0" fontId="75" fillId="0" borderId="0" xfId="0" applyFont="1"/>
    <xf numFmtId="176" fontId="76" fillId="0" borderId="0" xfId="0" applyNumberFormat="1" applyFont="1" applyAlignment="1">
      <alignment horizontal="right" vertical="center" wrapText="1"/>
    </xf>
    <xf numFmtId="9" fontId="76" fillId="0" borderId="0" xfId="0" applyNumberFormat="1" applyFont="1" applyAlignment="1">
      <alignment horizontal="right" vertical="center" wrapText="1"/>
    </xf>
    <xf numFmtId="178" fontId="76" fillId="0" borderId="0" xfId="9" applyNumberFormat="1" applyFont="1" applyFill="1" applyBorder="1" applyAlignment="1" applyProtection="1">
      <alignment horizontal="right" vertical="center" wrapText="1"/>
    </xf>
    <xf numFmtId="173" fontId="74" fillId="0" borderId="0" xfId="0" applyNumberFormat="1" applyFont="1"/>
    <xf numFmtId="176" fontId="74" fillId="0" borderId="0" xfId="0" applyNumberFormat="1" applyFont="1"/>
    <xf numFmtId="179" fontId="75" fillId="0" borderId="0" xfId="0" applyNumberFormat="1" applyFont="1"/>
    <xf numFmtId="2" fontId="77" fillId="0" borderId="0" xfId="0" quotePrefix="1" applyNumberFormat="1" applyFont="1" applyAlignment="1">
      <alignment horizontal="center"/>
    </xf>
    <xf numFmtId="173" fontId="77" fillId="0" borderId="0" xfId="0" quotePrefix="1" applyNumberFormat="1" applyFont="1" applyAlignment="1">
      <alignment horizontal="center"/>
    </xf>
    <xf numFmtId="173" fontId="77" fillId="0" borderId="0" xfId="0" quotePrefix="1" applyNumberFormat="1" applyFont="1"/>
    <xf numFmtId="0" fontId="77" fillId="0" borderId="0" xfId="0" applyFont="1"/>
    <xf numFmtId="0" fontId="78" fillId="0" borderId="0" xfId="0" applyFont="1" applyAlignment="1">
      <alignment vertical="top" wrapText="1"/>
    </xf>
    <xf numFmtId="9" fontId="80" fillId="0" borderId="21" xfId="0" applyNumberFormat="1" applyFont="1" applyBorder="1" applyAlignment="1" applyProtection="1">
      <alignment horizontal="center"/>
      <protection locked="0"/>
    </xf>
    <xf numFmtId="0" fontId="80" fillId="0" borderId="21" xfId="0" applyFont="1" applyBorder="1" applyAlignment="1" applyProtection="1">
      <alignment horizontal="center"/>
      <protection locked="0"/>
    </xf>
    <xf numFmtId="43" fontId="0" fillId="0" borderId="0" xfId="5" applyFont="1"/>
    <xf numFmtId="9" fontId="0" fillId="0" borderId="0" xfId="5" applyNumberFormat="1" applyFont="1"/>
    <xf numFmtId="43" fontId="0" fillId="0" borderId="0" xfId="0" applyNumberFormat="1"/>
    <xf numFmtId="0" fontId="83" fillId="14" borderId="0" xfId="0" applyFont="1" applyFill="1"/>
    <xf numFmtId="0" fontId="83" fillId="14" borderId="0" xfId="0" applyFont="1" applyFill="1" applyAlignment="1">
      <alignment horizontal="center"/>
    </xf>
    <xf numFmtId="0" fontId="84" fillId="0" borderId="0" xfId="17" applyFont="1" applyAlignment="1">
      <alignment vertical="center"/>
    </xf>
    <xf numFmtId="0" fontId="85" fillId="0" borderId="0" xfId="14" applyFont="1" applyAlignment="1">
      <alignment vertical="center"/>
    </xf>
    <xf numFmtId="0" fontId="85" fillId="0" borderId="0" xfId="14" applyFont="1" applyAlignment="1">
      <alignment horizontal="center" vertical="center"/>
    </xf>
    <xf numFmtId="0" fontId="86" fillId="3" borderId="0" xfId="14" applyFont="1" applyFill="1" applyAlignment="1">
      <alignment vertical="center"/>
    </xf>
    <xf numFmtId="0" fontId="87" fillId="0" borderId="0" xfId="14" applyFont="1" applyAlignment="1">
      <alignment horizontal="center" vertical="center"/>
    </xf>
    <xf numFmtId="0" fontId="87" fillId="0" borderId="0" xfId="14" applyFont="1" applyAlignment="1">
      <alignment vertical="center"/>
    </xf>
    <xf numFmtId="0" fontId="88" fillId="0" borderId="0" xfId="14" applyFont="1" applyAlignment="1">
      <alignment vertical="center"/>
    </xf>
    <xf numFmtId="0" fontId="86" fillId="0" borderId="0" xfId="14" applyFont="1" applyAlignment="1">
      <alignment horizontal="center" vertical="center"/>
    </xf>
    <xf numFmtId="2" fontId="87" fillId="15" borderId="0" xfId="14" applyNumberFormat="1" applyFont="1" applyFill="1" applyAlignment="1">
      <alignment horizontal="center" vertical="center"/>
    </xf>
    <xf numFmtId="0" fontId="86" fillId="15" borderId="0" xfId="14" applyFont="1" applyFill="1" applyAlignment="1">
      <alignment vertical="center"/>
    </xf>
    <xf numFmtId="0" fontId="86" fillId="0" borderId="0" xfId="14" applyFont="1" applyAlignment="1">
      <alignment horizontal="left" vertical="center"/>
    </xf>
    <xf numFmtId="0" fontId="85" fillId="0" borderId="0" xfId="14" applyFont="1" applyAlignment="1">
      <alignment vertical="center" wrapText="1"/>
    </xf>
    <xf numFmtId="0" fontId="86" fillId="0" borderId="0" xfId="14" applyFont="1" applyAlignment="1">
      <alignment horizontal="right" vertical="center"/>
    </xf>
    <xf numFmtId="2" fontId="87" fillId="0" borderId="0" xfId="14" applyNumberFormat="1" applyFont="1" applyAlignment="1">
      <alignment horizontal="center" vertical="center"/>
    </xf>
    <xf numFmtId="44" fontId="81" fillId="14" borderId="4" xfId="18" applyFont="1" applyFill="1" applyBorder="1" applyAlignment="1">
      <alignment horizontal="center" vertical="center"/>
    </xf>
    <xf numFmtId="173" fontId="81" fillId="14" borderId="4" xfId="14" applyNumberFormat="1" applyFont="1" applyFill="1" applyBorder="1" applyAlignment="1">
      <alignment horizontal="center" vertical="center"/>
    </xf>
    <xf numFmtId="0" fontId="81" fillId="14" borderId="4" xfId="14" applyFont="1" applyFill="1" applyBorder="1" applyAlignment="1">
      <alignment vertical="center"/>
    </xf>
    <xf numFmtId="0" fontId="81" fillId="14" borderId="4" xfId="14" applyFont="1" applyFill="1" applyBorder="1" applyAlignment="1">
      <alignment horizontal="center" vertical="center"/>
    </xf>
    <xf numFmtId="43" fontId="81" fillId="14" borderId="4" xfId="18" applyNumberFormat="1" applyFont="1" applyFill="1" applyBorder="1" applyAlignment="1">
      <alignment vertical="center"/>
    </xf>
    <xf numFmtId="44" fontId="81" fillId="14" borderId="4" xfId="18" applyFont="1" applyFill="1" applyBorder="1" applyAlignment="1">
      <alignment vertical="center"/>
    </xf>
    <xf numFmtId="44" fontId="81" fillId="14" borderId="4" xfId="18" applyFont="1" applyFill="1" applyBorder="1" applyAlignment="1">
      <alignment vertical="center" wrapText="1"/>
    </xf>
    <xf numFmtId="0" fontId="85" fillId="0" borderId="67" xfId="14" applyFont="1" applyBorder="1" applyAlignment="1">
      <alignment horizontal="center" wrapText="1"/>
    </xf>
    <xf numFmtId="0" fontId="85" fillId="0" borderId="68" xfId="14" applyFont="1" applyBorder="1" applyAlignment="1">
      <alignment vertical="center" wrapText="1"/>
    </xf>
    <xf numFmtId="0" fontId="85" fillId="0" borderId="68" xfId="14" applyFont="1" applyBorder="1" applyAlignment="1">
      <alignment horizontal="center" vertical="center" wrapText="1"/>
    </xf>
    <xf numFmtId="180" fontId="85" fillId="0" borderId="68" xfId="14" applyNumberFormat="1" applyFont="1" applyBorder="1" applyAlignment="1">
      <alignment horizontal="right" vertical="center"/>
    </xf>
    <xf numFmtId="180" fontId="87" fillId="0" borderId="69" xfId="14" applyNumberFormat="1" applyFont="1" applyBorder="1" applyAlignment="1">
      <alignment vertical="center"/>
    </xf>
    <xf numFmtId="43" fontId="89" fillId="0" borderId="69" xfId="14" applyNumberFormat="1" applyFont="1" applyBorder="1" applyAlignment="1">
      <alignment vertical="center" wrapText="1"/>
    </xf>
    <xf numFmtId="0" fontId="85" fillId="0" borderId="67" xfId="14" applyFont="1" applyBorder="1" applyAlignment="1">
      <alignment horizontal="center" vertical="center" wrapText="1"/>
    </xf>
    <xf numFmtId="0" fontId="90" fillId="5" borderId="32" xfId="17" applyFont="1" applyFill="1" applyBorder="1"/>
    <xf numFmtId="0" fontId="87" fillId="5" borderId="32" xfId="14" applyFont="1" applyFill="1" applyBorder="1" applyAlignment="1">
      <alignment horizontal="center" vertical="center" wrapText="1"/>
    </xf>
    <xf numFmtId="180" fontId="90" fillId="0" borderId="32" xfId="17" applyNumberFormat="1" applyFont="1" applyBorder="1"/>
    <xf numFmtId="180" fontId="81" fillId="14" borderId="4" xfId="18" applyNumberFormat="1" applyFont="1" applyFill="1" applyBorder="1" applyAlignment="1">
      <alignment vertical="center"/>
    </xf>
    <xf numFmtId="181" fontId="81" fillId="14" borderId="4" xfId="18" applyNumberFormat="1" applyFont="1" applyFill="1" applyBorder="1" applyAlignment="1">
      <alignment vertical="center"/>
    </xf>
    <xf numFmtId="0" fontId="85" fillId="0" borderId="68" xfId="14" applyFont="1" applyBorder="1" applyAlignment="1">
      <alignment horizontal="center" vertical="center"/>
    </xf>
    <xf numFmtId="0" fontId="85" fillId="0" borderId="68" xfId="14" applyFont="1" applyBorder="1" applyAlignment="1">
      <alignment vertical="center"/>
    </xf>
    <xf numFmtId="9" fontId="85" fillId="3" borderId="68" xfId="14" applyNumberFormat="1" applyFont="1" applyFill="1" applyBorder="1" applyAlignment="1">
      <alignment horizontal="center" vertical="center"/>
    </xf>
    <xf numFmtId="43" fontId="91" fillId="0" borderId="68" xfId="18" applyNumberFormat="1" applyFont="1" applyFill="1" applyBorder="1" applyAlignment="1">
      <alignment vertical="center"/>
    </xf>
    <xf numFmtId="180" fontId="85" fillId="0" borderId="44" xfId="14" applyNumberFormat="1" applyFont="1" applyBorder="1" applyAlignment="1">
      <alignment vertical="center"/>
    </xf>
    <xf numFmtId="181" fontId="87" fillId="0" borderId="67" xfId="14" applyNumberFormat="1" applyFont="1" applyBorder="1" applyAlignment="1">
      <alignment vertical="center"/>
    </xf>
    <xf numFmtId="43" fontId="92" fillId="0" borderId="68" xfId="14" applyNumberFormat="1" applyFont="1" applyBorder="1" applyAlignment="1">
      <alignment horizontal="left" vertical="center" wrapText="1"/>
    </xf>
    <xf numFmtId="0" fontId="85" fillId="0" borderId="67" xfId="14" applyFont="1" applyBorder="1" applyAlignment="1">
      <alignment horizontal="center" vertical="center"/>
    </xf>
    <xf numFmtId="0" fontId="85" fillId="0" borderId="67" xfId="14" applyFont="1" applyBorder="1" applyAlignment="1">
      <alignment vertical="center"/>
    </xf>
    <xf numFmtId="9" fontId="87" fillId="3" borderId="69" xfId="14" applyNumberFormat="1" applyFont="1" applyFill="1" applyBorder="1" applyAlignment="1">
      <alignment horizontal="center" vertical="center"/>
    </xf>
    <xf numFmtId="43" fontId="85" fillId="0" borderId="67" xfId="14" applyNumberFormat="1" applyFont="1" applyBorder="1" applyAlignment="1">
      <alignment vertical="center"/>
    </xf>
    <xf numFmtId="180" fontId="85" fillId="0" borderId="70" xfId="14" applyNumberFormat="1" applyFont="1" applyBorder="1" applyAlignment="1">
      <alignment vertical="center"/>
    </xf>
    <xf numFmtId="43" fontId="92" fillId="0" borderId="67" xfId="14" applyNumberFormat="1" applyFont="1" applyBorder="1" applyAlignment="1">
      <alignment vertical="center" wrapText="1"/>
    </xf>
    <xf numFmtId="0" fontId="85" fillId="0" borderId="67" xfId="14" applyFont="1" applyBorder="1" applyAlignment="1">
      <alignment vertical="center" wrapText="1"/>
    </xf>
    <xf numFmtId="9" fontId="87" fillId="3" borderId="67" xfId="14" applyNumberFormat="1" applyFont="1" applyFill="1" applyBorder="1" applyAlignment="1">
      <alignment horizontal="center" vertical="center"/>
    </xf>
    <xf numFmtId="180" fontId="85" fillId="0" borderId="67" xfId="14" applyNumberFormat="1" applyFont="1" applyBorder="1" applyAlignment="1">
      <alignment vertical="center"/>
    </xf>
    <xf numFmtId="0" fontId="93" fillId="0" borderId="0" xfId="14" applyFont="1" applyAlignment="1">
      <alignment vertical="center" wrapText="1"/>
    </xf>
    <xf numFmtId="0" fontId="93" fillId="0" borderId="0" xfId="14" applyFont="1" applyAlignment="1">
      <alignment horizontal="center" vertical="center" wrapText="1"/>
    </xf>
    <xf numFmtId="43" fontId="94" fillId="0" borderId="0" xfId="14" applyNumberFormat="1" applyFont="1" applyAlignment="1">
      <alignment vertical="center"/>
    </xf>
    <xf numFmtId="0" fontId="95" fillId="0" borderId="0" xfId="14" applyFont="1" applyAlignment="1">
      <alignment horizontal="right" vertical="center"/>
    </xf>
    <xf numFmtId="0" fontId="82" fillId="14" borderId="11" xfId="14" applyFont="1" applyFill="1" applyBorder="1" applyAlignment="1">
      <alignment horizontal="center" vertical="center"/>
    </xf>
    <xf numFmtId="0" fontId="81" fillId="14" borderId="9" xfId="14" applyFont="1" applyFill="1" applyBorder="1" applyAlignment="1">
      <alignment vertical="center"/>
    </xf>
    <xf numFmtId="0" fontId="88" fillId="0" borderId="21" xfId="14" applyFont="1" applyBorder="1" applyAlignment="1">
      <alignment horizontal="center" vertical="center"/>
    </xf>
    <xf numFmtId="0" fontId="88" fillId="0" borderId="22" xfId="14" applyFont="1" applyBorder="1" applyAlignment="1">
      <alignment vertical="center"/>
    </xf>
    <xf numFmtId="0" fontId="86" fillId="0" borderId="68" xfId="14" applyFont="1" applyBorder="1" applyAlignment="1">
      <alignment horizontal="center" vertical="center"/>
    </xf>
    <xf numFmtId="0" fontId="86" fillId="3" borderId="68" xfId="14" applyFont="1" applyFill="1" applyBorder="1" applyAlignment="1">
      <alignment horizontal="center" vertical="center"/>
    </xf>
    <xf numFmtId="44" fontId="87" fillId="0" borderId="67" xfId="14" applyNumberFormat="1" applyFont="1" applyBorder="1" applyAlignment="1">
      <alignment vertical="center"/>
    </xf>
    <xf numFmtId="44" fontId="87" fillId="0" borderId="68" xfId="14" applyNumberFormat="1" applyFont="1" applyBorder="1" applyAlignment="1">
      <alignment vertical="center"/>
    </xf>
    <xf numFmtId="0" fontId="87" fillId="0" borderId="21" xfId="14" applyFont="1" applyBorder="1" applyAlignment="1">
      <alignment horizontal="center" vertical="center"/>
    </xf>
    <xf numFmtId="0" fontId="87" fillId="0" borderId="22" xfId="14" applyFont="1" applyBorder="1" applyAlignment="1">
      <alignment vertical="center"/>
    </xf>
    <xf numFmtId="0" fontId="86" fillId="0" borderId="67" xfId="14" applyFont="1" applyBorder="1" applyAlignment="1">
      <alignment horizontal="center" vertical="center"/>
    </xf>
    <xf numFmtId="44" fontId="87" fillId="5" borderId="67" xfId="14" applyNumberFormat="1" applyFont="1" applyFill="1" applyBorder="1" applyAlignment="1">
      <alignment vertical="center"/>
    </xf>
    <xf numFmtId="180" fontId="86" fillId="3" borderId="70" xfId="19" applyNumberFormat="1" applyFont="1" applyFill="1" applyBorder="1" applyAlignment="1">
      <alignment horizontal="center" vertical="center"/>
    </xf>
    <xf numFmtId="0" fontId="86" fillId="0" borderId="70" xfId="14" applyFont="1" applyBorder="1" applyAlignment="1">
      <alignment horizontal="center" vertical="center"/>
    </xf>
    <xf numFmtId="44" fontId="86" fillId="0" borderId="70" xfId="14" applyNumberFormat="1" applyFont="1" applyBorder="1" applyAlignment="1">
      <alignment vertical="center"/>
    </xf>
    <xf numFmtId="180" fontId="87" fillId="0" borderId="4" xfId="19" applyNumberFormat="1" applyFont="1" applyBorder="1" applyAlignment="1">
      <alignment vertical="center"/>
    </xf>
    <xf numFmtId="182" fontId="87" fillId="0" borderId="4" xfId="19" applyNumberFormat="1" applyFont="1" applyBorder="1" applyAlignment="1">
      <alignment vertical="center"/>
    </xf>
    <xf numFmtId="44" fontId="87" fillId="0" borderId="8" xfId="14" applyNumberFormat="1" applyFont="1" applyBorder="1" applyAlignment="1">
      <alignment vertical="center"/>
    </xf>
    <xf numFmtId="43" fontId="0" fillId="0" borderId="38" xfId="0" applyNumberFormat="1" applyBorder="1" applyAlignment="1">
      <alignment wrapText="1"/>
    </xf>
    <xf numFmtId="43" fontId="0" fillId="0" borderId="0" xfId="0" applyNumberFormat="1" applyAlignment="1">
      <alignment horizontal="left" wrapText="1"/>
    </xf>
    <xf numFmtId="43" fontId="0" fillId="0" borderId="0" xfId="0" applyNumberFormat="1" applyAlignment="1">
      <alignment horizontal="center" wrapText="1"/>
    </xf>
    <xf numFmtId="43" fontId="0" fillId="0" borderId="0" xfId="0" applyNumberFormat="1" applyAlignment="1">
      <alignment wrapText="1"/>
    </xf>
    <xf numFmtId="43" fontId="0" fillId="0" borderId="39" xfId="0" applyNumberFormat="1" applyBorder="1" applyAlignment="1">
      <alignment wrapText="1"/>
    </xf>
    <xf numFmtId="43" fontId="60" fillId="0" borderId="0" xfId="0" applyNumberFormat="1" applyFont="1" applyAlignment="1">
      <alignment wrapText="1"/>
    </xf>
    <xf numFmtId="43" fontId="0" fillId="0" borderId="38" xfId="0" applyNumberFormat="1" applyBorder="1" applyAlignment="1">
      <alignment vertical="center" wrapText="1"/>
    </xf>
    <xf numFmtId="43" fontId="0" fillId="0" borderId="0" xfId="0" applyNumberFormat="1" applyAlignment="1">
      <alignment horizontal="left" vertical="center" wrapText="1"/>
    </xf>
    <xf numFmtId="43" fontId="0" fillId="0" borderId="0" xfId="0" applyNumberFormat="1" applyAlignment="1">
      <alignment horizontal="center" vertical="center" wrapText="1"/>
    </xf>
    <xf numFmtId="43" fontId="0" fillId="0" borderId="39" xfId="0" applyNumberFormat="1" applyBorder="1" applyAlignment="1">
      <alignment horizontal="center" vertical="center" wrapText="1"/>
    </xf>
    <xf numFmtId="180" fontId="0" fillId="0" borderId="0" xfId="5" applyNumberFormat="1" applyFont="1"/>
    <xf numFmtId="180" fontId="0" fillId="0" borderId="0" xfId="0" applyNumberFormat="1"/>
    <xf numFmtId="180" fontId="0" fillId="0" borderId="0" xfId="0" applyNumberFormat="1" applyAlignment="1">
      <alignment horizontal="center" vertical="center" wrapText="1"/>
    </xf>
    <xf numFmtId="3" fontId="24" fillId="6" borderId="4" xfId="0" applyNumberFormat="1" applyFont="1" applyFill="1" applyBorder="1" applyProtection="1">
      <protection locked="0"/>
    </xf>
    <xf numFmtId="43" fontId="0" fillId="0" borderId="0" xfId="0" applyNumberFormat="1" applyAlignment="1">
      <alignment horizontal="left"/>
    </xf>
    <xf numFmtId="41" fontId="23" fillId="13" borderId="43" xfId="5" applyNumberFormat="1" applyFont="1" applyFill="1" applyBorder="1" applyProtection="1">
      <protection locked="0"/>
    </xf>
    <xf numFmtId="41" fontId="23" fillId="13" borderId="21" xfId="5" applyNumberFormat="1" applyFont="1" applyFill="1" applyBorder="1" applyProtection="1">
      <protection locked="0"/>
    </xf>
    <xf numFmtId="41" fontId="19" fillId="0" borderId="21" xfId="5" applyNumberFormat="1" applyFont="1" applyBorder="1" applyProtection="1">
      <protection locked="0"/>
    </xf>
    <xf numFmtId="41" fontId="19" fillId="0" borderId="43" xfId="5" applyNumberFormat="1" applyFont="1" applyBorder="1" applyProtection="1">
      <protection locked="0"/>
    </xf>
    <xf numFmtId="41" fontId="23" fillId="4" borderId="43" xfId="5" applyNumberFormat="1" applyFont="1" applyFill="1" applyBorder="1" applyProtection="1">
      <protection locked="0"/>
    </xf>
    <xf numFmtId="41" fontId="24" fillId="4" borderId="43" xfId="5" applyNumberFormat="1" applyFont="1" applyFill="1" applyBorder="1" applyProtection="1">
      <protection locked="0"/>
    </xf>
    <xf numFmtId="41" fontId="24" fillId="6" borderId="4" xfId="5" applyNumberFormat="1" applyFont="1" applyFill="1" applyBorder="1" applyProtection="1">
      <protection locked="0"/>
    </xf>
    <xf numFmtId="41" fontId="23" fillId="0" borderId="43" xfId="5" applyNumberFormat="1" applyFont="1" applyBorder="1" applyProtection="1">
      <protection locked="0"/>
    </xf>
    <xf numFmtId="41" fontId="23" fillId="4" borderId="21" xfId="5" applyNumberFormat="1" applyFont="1" applyFill="1" applyBorder="1" applyProtection="1">
      <protection locked="0"/>
    </xf>
    <xf numFmtId="41" fontId="24" fillId="13" borderId="43" xfId="5" applyNumberFormat="1" applyFont="1" applyFill="1" applyBorder="1" applyProtection="1">
      <protection locked="0"/>
    </xf>
    <xf numFmtId="183" fontId="23" fillId="4" borderId="21" xfId="5" applyNumberFormat="1" applyFont="1" applyFill="1" applyBorder="1" applyProtection="1">
      <protection locked="0"/>
    </xf>
    <xf numFmtId="183" fontId="23" fillId="4" borderId="43" xfId="5" applyNumberFormat="1" applyFont="1" applyFill="1" applyBorder="1" applyProtection="1">
      <protection locked="0"/>
    </xf>
    <xf numFmtId="183" fontId="23" fillId="13" borderId="21" xfId="5" applyNumberFormat="1" applyFont="1" applyFill="1" applyBorder="1" applyProtection="1">
      <protection locked="0"/>
    </xf>
    <xf numFmtId="183" fontId="24" fillId="6" borderId="4" xfId="0" applyNumberFormat="1" applyFont="1" applyFill="1" applyBorder="1" applyProtection="1">
      <protection locked="0"/>
    </xf>
    <xf numFmtId="183" fontId="25" fillId="6" borderId="4" xfId="0" applyNumberFormat="1" applyFont="1" applyFill="1" applyBorder="1" applyProtection="1">
      <protection locked="0"/>
    </xf>
    <xf numFmtId="2" fontId="48" fillId="0" borderId="47" xfId="0" applyNumberFormat="1" applyFont="1" applyBorder="1" applyAlignment="1">
      <alignment horizontal="center" vertical="center" wrapText="1"/>
    </xf>
    <xf numFmtId="2" fontId="48" fillId="0" borderId="49" xfId="0" applyNumberFormat="1" applyFont="1" applyBorder="1" applyAlignment="1">
      <alignment horizontal="center" vertical="center" wrapText="1"/>
    </xf>
    <xf numFmtId="43" fontId="48" fillId="0" borderId="47" xfId="0" applyNumberFormat="1" applyFont="1" applyBorder="1" applyAlignment="1">
      <alignment horizontal="center" vertical="center" wrapText="1"/>
    </xf>
    <xf numFmtId="43" fontId="48" fillId="0" borderId="48" xfId="0" applyNumberFormat="1" applyFont="1" applyBorder="1" applyAlignment="1">
      <alignment horizontal="center" vertical="center" wrapText="1"/>
    </xf>
    <xf numFmtId="0" fontId="52" fillId="0" borderId="0" xfId="0" applyFont="1" applyAlignment="1">
      <alignment vertical="center" wrapText="1"/>
    </xf>
    <xf numFmtId="0" fontId="52" fillId="0" borderId="49" xfId="0" applyFont="1" applyBorder="1" applyAlignment="1">
      <alignment vertical="center" wrapText="1"/>
    </xf>
    <xf numFmtId="0" fontId="52" fillId="0" borderId="0" xfId="0" applyFont="1" applyAlignment="1">
      <alignment horizontal="center" vertical="center" wrapText="1"/>
    </xf>
    <xf numFmtId="0" fontId="52" fillId="0" borderId="49" xfId="0" applyFont="1" applyBorder="1" applyAlignment="1">
      <alignment horizontal="center" vertical="center" wrapText="1"/>
    </xf>
    <xf numFmtId="0" fontId="53" fillId="0" borderId="50" xfId="0" applyFont="1" applyBorder="1" applyAlignment="1">
      <alignment vertical="center" wrapText="1"/>
    </xf>
    <xf numFmtId="0" fontId="53" fillId="0" borderId="49" xfId="0" applyFont="1" applyBorder="1" applyAlignment="1">
      <alignment vertical="center" wrapText="1"/>
    </xf>
    <xf numFmtId="0" fontId="49" fillId="0" borderId="51" xfId="0" applyFont="1" applyBorder="1" applyAlignment="1">
      <alignment horizontal="left" vertical="center"/>
    </xf>
    <xf numFmtId="0" fontId="49" fillId="0" borderId="0" xfId="0" applyFont="1" applyAlignment="1">
      <alignment horizontal="left" vertical="center"/>
    </xf>
    <xf numFmtId="0" fontId="15" fillId="4" borderId="35" xfId="6" applyFont="1" applyFill="1" applyBorder="1" applyAlignment="1" applyProtection="1">
      <alignment horizontal="center" vertical="center" wrapText="1"/>
      <protection locked="0"/>
    </xf>
    <xf numFmtId="0" fontId="15" fillId="4" borderId="36" xfId="6" applyFont="1" applyFill="1" applyBorder="1" applyAlignment="1" applyProtection="1">
      <alignment horizontal="center" vertical="center" wrapText="1"/>
      <protection locked="0"/>
    </xf>
    <xf numFmtId="0" fontId="15" fillId="4" borderId="37" xfId="6" applyFont="1" applyFill="1" applyBorder="1" applyAlignment="1" applyProtection="1">
      <alignment horizontal="center" vertical="center" wrapText="1"/>
      <protection locked="0"/>
    </xf>
    <xf numFmtId="0" fontId="15" fillId="4" borderId="38" xfId="6" applyFont="1" applyFill="1" applyBorder="1" applyAlignment="1" applyProtection="1">
      <alignment horizontal="center" vertical="center" wrapText="1"/>
      <protection locked="0"/>
    </xf>
    <xf numFmtId="0" fontId="15" fillId="4" borderId="0" xfId="6" applyFont="1" applyFill="1" applyAlignment="1" applyProtection="1">
      <alignment horizontal="center" vertical="center" wrapText="1"/>
      <protection locked="0"/>
    </xf>
    <xf numFmtId="0" fontId="15" fillId="4" borderId="39" xfId="6" applyFont="1" applyFill="1" applyBorder="1" applyAlignment="1" applyProtection="1">
      <alignment horizontal="center" vertical="center" wrapText="1"/>
      <protection locked="0"/>
    </xf>
    <xf numFmtId="0" fontId="15" fillId="4" borderId="40" xfId="6" applyFont="1" applyFill="1" applyBorder="1" applyAlignment="1" applyProtection="1">
      <alignment horizontal="center" vertical="center" wrapText="1"/>
      <protection locked="0"/>
    </xf>
    <xf numFmtId="0" fontId="15" fillId="4" borderId="41" xfId="6" applyFont="1" applyFill="1" applyBorder="1" applyAlignment="1" applyProtection="1">
      <alignment horizontal="center" vertical="center" wrapText="1"/>
      <protection locked="0"/>
    </xf>
    <xf numFmtId="0" fontId="15" fillId="4" borderId="42" xfId="6" applyFont="1" applyFill="1" applyBorder="1" applyAlignment="1" applyProtection="1">
      <alignment horizontal="center" vertical="center" wrapText="1"/>
      <protection locked="0"/>
    </xf>
    <xf numFmtId="0" fontId="17" fillId="6" borderId="8" xfId="0" applyFont="1" applyFill="1" applyBorder="1" applyAlignment="1" applyProtection="1">
      <alignment horizontal="center" vertical="center"/>
      <protection locked="0"/>
    </xf>
    <xf numFmtId="0" fontId="17" fillId="6" borderId="7" xfId="0" applyFont="1" applyFill="1" applyBorder="1" applyAlignment="1" applyProtection="1">
      <alignment horizontal="center" vertical="center"/>
      <protection locked="0"/>
    </xf>
    <xf numFmtId="0" fontId="17" fillId="6" borderId="6" xfId="0" applyFont="1" applyFill="1" applyBorder="1" applyAlignment="1" applyProtection="1">
      <alignment horizontal="center" vertical="center"/>
      <protection locked="0"/>
    </xf>
    <xf numFmtId="0" fontId="17" fillId="6" borderId="5" xfId="0" applyFont="1" applyFill="1" applyBorder="1" applyAlignment="1" applyProtection="1">
      <alignment horizontal="center" vertical="center"/>
      <protection locked="0"/>
    </xf>
    <xf numFmtId="0" fontId="17" fillId="6" borderId="44" xfId="0" applyFont="1" applyFill="1" applyBorder="1" applyAlignment="1" applyProtection="1">
      <alignment horizontal="left" vertical="center" wrapText="1"/>
      <protection locked="0"/>
    </xf>
    <xf numFmtId="0" fontId="17" fillId="6" borderId="32" xfId="0" applyFont="1" applyFill="1" applyBorder="1" applyAlignment="1" applyProtection="1">
      <alignment horizontal="left" vertical="center" wrapText="1"/>
      <protection locked="0"/>
    </xf>
    <xf numFmtId="0" fontId="81" fillId="14" borderId="4" xfId="14" applyFont="1" applyFill="1" applyBorder="1" applyAlignment="1">
      <alignment horizontal="center" vertical="center"/>
    </xf>
    <xf numFmtId="0" fontId="86" fillId="15" borderId="44" xfId="14" applyFont="1" applyFill="1" applyBorder="1" applyAlignment="1">
      <alignment horizontal="center" vertical="center"/>
    </xf>
    <xf numFmtId="0" fontId="86" fillId="15" borderId="43" xfId="14" applyFont="1" applyFill="1" applyBorder="1" applyAlignment="1">
      <alignment horizontal="center" vertical="center"/>
    </xf>
    <xf numFmtId="0" fontId="86" fillId="15" borderId="32" xfId="14" applyFont="1" applyFill="1" applyBorder="1" applyAlignment="1">
      <alignment horizontal="center" vertical="center"/>
    </xf>
    <xf numFmtId="0" fontId="29" fillId="0" borderId="54" xfId="0" applyFont="1" applyBorder="1" applyAlignment="1">
      <alignment wrapText="1"/>
    </xf>
    <xf numFmtId="0" fontId="29" fillId="0" borderId="55" xfId="0" applyFont="1" applyBorder="1"/>
    <xf numFmtId="0" fontId="29" fillId="0" borderId="56" xfId="0" applyFont="1" applyBorder="1"/>
    <xf numFmtId="0" fontId="29" fillId="0" borderId="55" xfId="0" applyFont="1" applyBorder="1" applyAlignment="1">
      <alignment wrapText="1"/>
    </xf>
    <xf numFmtId="0" fontId="29" fillId="0" borderId="56" xfId="0" applyFont="1" applyBorder="1" applyAlignment="1">
      <alignment wrapText="1"/>
    </xf>
    <xf numFmtId="0" fontId="29" fillId="0" borderId="55" xfId="0" applyFont="1" applyBorder="1" applyAlignment="1">
      <alignment horizontal="left" wrapText="1"/>
    </xf>
    <xf numFmtId="0" fontId="29" fillId="0" borderId="56" xfId="0" applyFont="1" applyBorder="1" applyAlignment="1">
      <alignment horizontal="left" wrapText="1"/>
    </xf>
    <xf numFmtId="0" fontId="70" fillId="11" borderId="0" xfId="0" applyFont="1" applyFill="1" applyAlignment="1">
      <alignment horizontal="center"/>
    </xf>
    <xf numFmtId="0" fontId="29" fillId="0" borderId="54" xfId="0" applyFont="1" applyBorder="1" applyAlignment="1">
      <alignment horizontal="left" wrapText="1"/>
    </xf>
  </cellXfs>
  <cellStyles count="20">
    <cellStyle name="Comma" xfId="5" builtinId="3"/>
    <cellStyle name="Comma 45" xfId="19" xr:uid="{683A574C-2482-46C5-9F42-E78E94995D29}"/>
    <cellStyle name="Comma_FM_BP_Discovery strat partnership 25_FEB" xfId="9" xr:uid="{12009128-4CB8-4B7C-AB4D-BA8C2BD82C7A}"/>
    <cellStyle name="Currency 2" xfId="18" xr:uid="{C4D65BA6-51A7-4901-BA4F-65FD4894CE71}"/>
    <cellStyle name="Heading 3" xfId="1" builtinId="18"/>
    <cellStyle name="Hyperlink" xfId="3" builtinId="8"/>
    <cellStyle name="Hyperlink 2" xfId="13" xr:uid="{90297706-CAE8-4D43-9DB1-00A8BFCC5B05}"/>
    <cellStyle name="Input" xfId="2" builtinId="20" customBuiltin="1"/>
    <cellStyle name="Normal" xfId="0" builtinId="0"/>
    <cellStyle name="Normal 10 2" xfId="17" xr:uid="{3B1DE4E9-E9CD-4742-A4A0-096A2A68853C}"/>
    <cellStyle name="Normal 2" xfId="14" xr:uid="{3A380272-AEF6-4BB0-908C-0B4361F0F56D}"/>
    <cellStyle name="Normal 3" xfId="15" xr:uid="{3ECFBB2E-61E8-47C1-A410-ACD2DDA12AC2}"/>
    <cellStyle name="Normal 4" xfId="10" xr:uid="{A59EBD7F-A381-47A9-82CB-37A2A5DFC3BA}"/>
    <cellStyle name="Normal 5" xfId="16" xr:uid="{73DCFE37-5D5A-4B9C-B6AC-77B8BFA1B2E6}"/>
    <cellStyle name="Normal 6" xfId="12" xr:uid="{2A4CE1E3-137D-4B00-A295-7A7AA1A5EF05}"/>
    <cellStyle name="Normal_DCF model" xfId="6" xr:uid="{2608D1A1-B8FD-4105-94D1-68EC4656F293}"/>
    <cellStyle name="Normal_Group macro planning assumptions.Oct2003" xfId="7" xr:uid="{168E9B23-B800-4FB1-B3EC-AF76EBDE900B}"/>
    <cellStyle name="Percent" xfId="4" builtinId="5"/>
    <cellStyle name="Percent 2" xfId="8" xr:uid="{FE015B7A-B46F-4CF2-B530-13C737A92091}"/>
    <cellStyle name="Percent 2 2" xfId="11" xr:uid="{6D05A03A-D530-41A7-95DC-D62D65113DDB}"/>
  </cellStyles>
  <dxfs count="10">
    <dxf>
      <font>
        <color rgb="FFFF0000"/>
      </font>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s>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externalLink" Target="externalLinks/externalLink53.xml"/><Relationship Id="rId84" Type="http://schemas.openxmlformats.org/officeDocument/2006/relationships/calcChain" Target="calcChain.xml"/><Relationship Id="rId16" Type="http://schemas.openxmlformats.org/officeDocument/2006/relationships/externalLink" Target="externalLinks/externalLink1.xml"/><Relationship Id="rId11" Type="http://schemas.openxmlformats.org/officeDocument/2006/relationships/worksheet" Target="worksheets/sheet11.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74" Type="http://schemas.openxmlformats.org/officeDocument/2006/relationships/externalLink" Target="externalLinks/externalLink59.xml"/><Relationship Id="rId79" Type="http://schemas.openxmlformats.org/officeDocument/2006/relationships/externalLink" Target="externalLinks/externalLink64.xml"/><Relationship Id="rId5" Type="http://schemas.openxmlformats.org/officeDocument/2006/relationships/worksheet" Target="worksheets/sheet5.xml"/><Relationship Id="rId19" Type="http://schemas.openxmlformats.org/officeDocument/2006/relationships/externalLink" Target="externalLinks/externalLink4.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56" Type="http://schemas.openxmlformats.org/officeDocument/2006/relationships/externalLink" Target="externalLinks/externalLink41.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77" Type="http://schemas.openxmlformats.org/officeDocument/2006/relationships/externalLink" Target="externalLinks/externalLink6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80" Type="http://schemas.openxmlformats.org/officeDocument/2006/relationships/externalLink" Target="externalLinks/externalLink65.xml"/><Relationship Id="rId85"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externalLink" Target="externalLinks/externalLink5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8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81" Type="http://schemas.openxmlformats.org/officeDocument/2006/relationships/theme" Target="theme/theme1.xml"/><Relationship Id="rId86"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7" Type="http://schemas.openxmlformats.org/officeDocument/2006/relationships/worksheet" Target="worksheets/sheet7.xml"/><Relationship Id="rId71" Type="http://schemas.openxmlformats.org/officeDocument/2006/relationships/externalLink" Target="externalLinks/externalLink56.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customXml" Target="../customXml/item3.xml"/><Relationship Id="rId61" Type="http://schemas.openxmlformats.org/officeDocument/2006/relationships/externalLink" Target="externalLinks/externalLink46.xml"/><Relationship Id="rId82" Type="http://schemas.openxmlformats.org/officeDocument/2006/relationships/styles" Target="styles.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'Chart1 CashFlow'!$B$3</c:f>
          <c:strCache>
            <c:ptCount val="1"/>
            <c:pt idx="0">
              <c:v>Cash Flow Components</c:v>
            </c:pt>
          </c:strCache>
        </c:strRef>
      </c:tx>
      <c:layout>
        <c:manualLayout>
          <c:xMode val="edge"/>
          <c:yMode val="edge"/>
          <c:x val="0.41303262182843337"/>
          <c:y val="0"/>
        </c:manualLayout>
      </c:layout>
      <c:overlay val="0"/>
      <c:txPr>
        <a:bodyPr/>
        <a:lstStyle/>
        <a:p>
          <a:pPr>
            <a:defRPr sz="1400"/>
          </a:pPr>
          <a:endParaRPr lang="en-US"/>
        </a:p>
      </c:txPr>
    </c:title>
    <c:autoTitleDeleted val="0"/>
    <c:plotArea>
      <c:layout>
        <c:manualLayout>
          <c:layoutTarget val="inner"/>
          <c:xMode val="edge"/>
          <c:yMode val="edge"/>
          <c:x val="5.123127027566983E-2"/>
          <c:y val="7.7754227442881116E-2"/>
          <c:w val="0.93430860362638168"/>
          <c:h val="0.85039860591196592"/>
        </c:manualLayout>
      </c:layout>
      <c:barChart>
        <c:barDir val="col"/>
        <c:grouping val="stacked"/>
        <c:varyColors val="0"/>
        <c:ser>
          <c:idx val="0"/>
          <c:order val="2"/>
          <c:tx>
            <c:strRef>
              <c:f>'Chart1 CashFlow'!$A$9</c:f>
              <c:strCache>
                <c:ptCount val="1"/>
                <c:pt idx="0">
                  <c:v>Cash Capex</c:v>
                </c:pt>
              </c:strCache>
            </c:strRef>
          </c:tx>
          <c:spPr>
            <a:solidFill>
              <a:schemeClr val="accent3"/>
            </a:solidFill>
            <a:scene3d>
              <a:camera prst="orthographicFront"/>
              <a:lightRig rig="twoPt" dir="t"/>
            </a:scene3d>
          </c:spPr>
          <c:invertIfNegative val="0"/>
          <c:val>
            <c:numRef>
              <c:f>'Chart1 CashFlow'!$B$9:$Q$9</c:f>
              <c:numCache>
                <c:formatCode>0.0;\(0.0\);\-;@</c:formatCode>
                <c:ptCount val="11"/>
                <c:pt idx="0">
                  <c:v>-0.29745902335456476</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0F3E-4B09-AC9B-1EB749E005AD}"/>
            </c:ext>
          </c:extLst>
        </c:ser>
        <c:ser>
          <c:idx val="1"/>
          <c:order val="3"/>
          <c:tx>
            <c:strRef>
              <c:f>'Chart1 CashFlow'!$A$10</c:f>
              <c:strCache>
                <c:ptCount val="1"/>
                <c:pt idx="0">
                  <c:v>Ratex</c:v>
                </c:pt>
              </c:strCache>
            </c:strRef>
          </c:tx>
          <c:spPr>
            <a:solidFill>
              <a:schemeClr val="accent3">
                <a:lumMod val="50000"/>
              </a:schemeClr>
            </a:solidFill>
            <a:scene3d>
              <a:camera prst="orthographicFront"/>
              <a:lightRig rig="threePt" dir="t"/>
            </a:scene3d>
          </c:spPr>
          <c:invertIfNegative val="0"/>
          <c:val>
            <c:numRef>
              <c:f>'Chart1 CashFlow'!$B$10:$Q$10</c:f>
              <c:numCache>
                <c:formatCode>0.0;\(0.0\);\-;@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1-0F3E-4B09-AC9B-1EB749E005AD}"/>
            </c:ext>
          </c:extLst>
        </c:ser>
        <c:ser>
          <c:idx val="3"/>
          <c:order val="4"/>
          <c:tx>
            <c:strRef>
              <c:f>'Chart1 CashFlow'!$A$11</c:f>
              <c:strCache>
                <c:ptCount val="1"/>
                <c:pt idx="0">
                  <c:v>Revex (incl Remediation)</c:v>
                </c:pt>
              </c:strCache>
            </c:strRef>
          </c:tx>
          <c:spPr>
            <a:solidFill>
              <a:schemeClr val="accent2"/>
            </a:solidFill>
            <a:scene3d>
              <a:camera prst="orthographicFront"/>
              <a:lightRig rig="threePt" dir="t"/>
            </a:scene3d>
          </c:spPr>
          <c:invertIfNegative val="0"/>
          <c:val>
            <c:numRef>
              <c:f>'Chart1 CashFlow'!$B$11:$Q$11</c:f>
              <c:numCache>
                <c:formatCode>0.0;\(0.0\);\-;@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0F3E-4B09-AC9B-1EB749E005AD}"/>
            </c:ext>
          </c:extLst>
        </c:ser>
        <c:ser>
          <c:idx val="2"/>
          <c:order val="5"/>
          <c:tx>
            <c:strRef>
              <c:f>'Chart1 CashFlow'!$A$12</c:f>
              <c:strCache>
                <c:ptCount val="1"/>
                <c:pt idx="0">
                  <c:v>GM+TCC</c:v>
                </c:pt>
              </c:strCache>
            </c:strRef>
          </c:tx>
          <c:spPr>
            <a:solidFill>
              <a:schemeClr val="accent2">
                <a:lumMod val="60000"/>
                <a:lumOff val="40000"/>
              </a:schemeClr>
            </a:solidFill>
            <a:scene3d>
              <a:camera prst="orthographicFront"/>
              <a:lightRig rig="threePt" dir="t"/>
            </a:scene3d>
          </c:spPr>
          <c:invertIfNegative val="0"/>
          <c:val>
            <c:numRef>
              <c:f>'Chart1 CashFlow'!$B$12:$Q$12</c:f>
              <c:numCache>
                <c:formatCode>0.0;\(0.0\);\-;@</c:formatCode>
                <c:ptCount val="11"/>
                <c:pt idx="0">
                  <c:v>-5.3503184713375798E-2</c:v>
                </c:pt>
                <c:pt idx="1">
                  <c:v>0.85725308339999995</c:v>
                </c:pt>
                <c:pt idx="2">
                  <c:v>0.85725308339999995</c:v>
                </c:pt>
                <c:pt idx="3">
                  <c:v>0.85725308340000017</c:v>
                </c:pt>
                <c:pt idx="4">
                  <c:v>0.85725308340000017</c:v>
                </c:pt>
                <c:pt idx="5">
                  <c:v>0.85725308339999995</c:v>
                </c:pt>
                <c:pt idx="6">
                  <c:v>0</c:v>
                </c:pt>
                <c:pt idx="7">
                  <c:v>0</c:v>
                </c:pt>
                <c:pt idx="8">
                  <c:v>0</c:v>
                </c:pt>
                <c:pt idx="9">
                  <c:v>0</c:v>
                </c:pt>
                <c:pt idx="10">
                  <c:v>0</c:v>
                </c:pt>
              </c:numCache>
            </c:numRef>
          </c:val>
          <c:extLst>
            <c:ext xmlns:c16="http://schemas.microsoft.com/office/drawing/2014/chart" uri="{C3380CC4-5D6E-409C-BE32-E72D297353CC}">
              <c16:uniqueId val="{00000003-0F3E-4B09-AC9B-1EB749E005AD}"/>
            </c:ext>
          </c:extLst>
        </c:ser>
        <c:ser>
          <c:idx val="7"/>
          <c:order val="6"/>
          <c:tx>
            <c:strRef>
              <c:f>'Chart1 CashFlow'!$A$13</c:f>
              <c:strCache>
                <c:ptCount val="1"/>
                <c:pt idx="0">
                  <c:v>Tax</c:v>
                </c:pt>
              </c:strCache>
            </c:strRef>
          </c:tx>
          <c:spPr>
            <a:pattFill prst="trellis">
              <a:fgClr>
                <a:schemeClr val="accent2"/>
              </a:fgClr>
              <a:bgClr>
                <a:schemeClr val="bg1"/>
              </a:bgClr>
            </a:pattFill>
          </c:spPr>
          <c:invertIfNegative val="0"/>
          <c:val>
            <c:numRef>
              <c:f>'Chart1 CashFlow'!$B$13:$Q$13</c:f>
              <c:numCache>
                <c:formatCode>0.0;\(0.0\);\-;@</c:formatCode>
                <c:ptCount val="11"/>
                <c:pt idx="0">
                  <c:v>2.0382165605095544E-2</c:v>
                </c:pt>
                <c:pt idx="1">
                  <c:v>-0.30100382271219511</c:v>
                </c:pt>
                <c:pt idx="2">
                  <c:v>-0.29962979946168222</c:v>
                </c:pt>
                <c:pt idx="3">
                  <c:v>-0.29871869015652175</c:v>
                </c:pt>
                <c:pt idx="4">
                  <c:v>-0.29802923686336635</c:v>
                </c:pt>
                <c:pt idx="5">
                  <c:v>-0.2974526032</c:v>
                </c:pt>
                <c:pt idx="6">
                  <c:v>0</c:v>
                </c:pt>
                <c:pt idx="7">
                  <c:v>0</c:v>
                </c:pt>
                <c:pt idx="8">
                  <c:v>0</c:v>
                </c:pt>
                <c:pt idx="9">
                  <c:v>0</c:v>
                </c:pt>
                <c:pt idx="10">
                  <c:v>0</c:v>
                </c:pt>
              </c:numCache>
            </c:numRef>
          </c:val>
          <c:extLst>
            <c:ext xmlns:c16="http://schemas.microsoft.com/office/drawing/2014/chart" uri="{C3380CC4-5D6E-409C-BE32-E72D297353CC}">
              <c16:uniqueId val="{00000004-0F3E-4B09-AC9B-1EB749E005AD}"/>
            </c:ext>
          </c:extLst>
        </c:ser>
        <c:ser>
          <c:idx val="4"/>
          <c:order val="7"/>
          <c:tx>
            <c:strRef>
              <c:f>'Chart1 CashFlow'!$A$14</c:f>
              <c:strCache>
                <c:ptCount val="1"/>
                <c:pt idx="0">
                  <c:v>Working Capital Change</c:v>
                </c:pt>
              </c:strCache>
            </c:strRef>
          </c:tx>
          <c:spPr>
            <a:solidFill>
              <a:schemeClr val="accent2">
                <a:lumMod val="50000"/>
              </a:schemeClr>
            </a:solidFill>
            <a:scene3d>
              <a:camera prst="orthographicFront"/>
              <a:lightRig rig="threePt" dir="t"/>
            </a:scene3d>
          </c:spPr>
          <c:invertIfNegative val="0"/>
          <c:val>
            <c:numRef>
              <c:f>'Chart1 CashFlow'!$B$14:$Q$14</c:f>
              <c:numCache>
                <c:formatCode>0.0;\(0.0\);\-;@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0F3E-4B09-AC9B-1EB749E005AD}"/>
            </c:ext>
          </c:extLst>
        </c:ser>
        <c:ser>
          <c:idx val="8"/>
          <c:order val="8"/>
          <c:tx>
            <c:strRef>
              <c:f>'Chart1 CashFlow'!$A$15</c:f>
              <c:strCache>
                <c:ptCount val="1"/>
                <c:pt idx="0">
                  <c:v>Disp Gains &amp; Other cash</c:v>
                </c:pt>
              </c:strCache>
            </c:strRef>
          </c:tx>
          <c:spPr>
            <a:pattFill prst="trellis">
              <a:fgClr>
                <a:schemeClr val="accent1"/>
              </a:fgClr>
              <a:bgClr>
                <a:schemeClr val="bg1"/>
              </a:bgClr>
            </a:pattFill>
          </c:spPr>
          <c:invertIfNegative val="0"/>
          <c:val>
            <c:numRef>
              <c:f>'Chart1 CashFlow'!$B$15:$Q$15</c:f>
              <c:numCache>
                <c:formatCode>0.00;\(0.00\);\-;@</c:formatCode>
                <c:ptCount val="11"/>
                <c:pt idx="0">
                  <c:v>-3.1422505307855675E-2</c:v>
                </c:pt>
                <c:pt idx="1">
                  <c:v>0.11137141440351206</c:v>
                </c:pt>
                <c:pt idx="2">
                  <c:v>0.11086302580082252</c:v>
                </c:pt>
                <c:pt idx="3">
                  <c:v>0.11052591535791301</c:v>
                </c:pt>
                <c:pt idx="4">
                  <c:v>0.11027081763944546</c:v>
                </c:pt>
                <c:pt idx="5">
                  <c:v>0.11005746318400011</c:v>
                </c:pt>
                <c:pt idx="6">
                  <c:v>0</c:v>
                </c:pt>
                <c:pt idx="7">
                  <c:v>0</c:v>
                </c:pt>
                <c:pt idx="8">
                  <c:v>0</c:v>
                </c:pt>
                <c:pt idx="9">
                  <c:v>0</c:v>
                </c:pt>
                <c:pt idx="10">
                  <c:v>0</c:v>
                </c:pt>
              </c:numCache>
            </c:numRef>
          </c:val>
          <c:extLst>
            <c:ext xmlns:c16="http://schemas.microsoft.com/office/drawing/2014/chart" uri="{C3380CC4-5D6E-409C-BE32-E72D297353CC}">
              <c16:uniqueId val="{00000006-0F3E-4B09-AC9B-1EB749E005AD}"/>
            </c:ext>
          </c:extLst>
        </c:ser>
        <c:dLbls>
          <c:showLegendKey val="0"/>
          <c:showVal val="0"/>
          <c:showCatName val="0"/>
          <c:showSerName val="0"/>
          <c:showPercent val="0"/>
          <c:showBubbleSize val="0"/>
        </c:dLbls>
        <c:gapWidth val="150"/>
        <c:overlap val="100"/>
        <c:axId val="57889152"/>
        <c:axId val="57890688"/>
      </c:barChart>
      <c:lineChart>
        <c:grouping val="standard"/>
        <c:varyColors val="0"/>
        <c:ser>
          <c:idx val="5"/>
          <c:order val="0"/>
          <c:tx>
            <c:strRef>
              <c:f>'Chart1 CashFlow'!$A$16</c:f>
              <c:strCache>
                <c:ptCount val="1"/>
                <c:pt idx="0">
                  <c:v>Cashflow</c:v>
                </c:pt>
              </c:strCache>
            </c:strRef>
          </c:tx>
          <c:spPr>
            <a:ln w="38100">
              <a:solidFill>
                <a:schemeClr val="tx2">
                  <a:lumMod val="60000"/>
                  <a:lumOff val="40000"/>
                </a:schemeClr>
              </a:solidFill>
            </a:ln>
          </c:spPr>
          <c:marker>
            <c:symbol val="none"/>
          </c:marker>
          <c:cat>
            <c:numRef>
              <c:f>'Chart1 CashFlow'!$B$8:$Q$8</c:f>
              <c:numCache>
                <c:formatCode>0;\(0\);\-;@</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'Chart1 CashFlow'!$B$16:$Q$16</c:f>
              <c:numCache>
                <c:formatCode>0.0;\(0.0\);\-;@</c:formatCode>
                <c:ptCount val="11"/>
                <c:pt idx="0">
                  <c:v>-0.36200254777070068</c:v>
                </c:pt>
                <c:pt idx="1">
                  <c:v>0.66762067509131695</c:v>
                </c:pt>
                <c:pt idx="2">
                  <c:v>0.66848630973914025</c:v>
                </c:pt>
                <c:pt idx="3">
                  <c:v>0.66906030860139143</c:v>
                </c:pt>
                <c:pt idx="4">
                  <c:v>0.66949466417607928</c:v>
                </c:pt>
                <c:pt idx="5">
                  <c:v>0.66985794338400007</c:v>
                </c:pt>
                <c:pt idx="6">
                  <c:v>0</c:v>
                </c:pt>
                <c:pt idx="7">
                  <c:v>0</c:v>
                </c:pt>
                <c:pt idx="8">
                  <c:v>0</c:v>
                </c:pt>
                <c:pt idx="9">
                  <c:v>0</c:v>
                </c:pt>
                <c:pt idx="10">
                  <c:v>0</c:v>
                </c:pt>
              </c:numCache>
            </c:numRef>
          </c:val>
          <c:smooth val="0"/>
          <c:extLst>
            <c:ext xmlns:c16="http://schemas.microsoft.com/office/drawing/2014/chart" uri="{C3380CC4-5D6E-409C-BE32-E72D297353CC}">
              <c16:uniqueId val="{00000007-0F3E-4B09-AC9B-1EB749E005AD}"/>
            </c:ext>
          </c:extLst>
        </c:ser>
        <c:ser>
          <c:idx val="6"/>
          <c:order val="1"/>
          <c:tx>
            <c:strRef>
              <c:f>'Chart1 CashFlow'!$A$19</c:f>
              <c:strCache>
                <c:ptCount val="1"/>
                <c:pt idx="0">
                  <c:v>Cum DCF</c:v>
                </c:pt>
              </c:strCache>
            </c:strRef>
          </c:tx>
          <c:spPr>
            <a:ln w="38100">
              <a:solidFill>
                <a:schemeClr val="tx2"/>
              </a:solidFill>
            </a:ln>
          </c:spPr>
          <c:marker>
            <c:symbol val="none"/>
          </c:marker>
          <c:dLbls>
            <c:dLbl>
              <c:idx val="10"/>
              <c:layout>
                <c:manualLayout>
                  <c:x val="-2.350417286818185E-2"/>
                  <c:y val="5.25099502672022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2B-44B9-A609-6930C81CC779}"/>
                </c:ext>
              </c:extLst>
            </c:dLbl>
            <c:dLbl>
              <c:idx val="14"/>
              <c:layout>
                <c:manualLayout>
                  <c:x val="-0.37788226062279479"/>
                  <c:y val="-4.74698192756805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F3E-4B09-AC9B-1EB749E005AD}"/>
                </c:ext>
              </c:extLst>
            </c:dLbl>
            <c:dLbl>
              <c:idx val="20"/>
              <c:layout>
                <c:manualLayout>
                  <c:x val="-1.9939557494902345E-2"/>
                  <c:y val="-4.65597789134296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F3E-4B09-AC9B-1EB749E005AD}"/>
                </c:ext>
              </c:extLst>
            </c:dLbl>
            <c:numFmt formatCode="&quot;NPV &quot;#,##0;\-#,##0" sourceLinked="0"/>
            <c:spPr>
              <a:noFill/>
              <a:ln>
                <a:noFill/>
              </a:ln>
              <a:effectLst/>
            </c:spPr>
            <c:txPr>
              <a:bodyPr/>
              <a:lstStyle/>
              <a:p>
                <a:pPr>
                  <a:defRPr b="1"/>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0"/>
              </c:ext>
            </c:extLst>
          </c:dLbls>
          <c:cat>
            <c:numRef>
              <c:f>'Chart1 CashFlow'!$B$8:$Q$8</c:f>
              <c:numCache>
                <c:formatCode>0;\(0\);\-;@</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'Chart1 CashFlow'!$B$19:$Q$19</c:f>
              <c:numCache>
                <c:formatCode>0.0;\(0.0\);\-;@</c:formatCode>
                <c:ptCount val="11"/>
                <c:pt idx="0">
                  <c:v>-0.34996107205743227</c:v>
                </c:pt>
                <c:pt idx="1">
                  <c:v>0.25322889752394656</c:v>
                </c:pt>
                <c:pt idx="2">
                  <c:v>0.81768877004758034</c:v>
                </c:pt>
                <c:pt idx="3">
                  <c:v>1.3456743294908955</c:v>
                </c:pt>
                <c:pt idx="4">
                  <c:v>1.839439122900961</c:v>
                </c:pt>
                <c:pt idx="5">
                  <c:v>2.30115194401965</c:v>
                </c:pt>
                <c:pt idx="6">
                  <c:v>2.30115194401965</c:v>
                </c:pt>
                <c:pt idx="7">
                  <c:v>2.30115194401965</c:v>
                </c:pt>
                <c:pt idx="8">
                  <c:v>2.30115194401965</c:v>
                </c:pt>
                <c:pt idx="9">
                  <c:v>2.30115194401965</c:v>
                </c:pt>
                <c:pt idx="10">
                  <c:v>2.30115194401965</c:v>
                </c:pt>
              </c:numCache>
            </c:numRef>
          </c:val>
          <c:smooth val="0"/>
          <c:extLst>
            <c:ext xmlns:c16="http://schemas.microsoft.com/office/drawing/2014/chart" uri="{C3380CC4-5D6E-409C-BE32-E72D297353CC}">
              <c16:uniqueId val="{0000000A-0F3E-4B09-AC9B-1EB749E005AD}"/>
            </c:ext>
          </c:extLst>
        </c:ser>
        <c:dLbls>
          <c:showLegendKey val="0"/>
          <c:showVal val="0"/>
          <c:showCatName val="0"/>
          <c:showSerName val="0"/>
          <c:showPercent val="0"/>
          <c:showBubbleSize val="0"/>
        </c:dLbls>
        <c:marker val="1"/>
        <c:smooth val="0"/>
        <c:axId val="57889152"/>
        <c:axId val="57890688"/>
      </c:lineChart>
      <c:catAx>
        <c:axId val="57889152"/>
        <c:scaling>
          <c:orientation val="minMax"/>
        </c:scaling>
        <c:delete val="0"/>
        <c:axPos val="b"/>
        <c:numFmt formatCode="General" sourceLinked="0"/>
        <c:majorTickMark val="none"/>
        <c:minorTickMark val="none"/>
        <c:tickLblPos val="low"/>
        <c:spPr>
          <a:ln w="19050">
            <a:solidFill>
              <a:schemeClr val="tx1"/>
            </a:solidFill>
          </a:ln>
        </c:spPr>
        <c:crossAx val="57890688"/>
        <c:crosses val="autoZero"/>
        <c:auto val="1"/>
        <c:lblAlgn val="ctr"/>
        <c:lblOffset val="100"/>
        <c:noMultiLvlLbl val="0"/>
      </c:catAx>
      <c:valAx>
        <c:axId val="57890688"/>
        <c:scaling>
          <c:orientation val="minMax"/>
        </c:scaling>
        <c:delete val="0"/>
        <c:axPos val="l"/>
        <c:title>
          <c:tx>
            <c:strRef>
              <c:f>'Chart1 CashFlow'!$B$5</c:f>
              <c:strCache>
                <c:ptCount val="1"/>
                <c:pt idx="0">
                  <c:v>Annual $m</c:v>
                </c:pt>
              </c:strCache>
            </c:strRef>
          </c:tx>
          <c:layout>
            <c:manualLayout>
              <c:xMode val="edge"/>
              <c:yMode val="edge"/>
              <c:x val="9.6657269432142199E-5"/>
              <c:y val="1.8177358977668763E-3"/>
            </c:manualLayout>
          </c:layout>
          <c:overlay val="0"/>
          <c:txPr>
            <a:bodyPr rot="0" vert="horz"/>
            <a:lstStyle/>
            <a:p>
              <a:pPr>
                <a:defRPr sz="1200"/>
              </a:pPr>
              <a:endParaRPr lang="en-US"/>
            </a:p>
          </c:txPr>
        </c:title>
        <c:numFmt formatCode="General" sourceLinked="0"/>
        <c:majorTickMark val="out"/>
        <c:minorTickMark val="none"/>
        <c:tickLblPos val="nextTo"/>
        <c:crossAx val="57889152"/>
        <c:crosses val="autoZero"/>
        <c:crossBetween val="between"/>
      </c:valAx>
      <c:spPr>
        <a:ln w="19050">
          <a:solidFill>
            <a:schemeClr val="tx1"/>
          </a:solidFill>
        </a:ln>
      </c:spPr>
    </c:plotArea>
    <c:legend>
      <c:legendPos val="r"/>
      <c:layout>
        <c:manualLayout>
          <c:xMode val="edge"/>
          <c:yMode val="edge"/>
          <c:x val="0.30644813068751087"/>
          <c:y val="0.7885605246419406"/>
          <c:w val="0.67572112955782115"/>
          <c:h val="0.13409404952514639"/>
        </c:manualLayout>
      </c:layout>
      <c:overlay val="0"/>
      <c:txPr>
        <a:bodyPr/>
        <a:lstStyle/>
        <a:p>
          <a:pPr>
            <a:defRPr sz="1000"/>
          </a:pPr>
          <a:endParaRPr lang="en-US"/>
        </a:p>
      </c:txPr>
    </c:legend>
    <c:plotVisOnly val="1"/>
    <c:dispBlanksAs val="gap"/>
    <c:showDLblsOverMax val="0"/>
  </c:chart>
  <c:spPr>
    <a:ln>
      <a:noFill/>
    </a:ln>
  </c:spPr>
  <c:txPr>
    <a:bodyPr/>
    <a:lstStyle/>
    <a:p>
      <a:pPr>
        <a:defRPr sz="11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'Chart2 Tornado'!$B$3</c:f>
          <c:strCache>
            <c:ptCount val="1"/>
            <c:pt idx="0">
              <c:v>Project Sensitivities</c:v>
            </c:pt>
          </c:strCache>
        </c:strRef>
      </c:tx>
      <c:layout>
        <c:manualLayout>
          <c:xMode val="edge"/>
          <c:yMode val="edge"/>
          <c:x val="0.40996369010055783"/>
          <c:y val="0"/>
        </c:manualLayout>
      </c:layout>
      <c:overlay val="0"/>
      <c:txPr>
        <a:bodyPr/>
        <a:lstStyle/>
        <a:p>
          <a:pPr>
            <a:defRPr sz="1400"/>
          </a:pPr>
          <a:endParaRPr lang="en-US"/>
        </a:p>
      </c:txPr>
    </c:title>
    <c:autoTitleDeleted val="0"/>
    <c:plotArea>
      <c:layout>
        <c:manualLayout>
          <c:layoutTarget val="inner"/>
          <c:xMode val="edge"/>
          <c:yMode val="edge"/>
          <c:x val="0.14941767754168969"/>
          <c:y val="5.1590089617876332E-2"/>
          <c:w val="0.8253027433455985"/>
          <c:h val="0.81874248096037172"/>
        </c:manualLayout>
      </c:layout>
      <c:barChart>
        <c:barDir val="bar"/>
        <c:grouping val="stacked"/>
        <c:varyColors val="0"/>
        <c:ser>
          <c:idx val="0"/>
          <c:order val="0"/>
          <c:tx>
            <c:strRef>
              <c:f>'Chart2 Tornado'!$P$8</c:f>
              <c:strCache>
                <c:ptCount val="1"/>
                <c:pt idx="0">
                  <c:v>blank +</c:v>
                </c:pt>
              </c:strCache>
            </c:strRef>
          </c:tx>
          <c:spPr>
            <a:noFill/>
            <a:ln>
              <a:noFill/>
            </a:ln>
          </c:spPr>
          <c:invertIfNegative val="0"/>
          <c:cat>
            <c:strRef>
              <c:f>'Chart2 Tornado'!$A$9:$A$17</c:f>
              <c:strCache>
                <c:ptCount val="1"/>
                <c:pt idx="0">
                  <c:v>Volume growth @ 70%</c:v>
                </c:pt>
              </c:strCache>
            </c:strRef>
          </c:cat>
          <c:val>
            <c:numRef>
              <c:f>'Chart2 Tornado'!$P$9:$P$17</c:f>
              <c:numCache>
                <c:formatCode>0</c:formatCode>
                <c:ptCount val="7"/>
                <c:pt idx="0">
                  <c:v>0</c:v>
                </c:pt>
                <c:pt idx="1">
                  <c:v>8</c:v>
                </c:pt>
                <c:pt idx="2">
                  <c:v>7</c:v>
                </c:pt>
                <c:pt idx="3">
                  <c:v>6</c:v>
                </c:pt>
                <c:pt idx="4">
                  <c:v>7</c:v>
                </c:pt>
                <c:pt idx="5">
                  <c:v>8</c:v>
                </c:pt>
                <c:pt idx="6">
                  <c:v>9</c:v>
                </c:pt>
              </c:numCache>
            </c:numRef>
          </c:val>
          <c:extLst>
            <c:ext xmlns:c16="http://schemas.microsoft.com/office/drawing/2014/chart" uri="{C3380CC4-5D6E-409C-BE32-E72D297353CC}">
              <c16:uniqueId val="{00000000-EB54-4457-8F5E-E476AF6EE448}"/>
            </c:ext>
          </c:extLst>
        </c:ser>
        <c:ser>
          <c:idx val="1"/>
          <c:order val="1"/>
          <c:tx>
            <c:strRef>
              <c:f>'Chart2 Tornado'!$Q$8</c:f>
              <c:strCache>
                <c:ptCount val="1"/>
                <c:pt idx="0">
                  <c:v>blank -</c:v>
                </c:pt>
              </c:strCache>
            </c:strRef>
          </c:tx>
          <c:spPr>
            <a:noFill/>
            <a:ln>
              <a:noFill/>
            </a:ln>
            <a:scene3d>
              <a:camera prst="orthographicFront"/>
              <a:lightRig rig="threePt" dir="t"/>
            </a:scene3d>
          </c:spPr>
          <c:invertIfNegative val="0"/>
          <c:dLbls>
            <c:numFmt formatCode="\-General;;"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'Chart2 Tornado'!$A$9:$A$17</c:f>
              <c:strCache>
                <c:ptCount val="1"/>
                <c:pt idx="0">
                  <c:v>Volume growth @ 70%</c:v>
                </c:pt>
              </c:strCache>
            </c:strRef>
          </c:cat>
          <c:val>
            <c:numRef>
              <c:f>'Chart2 Tornado'!$Q$9:$Q$17</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1-EB54-4457-8F5E-E476AF6EE448}"/>
            </c:ext>
          </c:extLst>
        </c:ser>
        <c:ser>
          <c:idx val="2"/>
          <c:order val="2"/>
          <c:tx>
            <c:strRef>
              <c:f>'Chart2 Tornado'!$R$8</c:f>
              <c:strCache>
                <c:ptCount val="1"/>
                <c:pt idx="0">
                  <c:v>red +</c:v>
                </c:pt>
              </c:strCache>
            </c:strRef>
          </c:tx>
          <c:spPr>
            <a:solidFill>
              <a:schemeClr val="accent2"/>
            </a:solidFill>
            <a:ln>
              <a:solidFill>
                <a:schemeClr val="tx1"/>
              </a:solidFill>
            </a:ln>
          </c:spPr>
          <c:invertIfNegative val="0"/>
          <c:dLbls>
            <c:dLbl>
              <c:idx val="0"/>
              <c:layout>
                <c:manualLayout>
                  <c:x val="-1.044371796359504E-3"/>
                  <c:y val="-3.0046161334894702E-3"/>
                </c:manualLayout>
              </c:layout>
              <c:tx>
                <c:strRef>
                  <c:f>'Chart2 Tornado'!$V$9</c:f>
                  <c:strCache>
                    <c:ptCount val="1"/>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{156BBA42-C603-455E-9EF9-EAB26452AED0}</c15:txfldGUID>
                      <c15:f>'Chart2 Tornado'!$V$9</c15:f>
                      <c15:dlblFieldTableCache>
                        <c:ptCount val="1"/>
                      </c15:dlblFieldTableCache>
                    </c15:dlblFTEntry>
                  </c15:dlblFieldTable>
                  <c15:showDataLabelsRange val="0"/>
                </c:ext>
                <c:ext xmlns:c16="http://schemas.microsoft.com/office/drawing/2014/chart" uri="{C3380CC4-5D6E-409C-BE32-E72D297353CC}">
                  <c16:uniqueId val="{00000002-EB54-4457-8F5E-E476AF6EE448}"/>
                </c:ext>
              </c:extLst>
            </c:dLbl>
            <c:dLbl>
              <c:idx val="1"/>
              <c:layout>
                <c:manualLayout>
                  <c:x val="-6.481216403948953E-3"/>
                  <c:y val="1.8486304823832284E-3"/>
                </c:manualLayout>
              </c:layout>
              <c:tx>
                <c:strRef>
                  <c:f>'Chart2 Tornado'!$V$10</c:f>
                  <c:strCache>
                    <c:ptCount val="1"/>
                    <c:pt idx="0">
                      <c:v>8, </c:v>
                    </c:pt>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{75137A23-D9CA-404F-8251-CD133DAA261E}</c15:txfldGUID>
                      <c15:f>'Chart2 Tornado'!$V$10</c15:f>
                      <c15:dlblFieldTableCache>
                        <c:ptCount val="1"/>
                        <c:pt idx="0">
                          <c:v>8, </c:v>
                        </c:pt>
                      </c15:dlblFieldTableCache>
                    </c15:dlblFTEntry>
                  </c15:dlblFieldTable>
                  <c15:showDataLabelsRange val="0"/>
                </c:ext>
                <c:ext xmlns:c16="http://schemas.microsoft.com/office/drawing/2014/chart" uri="{C3380CC4-5D6E-409C-BE32-E72D297353CC}">
                  <c16:uniqueId val="{00000003-EB54-4457-8F5E-E476AF6EE448}"/>
                </c:ext>
              </c:extLst>
            </c:dLbl>
            <c:dLbl>
              <c:idx val="2"/>
              <c:tx>
                <c:strRef>
                  <c:f>'Chart2 Tornado'!$V$11</c:f>
                  <c:strCache>
                    <c:ptCount val="1"/>
                    <c:pt idx="0">
                      <c:v>7, </c:v>
                    </c:pt>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{D91AD9D1-8E79-448C-A532-1B47753BB2B8}</c15:txfldGUID>
                      <c15:f>'Chart2 Tornado'!$V$11</c15:f>
                      <c15:dlblFieldTableCache>
                        <c:ptCount val="1"/>
                        <c:pt idx="0">
                          <c:v>7, </c:v>
                        </c:pt>
                      </c15:dlblFieldTableCache>
                    </c15:dlblFTEntry>
                  </c15:dlblFieldTable>
                  <c15:showDataLabelsRange val="0"/>
                </c:ext>
                <c:ext xmlns:c16="http://schemas.microsoft.com/office/drawing/2014/chart" uri="{C3380CC4-5D6E-409C-BE32-E72D297353CC}">
                  <c16:uniqueId val="{00000004-EB54-4457-8F5E-E476AF6EE448}"/>
                </c:ext>
              </c:extLst>
            </c:dLbl>
            <c:dLbl>
              <c:idx val="3"/>
              <c:layout>
                <c:manualLayout>
                  <c:x val="-4.3613102021896116E-3"/>
                  <c:y val="0"/>
                </c:manualLayout>
              </c:layout>
              <c:tx>
                <c:strRef>
                  <c:f>'Chart2 Tornado'!$V$12</c:f>
                  <c:strCache>
                    <c:ptCount val="1"/>
                    <c:pt idx="0">
                      <c:v>6, </c:v>
                    </c:pt>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{3813B3B0-6063-4CAB-93F1-E821525DD44E}</c15:txfldGUID>
                      <c15:f>'Chart2 Tornado'!$V$12</c15:f>
                      <c15:dlblFieldTableCache>
                        <c:ptCount val="1"/>
                        <c:pt idx="0">
                          <c:v>6, </c:v>
                        </c:pt>
                      </c15:dlblFieldTableCache>
                    </c15:dlblFTEntry>
                  </c15:dlblFieldTable>
                  <c15:showDataLabelsRange val="0"/>
                </c:ext>
                <c:ext xmlns:c16="http://schemas.microsoft.com/office/drawing/2014/chart" uri="{C3380CC4-5D6E-409C-BE32-E72D297353CC}">
                  <c16:uniqueId val="{00000005-EB54-4457-8F5E-E476AF6EE448}"/>
                </c:ext>
              </c:extLst>
            </c:dLbl>
            <c:dLbl>
              <c:idx val="4"/>
              <c:layout>
                <c:manualLayout>
                  <c:x val="-1.6708978699447872E-3"/>
                  <c:y val="-3.6660245050026846E-3"/>
                </c:manualLayout>
              </c:layout>
              <c:tx>
                <c:strRef>
                  <c:f>'Chart2 Tornado'!$V$13</c:f>
                  <c:strCache>
                    <c:ptCount val="1"/>
                    <c:pt idx="0">
                      <c:v>7, </c:v>
                    </c:pt>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{1DF29F77-4213-4FA1-AF1B-9DFC7E1AF909}</c15:txfldGUID>
                      <c15:f>'Chart2 Tornado'!$V$13</c15:f>
                      <c15:dlblFieldTableCache>
                        <c:ptCount val="1"/>
                        <c:pt idx="0">
                          <c:v>7, </c:v>
                        </c:pt>
                      </c15:dlblFieldTableCache>
                    </c15:dlblFTEntry>
                  </c15:dlblFieldTable>
                  <c15:showDataLabelsRange val="0"/>
                </c:ext>
                <c:ext xmlns:c16="http://schemas.microsoft.com/office/drawing/2014/chart" uri="{C3380CC4-5D6E-409C-BE32-E72D297353CC}">
                  <c16:uniqueId val="{00000006-EB54-4457-8F5E-E476AF6EE448}"/>
                </c:ext>
              </c:extLst>
            </c:dLbl>
            <c:dLbl>
              <c:idx val="5"/>
              <c:layout>
                <c:manualLayout>
                  <c:x val="-4.4078722328179699E-3"/>
                  <c:y val="-4.1613117041358252E-3"/>
                </c:manualLayout>
              </c:layout>
              <c:tx>
                <c:strRef>
                  <c:f>'Chart2 Tornado'!$V$14</c:f>
                  <c:strCache>
                    <c:ptCount val="1"/>
                    <c:pt idx="0">
                      <c:v>8, </c:v>
                    </c:pt>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{0B979E97-E04E-464D-8675-FBA2651CEF12}</c15:txfldGUID>
                      <c15:f>'Chart2 Tornado'!$V$14</c15:f>
                      <c15:dlblFieldTableCache>
                        <c:ptCount val="1"/>
                        <c:pt idx="0">
                          <c:v>8, </c:v>
                        </c:pt>
                      </c15:dlblFieldTableCache>
                    </c15:dlblFTEntry>
                  </c15:dlblFieldTable>
                  <c15:showDataLabelsRange val="0"/>
                </c:ext>
                <c:ext xmlns:c16="http://schemas.microsoft.com/office/drawing/2014/chart" uri="{C3380CC4-5D6E-409C-BE32-E72D297353CC}">
                  <c16:uniqueId val="{00000007-EB54-4457-8F5E-E476AF6EE448}"/>
                </c:ext>
              </c:extLst>
            </c:dLbl>
            <c:dLbl>
              <c:idx val="6"/>
              <c:layout>
                <c:manualLayout>
                  <c:x val="-5.109697840309995E-3"/>
                  <c:y val="-3.004616133489374E-3"/>
                </c:manualLayout>
              </c:layout>
              <c:tx>
                <c:strRef>
                  <c:f>'Chart2 Tornado'!$V$15</c:f>
                  <c:strCache>
                    <c:ptCount val="1"/>
                    <c:pt idx="0">
                      <c:v>9, </c:v>
                    </c:pt>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{045A4D28-B0FE-4F37-8DB0-D668D10BD14D}</c15:txfldGUID>
                      <c15:f>'Chart2 Tornado'!$V$15</c15:f>
                      <c15:dlblFieldTableCache>
                        <c:ptCount val="1"/>
                        <c:pt idx="0">
                          <c:v>9, </c:v>
                        </c:pt>
                      </c15:dlblFieldTableCache>
                    </c15:dlblFTEntry>
                  </c15:dlblFieldTable>
                  <c15:showDataLabelsRange val="0"/>
                </c:ext>
                <c:ext xmlns:c16="http://schemas.microsoft.com/office/drawing/2014/chart" uri="{C3380CC4-5D6E-409C-BE32-E72D297353CC}">
                  <c16:uniqueId val="{00000008-EB54-4457-8F5E-E476AF6EE448}"/>
                </c:ext>
              </c:extLst>
            </c:dLbl>
            <c:dLbl>
              <c:idx val="7"/>
              <c:tx>
                <c:strRef>
                  <c:f>'Chart2 Tornado'!$V$16</c:f>
                  <c:strCache>
                    <c:ptCount val="1"/>
                  </c:strCache>
                </c:strRef>
              </c:tx>
              <c:dLblPos val="inBase"/>
              <c:showLegendKey val="0"/>
              <c:showVal val="1"/>
              <c:showCatName val="0"/>
              <c:showSerName val="0"/>
              <c:showPercent val="0"/>
              <c:showBubbleSize val="0"/>
              <c:extLst>
                <c:ext xmlns:c15="http://schemas.microsoft.com/office/drawing/2012/chart" uri="{CE6537A1-D6FC-4f65-9D91-7224C49458BB}">
                  <c15:dlblFieldTable>
                    <c15:dlblFTEntry>
                      <c15:txfldGUID>{E51AA05F-C527-4993-B256-48EFD0683FA9}</c15:txfldGUID>
                      <c15:f>'Chart2 Tornado'!$V$16</c15:f>
                      <c15:dlblFieldTableCache>
                        <c:ptCount val="1"/>
                      </c15:dlblFieldTableCache>
                    </c15:dlblFTEntry>
                  </c15:dlblFieldTable>
                  <c15:showDataLabelsRange val="0"/>
                </c:ext>
                <c:ext xmlns:c16="http://schemas.microsoft.com/office/drawing/2014/chart" uri="{C3380CC4-5D6E-409C-BE32-E72D297353CC}">
                  <c16:uniqueId val="{00000009-EB54-4457-8F5E-E476AF6EE448}"/>
                </c:ext>
              </c:extLst>
            </c:dLbl>
            <c:dLbl>
              <c:idx val="8"/>
              <c:tx>
                <c:strRef>
                  <c:f>'Chart2 Tornado'!$V$17</c:f>
                  <c:strCache>
                    <c:ptCount val="1"/>
                  </c:strCache>
                </c:strRef>
              </c:tx>
              <c:dLblPos val="inBase"/>
              <c:showLegendKey val="0"/>
              <c:showVal val="1"/>
              <c:showCatName val="0"/>
              <c:showSerName val="0"/>
              <c:showPercent val="0"/>
              <c:showBubbleSize val="0"/>
              <c:extLst>
                <c:ext xmlns:c15="http://schemas.microsoft.com/office/drawing/2012/chart" uri="{CE6537A1-D6FC-4f65-9D91-7224C49458BB}">
                  <c15:dlblFieldTable>
                    <c15:dlblFTEntry>
                      <c15:txfldGUID>{9B357357-BAA8-4F89-9BA8-C75E6DD5E1DC}</c15:txfldGUID>
                      <c15:f>'Chart2 Tornado'!$V$17</c15:f>
                      <c15:dlblFieldTableCache>
                        <c:ptCount val="1"/>
                      </c15:dlblFieldTableCache>
                    </c15:dlblFTEntry>
                  </c15:dlblFieldTable>
                  <c15:showDataLabelsRange val="0"/>
                </c:ext>
                <c:ext xmlns:c16="http://schemas.microsoft.com/office/drawing/2014/chart" uri="{C3380CC4-5D6E-409C-BE32-E72D297353CC}">
                  <c16:uniqueId val="{0000000A-EB54-4457-8F5E-E476AF6EE448}"/>
                </c:ext>
              </c:extLst>
            </c:dLbl>
            <c:dLbl>
              <c:idx val="9"/>
              <c:tx>
                <c:strRef>
                  <c:f>'Chart2 Tornado'!#REF!</c:f>
                  <c:strCache>
                    <c:ptCount val="1"/>
                    <c:pt idx="0">
                      <c:v>#REF!</c:v>
                    </c:pt>
                  </c:strCache>
                </c:strRef>
              </c:tx>
              <c:dLblPos val="inBase"/>
              <c:showLegendKey val="0"/>
              <c:showVal val="1"/>
              <c:showCatName val="0"/>
              <c:showSerName val="0"/>
              <c:showPercent val="0"/>
              <c:showBubbleSize val="0"/>
              <c:extLst>
                <c:ext xmlns:c15="http://schemas.microsoft.com/office/drawing/2012/chart" uri="{CE6537A1-D6FC-4f65-9D91-7224C49458BB}">
                  <c15:dlblFieldTable>
                    <c15:dlblFTEntry>
                      <c15:txfldGUID>{4FF74823-149E-4316-998B-7CFC58E9E239}</c15:txfldGUID>
                      <c15:f>'Chart2 Tornado'!#REF!</c15:f>
                      <c15:dlblFieldTableCache>
                        <c:ptCount val="1"/>
                        <c:pt idx="0">
                          <c:v>#REF!</c:v>
                        </c:pt>
                      </c15:dlblFieldTableCache>
                    </c15:dlblFTEntry>
                  </c15:dlblFieldTable>
                  <c15:showDataLabelsRange val="0"/>
                </c:ext>
                <c:ext xmlns:c16="http://schemas.microsoft.com/office/drawing/2014/chart" uri="{C3380CC4-5D6E-409C-BE32-E72D297353CC}">
                  <c16:uniqueId val="{0000000B-EB54-4457-8F5E-E476AF6EE448}"/>
                </c:ext>
              </c:extLst>
            </c:dLbl>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'Chart2 Tornado'!$A$9:$A$17</c:f>
              <c:strCache>
                <c:ptCount val="1"/>
                <c:pt idx="0">
                  <c:v>Volume growth @ 70%</c:v>
                </c:pt>
              </c:strCache>
            </c:strRef>
          </c:cat>
          <c:val>
            <c:numRef>
              <c:f>'Chart2 Tornado'!$R$9:$R$17</c:f>
              <c:numCache>
                <c:formatCode>0</c:formatCode>
                <c:ptCount val="7"/>
                <c:pt idx="0">
                  <c:v>0</c:v>
                </c:pt>
                <c:pt idx="1">
                  <c:v>-7.29</c:v>
                </c:pt>
                <c:pt idx="2">
                  <c:v>-6.29</c:v>
                </c:pt>
                <c:pt idx="3">
                  <c:v>-5.29</c:v>
                </c:pt>
                <c:pt idx="4">
                  <c:v>-6.29</c:v>
                </c:pt>
                <c:pt idx="5">
                  <c:v>-7.29</c:v>
                </c:pt>
                <c:pt idx="6">
                  <c:v>-8.2899999999999991</c:v>
                </c:pt>
              </c:numCache>
            </c:numRef>
          </c:val>
          <c:extLst>
            <c:ext xmlns:c16="http://schemas.microsoft.com/office/drawing/2014/chart" uri="{C3380CC4-5D6E-409C-BE32-E72D297353CC}">
              <c16:uniqueId val="{0000000C-EB54-4457-8F5E-E476AF6EE448}"/>
            </c:ext>
          </c:extLst>
        </c:ser>
        <c:ser>
          <c:idx val="5"/>
          <c:order val="3"/>
          <c:tx>
            <c:strRef>
              <c:f>'Chart2 Tornado'!$S$8</c:f>
              <c:strCache>
                <c:ptCount val="1"/>
                <c:pt idx="0">
                  <c:v>green -</c:v>
                </c:pt>
              </c:strCache>
            </c:strRef>
          </c:tx>
          <c:spPr>
            <a:solidFill>
              <a:schemeClr val="accent3"/>
            </a:solidFill>
            <a:ln>
              <a:solidFill>
                <a:schemeClr val="tx1"/>
              </a:solidFill>
            </a:ln>
          </c:spPr>
          <c:invertIfNegative val="0"/>
          <c:dLbls>
            <c:dLbl>
              <c:idx val="0"/>
              <c:tx>
                <c:strRef>
                  <c:f>'Chart2 Tornado'!$W$9</c:f>
                  <c:strCache>
                    <c:ptCount val="1"/>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{97CDAA88-B7FD-4E45-A277-37EB42A8F119}</c15:txfldGUID>
                      <c15:f>'Chart2 Tornado'!$W$9</c15:f>
                      <c15:dlblFieldTableCache>
                        <c:ptCount val="1"/>
                      </c15:dlblFieldTableCache>
                    </c15:dlblFTEntry>
                  </c15:dlblFieldTable>
                  <c15:showDataLabelsRange val="0"/>
                </c:ext>
                <c:ext xmlns:c16="http://schemas.microsoft.com/office/drawing/2014/chart" uri="{C3380CC4-5D6E-409C-BE32-E72D297353CC}">
                  <c16:uniqueId val="{0000000D-EB54-4457-8F5E-E476AF6EE448}"/>
                </c:ext>
              </c:extLst>
            </c:dLbl>
            <c:dLbl>
              <c:idx val="1"/>
              <c:tx>
                <c:strRef>
                  <c:f>'Chart2 Tornado'!$W$10</c:f>
                  <c:strCache>
                    <c:ptCount val="1"/>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{13E15CAB-697E-4229-8150-DF24E11BD165}</c15:txfldGUID>
                      <c15:f>'Chart2 Tornado'!$W$10</c15:f>
                      <c15:dlblFieldTableCache>
                        <c:ptCount val="1"/>
                      </c15:dlblFieldTableCache>
                    </c15:dlblFTEntry>
                  </c15:dlblFieldTable>
                  <c15:showDataLabelsRange val="0"/>
                </c:ext>
                <c:ext xmlns:c16="http://schemas.microsoft.com/office/drawing/2014/chart" uri="{C3380CC4-5D6E-409C-BE32-E72D297353CC}">
                  <c16:uniqueId val="{0000000E-EB54-4457-8F5E-E476AF6EE448}"/>
                </c:ext>
              </c:extLst>
            </c:dLbl>
            <c:dLbl>
              <c:idx val="2"/>
              <c:tx>
                <c:strRef>
                  <c:f>'Chart2 Tornado'!$W$11</c:f>
                  <c:strCache>
                    <c:ptCount val="1"/>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{BE475D87-19B7-40A9-9870-BDB66CA7C06A}</c15:txfldGUID>
                      <c15:f>'Chart2 Tornado'!$W$11</c15:f>
                      <c15:dlblFieldTableCache>
                        <c:ptCount val="1"/>
                      </c15:dlblFieldTableCache>
                    </c15:dlblFTEntry>
                  </c15:dlblFieldTable>
                  <c15:showDataLabelsRange val="0"/>
                </c:ext>
                <c:ext xmlns:c16="http://schemas.microsoft.com/office/drawing/2014/chart" uri="{C3380CC4-5D6E-409C-BE32-E72D297353CC}">
                  <c16:uniqueId val="{0000000F-EB54-4457-8F5E-E476AF6EE448}"/>
                </c:ext>
              </c:extLst>
            </c:dLbl>
            <c:dLbl>
              <c:idx val="3"/>
              <c:tx>
                <c:strRef>
                  <c:f>'Chart2 Tornado'!$W$12</c:f>
                  <c:strCache>
                    <c:ptCount val="1"/>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{0AEF7AF6-D5E5-48AE-B96F-2806EECA2BE1}</c15:txfldGUID>
                      <c15:f>'Chart2 Tornado'!$W$12</c15:f>
                      <c15:dlblFieldTableCache>
                        <c:ptCount val="1"/>
                      </c15:dlblFieldTableCache>
                    </c15:dlblFTEntry>
                  </c15:dlblFieldTable>
                  <c15:showDataLabelsRange val="0"/>
                </c:ext>
                <c:ext xmlns:c16="http://schemas.microsoft.com/office/drawing/2014/chart" uri="{C3380CC4-5D6E-409C-BE32-E72D297353CC}">
                  <c16:uniqueId val="{00000010-EB54-4457-8F5E-E476AF6EE448}"/>
                </c:ext>
              </c:extLst>
            </c:dLbl>
            <c:dLbl>
              <c:idx val="4"/>
              <c:tx>
                <c:strRef>
                  <c:f>'Chart2 Tornado'!$W$13</c:f>
                  <c:strCache>
                    <c:ptCount val="1"/>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{AB091380-DAE8-4597-90D3-D0752BA99B41}</c15:txfldGUID>
                      <c15:f>'Chart2 Tornado'!$W$13</c15:f>
                      <c15:dlblFieldTableCache>
                        <c:ptCount val="1"/>
                      </c15:dlblFieldTableCache>
                    </c15:dlblFTEntry>
                  </c15:dlblFieldTable>
                  <c15:showDataLabelsRange val="0"/>
                </c:ext>
                <c:ext xmlns:c16="http://schemas.microsoft.com/office/drawing/2014/chart" uri="{C3380CC4-5D6E-409C-BE32-E72D297353CC}">
                  <c16:uniqueId val="{00000011-EB54-4457-8F5E-E476AF6EE448}"/>
                </c:ext>
              </c:extLst>
            </c:dLbl>
            <c:dLbl>
              <c:idx val="5"/>
              <c:tx>
                <c:strRef>
                  <c:f>'Chart2 Tornado'!$W$14</c:f>
                  <c:strCache>
                    <c:ptCount val="1"/>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{510438B0-67EB-4AFA-BB1F-2765DE457606}</c15:txfldGUID>
                      <c15:f>'Chart2 Tornado'!$W$14</c15:f>
                      <c15:dlblFieldTableCache>
                        <c:ptCount val="1"/>
                      </c15:dlblFieldTableCache>
                    </c15:dlblFTEntry>
                  </c15:dlblFieldTable>
                  <c15:showDataLabelsRange val="0"/>
                </c:ext>
                <c:ext xmlns:c16="http://schemas.microsoft.com/office/drawing/2014/chart" uri="{C3380CC4-5D6E-409C-BE32-E72D297353CC}">
                  <c16:uniqueId val="{00000012-EB54-4457-8F5E-E476AF6EE448}"/>
                </c:ext>
              </c:extLst>
            </c:dLbl>
            <c:dLbl>
              <c:idx val="6"/>
              <c:tx>
                <c:strRef>
                  <c:f>'Chart2 Tornado'!$W$15</c:f>
                  <c:strCache>
                    <c:ptCount val="1"/>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{F00655C7-905F-456D-9362-49B277BAF405}</c15:txfldGUID>
                      <c15:f>'Chart2 Tornado'!$W$15</c15:f>
                      <c15:dlblFieldTableCache>
                        <c:ptCount val="1"/>
                      </c15:dlblFieldTableCache>
                    </c15:dlblFTEntry>
                  </c15:dlblFieldTable>
                  <c15:showDataLabelsRange val="0"/>
                </c:ext>
                <c:ext xmlns:c16="http://schemas.microsoft.com/office/drawing/2014/chart" uri="{C3380CC4-5D6E-409C-BE32-E72D297353CC}">
                  <c16:uniqueId val="{00000013-EB54-4457-8F5E-E476AF6EE448}"/>
                </c:ext>
              </c:extLst>
            </c:dLbl>
            <c:dLbl>
              <c:idx val="7"/>
              <c:tx>
                <c:strRef>
                  <c:f>'Chart2 Tornado'!$W$16</c:f>
                  <c:strCache>
                    <c:ptCount val="1"/>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{245E1934-EC13-4B9B-B744-40F0F52B43A2}</c15:txfldGUID>
                      <c15:f>'Chart2 Tornado'!$W$16</c15:f>
                      <c15:dlblFieldTableCache>
                        <c:ptCount val="1"/>
                      </c15:dlblFieldTableCache>
                    </c15:dlblFTEntry>
                  </c15:dlblFieldTable>
                  <c15:showDataLabelsRange val="0"/>
                </c:ext>
                <c:ext xmlns:c16="http://schemas.microsoft.com/office/drawing/2014/chart" uri="{C3380CC4-5D6E-409C-BE32-E72D297353CC}">
                  <c16:uniqueId val="{00000014-EB54-4457-8F5E-E476AF6EE448}"/>
                </c:ext>
              </c:extLst>
            </c:dLbl>
            <c:dLbl>
              <c:idx val="8"/>
              <c:tx>
                <c:strRef>
                  <c:f>'Chart2 Tornado'!$W$17</c:f>
                  <c:strCache>
                    <c:ptCount val="1"/>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{CACDE0E0-67EF-452F-BDA6-14B8D5669DFF}</c15:txfldGUID>
                      <c15:f>'Chart2 Tornado'!$W$17</c15:f>
                      <c15:dlblFieldTableCache>
                        <c:ptCount val="1"/>
                      </c15:dlblFieldTableCache>
                    </c15:dlblFTEntry>
                  </c15:dlblFieldTable>
                  <c15:showDataLabelsRange val="0"/>
                </c:ext>
                <c:ext xmlns:c16="http://schemas.microsoft.com/office/drawing/2014/chart" uri="{C3380CC4-5D6E-409C-BE32-E72D297353CC}">
                  <c16:uniqueId val="{00000015-EB54-4457-8F5E-E476AF6EE448}"/>
                </c:ext>
              </c:extLst>
            </c:dLbl>
            <c:dLbl>
              <c:idx val="9"/>
              <c:tx>
                <c:strRef>
                  <c:f>'Chart2 Tornado'!#REF!</c:f>
                  <c:strCache>
                    <c:ptCount val="1"/>
                    <c:pt idx="0">
                      <c:v>#REF!</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{C192251E-C693-4FA4-8F9C-46384ACC0576}</c15:txfldGUID>
                      <c15:f>'Chart2 Tornado'!#REF!</c15:f>
                      <c15:dlblFieldTableCache>
                        <c:ptCount val="1"/>
                        <c:pt idx="0">
                          <c:v>#REF!</c:v>
                        </c:pt>
                      </c15:dlblFieldTableCache>
                    </c15:dlblFTEntry>
                  </c15:dlblFieldTable>
                  <c15:showDataLabelsRange val="0"/>
                </c:ext>
                <c:ext xmlns:c16="http://schemas.microsoft.com/office/drawing/2014/chart" uri="{C3380CC4-5D6E-409C-BE32-E72D297353CC}">
                  <c16:uniqueId val="{00000016-EB54-4457-8F5E-E476AF6EE448}"/>
                </c:ext>
              </c:extLst>
            </c:dLbl>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'Chart2 Tornado'!$A$9:$A$17</c:f>
              <c:strCache>
                <c:ptCount val="1"/>
                <c:pt idx="0">
                  <c:v>Volume growth @ 70%</c:v>
                </c:pt>
              </c:strCache>
            </c:strRef>
          </c:cat>
          <c:val>
            <c:numRef>
              <c:f>'Chart2 Tornado'!$S$9:$S$17</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7-EB54-4457-8F5E-E476AF6EE448}"/>
            </c:ext>
          </c:extLst>
        </c:ser>
        <c:ser>
          <c:idx val="3"/>
          <c:order val="4"/>
          <c:tx>
            <c:strRef>
              <c:f>'Chart2 Tornado'!$T$8</c:f>
              <c:strCache>
                <c:ptCount val="1"/>
                <c:pt idx="0">
                  <c:v>red -</c:v>
                </c:pt>
              </c:strCache>
            </c:strRef>
          </c:tx>
          <c:spPr>
            <a:solidFill>
              <a:schemeClr val="accent2"/>
            </a:solidFill>
            <a:ln>
              <a:solidFill>
                <a:schemeClr val="tx1"/>
              </a:solidFill>
            </a:ln>
          </c:spPr>
          <c:invertIfNegative val="0"/>
          <c:dLbls>
            <c:dLbl>
              <c:idx val="0"/>
              <c:tx>
                <c:strRef>
                  <c:f>'Chart2 Tornado'!$X$9</c:f>
                  <c:strCache>
                    <c:ptCount val="1"/>
                  </c:strCache>
                </c:strRef>
              </c:tx>
              <c:dLblPos val="inBase"/>
              <c:showLegendKey val="0"/>
              <c:showVal val="1"/>
              <c:showCatName val="0"/>
              <c:showSerName val="0"/>
              <c:showPercent val="0"/>
              <c:showBubbleSize val="0"/>
              <c:extLst>
                <c:ext xmlns:c15="http://schemas.microsoft.com/office/drawing/2012/chart" uri="{CE6537A1-D6FC-4f65-9D91-7224C49458BB}">
                  <c15:dlblFieldTable>
                    <c15:dlblFTEntry>
                      <c15:txfldGUID>{1F5FE13C-B829-4B03-8958-518332799186}</c15:txfldGUID>
                      <c15:f>'Chart2 Tornado'!$X$9</c15:f>
                      <c15:dlblFieldTableCache>
                        <c:ptCount val="1"/>
                      </c15:dlblFieldTableCache>
                    </c15:dlblFTEntry>
                  </c15:dlblFieldTable>
                  <c15:showDataLabelsRange val="0"/>
                </c:ext>
                <c:ext xmlns:c16="http://schemas.microsoft.com/office/drawing/2014/chart" uri="{C3380CC4-5D6E-409C-BE32-E72D297353CC}">
                  <c16:uniqueId val="{00000018-EB54-4457-8F5E-E476AF6EE448}"/>
                </c:ext>
              </c:extLst>
            </c:dLbl>
            <c:dLbl>
              <c:idx val="1"/>
              <c:tx>
                <c:strRef>
                  <c:f>'Chart2 Tornado'!$X$10</c:f>
                  <c:strCache>
                    <c:ptCount val="1"/>
                  </c:strCache>
                </c:strRef>
              </c:tx>
              <c:dLblPos val="inBase"/>
              <c:showLegendKey val="0"/>
              <c:showVal val="1"/>
              <c:showCatName val="0"/>
              <c:showSerName val="0"/>
              <c:showPercent val="0"/>
              <c:showBubbleSize val="0"/>
              <c:extLst>
                <c:ext xmlns:c15="http://schemas.microsoft.com/office/drawing/2012/chart" uri="{CE6537A1-D6FC-4f65-9D91-7224C49458BB}">
                  <c15:dlblFieldTable>
                    <c15:dlblFTEntry>
                      <c15:txfldGUID>{D5C69635-C0E0-4188-ADE5-C23094A0F331}</c15:txfldGUID>
                      <c15:f>'Chart2 Tornado'!$X$10</c15:f>
                      <c15:dlblFieldTableCache>
                        <c:ptCount val="1"/>
                      </c15:dlblFieldTableCache>
                    </c15:dlblFTEntry>
                  </c15:dlblFieldTable>
                  <c15:showDataLabelsRange val="0"/>
                </c:ext>
                <c:ext xmlns:c16="http://schemas.microsoft.com/office/drawing/2014/chart" uri="{C3380CC4-5D6E-409C-BE32-E72D297353CC}">
                  <c16:uniqueId val="{00000019-EB54-4457-8F5E-E476AF6EE448}"/>
                </c:ext>
              </c:extLst>
            </c:dLbl>
            <c:dLbl>
              <c:idx val="2"/>
              <c:tx>
                <c:strRef>
                  <c:f>'Chart2 Tornado'!$X$11</c:f>
                  <c:strCache>
                    <c:ptCount val="1"/>
                  </c:strCache>
                </c:strRef>
              </c:tx>
              <c:dLblPos val="inBase"/>
              <c:showLegendKey val="0"/>
              <c:showVal val="1"/>
              <c:showCatName val="0"/>
              <c:showSerName val="0"/>
              <c:showPercent val="0"/>
              <c:showBubbleSize val="0"/>
              <c:extLst>
                <c:ext xmlns:c15="http://schemas.microsoft.com/office/drawing/2012/chart" uri="{CE6537A1-D6FC-4f65-9D91-7224C49458BB}">
                  <c15:dlblFieldTable>
                    <c15:dlblFTEntry>
                      <c15:txfldGUID>{F4B940AE-BAED-40D7-9853-5929F75CE6D0}</c15:txfldGUID>
                      <c15:f>'Chart2 Tornado'!$X$11</c15:f>
                      <c15:dlblFieldTableCache>
                        <c:ptCount val="1"/>
                      </c15:dlblFieldTableCache>
                    </c15:dlblFTEntry>
                  </c15:dlblFieldTable>
                  <c15:showDataLabelsRange val="0"/>
                </c:ext>
                <c:ext xmlns:c16="http://schemas.microsoft.com/office/drawing/2014/chart" uri="{C3380CC4-5D6E-409C-BE32-E72D297353CC}">
                  <c16:uniqueId val="{0000001A-EB54-4457-8F5E-E476AF6EE448}"/>
                </c:ext>
              </c:extLst>
            </c:dLbl>
            <c:dLbl>
              <c:idx val="3"/>
              <c:tx>
                <c:strRef>
                  <c:f>'Chart2 Tornado'!$X$12</c:f>
                  <c:strCache>
                    <c:ptCount val="1"/>
                  </c:strCache>
                </c:strRef>
              </c:tx>
              <c:dLblPos val="inBase"/>
              <c:showLegendKey val="0"/>
              <c:showVal val="1"/>
              <c:showCatName val="0"/>
              <c:showSerName val="0"/>
              <c:showPercent val="0"/>
              <c:showBubbleSize val="0"/>
              <c:extLst>
                <c:ext xmlns:c15="http://schemas.microsoft.com/office/drawing/2012/chart" uri="{CE6537A1-D6FC-4f65-9D91-7224C49458BB}">
                  <c15:dlblFieldTable>
                    <c15:dlblFTEntry>
                      <c15:txfldGUID>{F96EBBB2-1B5C-4822-A468-BC95FA77E852}</c15:txfldGUID>
                      <c15:f>'Chart2 Tornado'!$X$12</c15:f>
                      <c15:dlblFieldTableCache>
                        <c:ptCount val="1"/>
                      </c15:dlblFieldTableCache>
                    </c15:dlblFTEntry>
                  </c15:dlblFieldTable>
                  <c15:showDataLabelsRange val="0"/>
                </c:ext>
                <c:ext xmlns:c16="http://schemas.microsoft.com/office/drawing/2014/chart" uri="{C3380CC4-5D6E-409C-BE32-E72D297353CC}">
                  <c16:uniqueId val="{0000001B-EB54-4457-8F5E-E476AF6EE448}"/>
                </c:ext>
              </c:extLst>
            </c:dLbl>
            <c:dLbl>
              <c:idx val="4"/>
              <c:tx>
                <c:strRef>
                  <c:f>'Chart2 Tornado'!$X$13</c:f>
                  <c:strCache>
                    <c:ptCount val="1"/>
                  </c:strCache>
                </c:strRef>
              </c:tx>
              <c:dLblPos val="inBase"/>
              <c:showLegendKey val="0"/>
              <c:showVal val="1"/>
              <c:showCatName val="0"/>
              <c:showSerName val="0"/>
              <c:showPercent val="0"/>
              <c:showBubbleSize val="0"/>
              <c:extLst>
                <c:ext xmlns:c15="http://schemas.microsoft.com/office/drawing/2012/chart" uri="{CE6537A1-D6FC-4f65-9D91-7224C49458BB}">
                  <c15:dlblFieldTable>
                    <c15:dlblFTEntry>
                      <c15:txfldGUID>{666DFF65-12AC-4475-A468-09FFBD8D7A63}</c15:txfldGUID>
                      <c15:f>'Chart2 Tornado'!$X$13</c15:f>
                      <c15:dlblFieldTableCache>
                        <c:ptCount val="1"/>
                      </c15:dlblFieldTableCache>
                    </c15:dlblFTEntry>
                  </c15:dlblFieldTable>
                  <c15:showDataLabelsRange val="0"/>
                </c:ext>
                <c:ext xmlns:c16="http://schemas.microsoft.com/office/drawing/2014/chart" uri="{C3380CC4-5D6E-409C-BE32-E72D297353CC}">
                  <c16:uniqueId val="{0000001C-EB54-4457-8F5E-E476AF6EE448}"/>
                </c:ext>
              </c:extLst>
            </c:dLbl>
            <c:dLbl>
              <c:idx val="5"/>
              <c:tx>
                <c:strRef>
                  <c:f>'Chart2 Tornado'!$X$14</c:f>
                  <c:strCache>
                    <c:ptCount val="1"/>
                  </c:strCache>
                </c:strRef>
              </c:tx>
              <c:dLblPos val="inBase"/>
              <c:showLegendKey val="0"/>
              <c:showVal val="1"/>
              <c:showCatName val="0"/>
              <c:showSerName val="0"/>
              <c:showPercent val="0"/>
              <c:showBubbleSize val="0"/>
              <c:extLst>
                <c:ext xmlns:c15="http://schemas.microsoft.com/office/drawing/2012/chart" uri="{CE6537A1-D6FC-4f65-9D91-7224C49458BB}">
                  <c15:dlblFieldTable>
                    <c15:dlblFTEntry>
                      <c15:txfldGUID>{4BA51848-CD60-47F6-ADD9-57E36E4EB664}</c15:txfldGUID>
                      <c15:f>'Chart2 Tornado'!$X$14</c15:f>
                      <c15:dlblFieldTableCache>
                        <c:ptCount val="1"/>
                      </c15:dlblFieldTableCache>
                    </c15:dlblFTEntry>
                  </c15:dlblFieldTable>
                  <c15:showDataLabelsRange val="0"/>
                </c:ext>
                <c:ext xmlns:c16="http://schemas.microsoft.com/office/drawing/2014/chart" uri="{C3380CC4-5D6E-409C-BE32-E72D297353CC}">
                  <c16:uniqueId val="{0000001D-EB54-4457-8F5E-E476AF6EE448}"/>
                </c:ext>
              </c:extLst>
            </c:dLbl>
            <c:dLbl>
              <c:idx val="6"/>
              <c:tx>
                <c:strRef>
                  <c:f>'Chart2 Tornado'!$X$15</c:f>
                  <c:strCache>
                    <c:ptCount val="1"/>
                  </c:strCache>
                </c:strRef>
              </c:tx>
              <c:dLblPos val="inBase"/>
              <c:showLegendKey val="0"/>
              <c:showVal val="1"/>
              <c:showCatName val="0"/>
              <c:showSerName val="0"/>
              <c:showPercent val="0"/>
              <c:showBubbleSize val="0"/>
              <c:extLst>
                <c:ext xmlns:c15="http://schemas.microsoft.com/office/drawing/2012/chart" uri="{CE6537A1-D6FC-4f65-9D91-7224C49458BB}">
                  <c15:dlblFieldTable>
                    <c15:dlblFTEntry>
                      <c15:txfldGUID>{7C222ABA-9C1D-4C8B-861C-85A32E6B7D5C}</c15:txfldGUID>
                      <c15:f>'Chart2 Tornado'!$X$15</c15:f>
                      <c15:dlblFieldTableCache>
                        <c:ptCount val="1"/>
                      </c15:dlblFieldTableCache>
                    </c15:dlblFTEntry>
                  </c15:dlblFieldTable>
                  <c15:showDataLabelsRange val="0"/>
                </c:ext>
                <c:ext xmlns:c16="http://schemas.microsoft.com/office/drawing/2014/chart" uri="{C3380CC4-5D6E-409C-BE32-E72D297353CC}">
                  <c16:uniqueId val="{0000001E-EB54-4457-8F5E-E476AF6EE448}"/>
                </c:ext>
              </c:extLst>
            </c:dLbl>
            <c:dLbl>
              <c:idx val="7"/>
              <c:tx>
                <c:strRef>
                  <c:f>'Chart2 Tornado'!$X$16</c:f>
                  <c:strCache>
                    <c:ptCount val="1"/>
                  </c:strCache>
                </c:strRef>
              </c:tx>
              <c:dLblPos val="inBase"/>
              <c:showLegendKey val="0"/>
              <c:showVal val="1"/>
              <c:showCatName val="0"/>
              <c:showSerName val="0"/>
              <c:showPercent val="0"/>
              <c:showBubbleSize val="0"/>
              <c:extLst>
                <c:ext xmlns:c15="http://schemas.microsoft.com/office/drawing/2012/chart" uri="{CE6537A1-D6FC-4f65-9D91-7224C49458BB}">
                  <c15:dlblFieldTable>
                    <c15:dlblFTEntry>
                      <c15:txfldGUID>{7D221A2F-F4FB-42AA-9E02-BBF8FE4D5904}</c15:txfldGUID>
                      <c15:f>'Chart2 Tornado'!$X$16</c15:f>
                      <c15:dlblFieldTableCache>
                        <c:ptCount val="1"/>
                      </c15:dlblFieldTableCache>
                    </c15:dlblFTEntry>
                  </c15:dlblFieldTable>
                  <c15:showDataLabelsRange val="0"/>
                </c:ext>
                <c:ext xmlns:c16="http://schemas.microsoft.com/office/drawing/2014/chart" uri="{C3380CC4-5D6E-409C-BE32-E72D297353CC}">
                  <c16:uniqueId val="{0000001F-EB54-4457-8F5E-E476AF6EE448}"/>
                </c:ext>
              </c:extLst>
            </c:dLbl>
            <c:dLbl>
              <c:idx val="8"/>
              <c:tx>
                <c:strRef>
                  <c:f>'Chart2 Tornado'!$X$17</c:f>
                  <c:strCache>
                    <c:ptCount val="1"/>
                    <c:pt idx="0">
                      <c:v>, 7%</c:v>
                    </c:pt>
                  </c:strCache>
                </c:strRef>
              </c:tx>
              <c:dLblPos val="inBase"/>
              <c:showLegendKey val="0"/>
              <c:showVal val="1"/>
              <c:showCatName val="0"/>
              <c:showSerName val="0"/>
              <c:showPercent val="0"/>
              <c:showBubbleSize val="0"/>
              <c:extLst>
                <c:ext xmlns:c15="http://schemas.microsoft.com/office/drawing/2012/chart" uri="{CE6537A1-D6FC-4f65-9D91-7224C49458BB}">
                  <c15:dlblFieldTable>
                    <c15:dlblFTEntry>
                      <c15:txfldGUID>{EED33B88-44FC-43E9-9F76-3E898C578040}</c15:txfldGUID>
                      <c15:f>'Chart2 Tornado'!$X$17</c15:f>
                      <c15:dlblFieldTableCache>
                        <c:ptCount val="1"/>
                        <c:pt idx="0">
                          <c:v>, 7%</c:v>
                        </c:pt>
                      </c15:dlblFieldTableCache>
                    </c15:dlblFTEntry>
                  </c15:dlblFieldTable>
                  <c15:showDataLabelsRange val="0"/>
                </c:ext>
                <c:ext xmlns:c16="http://schemas.microsoft.com/office/drawing/2014/chart" uri="{C3380CC4-5D6E-409C-BE32-E72D297353CC}">
                  <c16:uniqueId val="{00000020-EB54-4457-8F5E-E476AF6EE448}"/>
                </c:ext>
              </c:extLst>
            </c:dLbl>
            <c:dLbl>
              <c:idx val="9"/>
              <c:tx>
                <c:strRef>
                  <c:f>'Chart2 Tornado'!#REF!</c:f>
                  <c:strCache>
                    <c:ptCount val="1"/>
                    <c:pt idx="0">
                      <c:v>#REF!</c:v>
                    </c:pt>
                  </c:strCache>
                </c:strRef>
              </c:tx>
              <c:dLblPos val="inBase"/>
              <c:showLegendKey val="0"/>
              <c:showVal val="1"/>
              <c:showCatName val="0"/>
              <c:showSerName val="0"/>
              <c:showPercent val="0"/>
              <c:showBubbleSize val="0"/>
              <c:extLst>
                <c:ext xmlns:c15="http://schemas.microsoft.com/office/drawing/2012/chart" uri="{CE6537A1-D6FC-4f65-9D91-7224C49458BB}">
                  <c15:dlblFieldTable>
                    <c15:dlblFTEntry>
                      <c15:txfldGUID>{D3E5349B-972B-4F2D-9383-B6E255F1EFF9}</c15:txfldGUID>
                      <c15:f>'Chart2 Tornado'!#REF!</c15:f>
                      <c15:dlblFieldTableCache>
                        <c:ptCount val="1"/>
                        <c:pt idx="0">
                          <c:v>#REF!</c:v>
                        </c:pt>
                      </c15:dlblFieldTableCache>
                    </c15:dlblFTEntry>
                  </c15:dlblFieldTable>
                  <c15:showDataLabelsRange val="0"/>
                </c:ext>
                <c:ext xmlns:c16="http://schemas.microsoft.com/office/drawing/2014/chart" uri="{C3380CC4-5D6E-409C-BE32-E72D297353CC}">
                  <c16:uniqueId val="{00000021-EB54-4457-8F5E-E476AF6EE448}"/>
                </c:ext>
              </c:extLst>
            </c:dLbl>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'Chart2 Tornado'!$A$9:$A$17</c:f>
              <c:strCache>
                <c:ptCount val="1"/>
                <c:pt idx="0">
                  <c:v>Volume growth @ 70%</c:v>
                </c:pt>
              </c:strCache>
            </c:strRef>
          </c:cat>
          <c:val>
            <c:numRef>
              <c:f>'Chart2 Tornado'!$T$9:$T$17</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22-EB54-4457-8F5E-E476AF6EE448}"/>
            </c:ext>
          </c:extLst>
        </c:ser>
        <c:ser>
          <c:idx val="6"/>
          <c:order val="5"/>
          <c:tx>
            <c:strRef>
              <c:f>'Chart2 Tornado'!$U$8</c:f>
              <c:strCache>
                <c:ptCount val="1"/>
                <c:pt idx="0">
                  <c:v>green +</c:v>
                </c:pt>
              </c:strCache>
            </c:strRef>
          </c:tx>
          <c:spPr>
            <a:solidFill>
              <a:schemeClr val="accent3"/>
            </a:solidFill>
            <a:ln>
              <a:solidFill>
                <a:schemeClr val="tx1"/>
              </a:solidFill>
            </a:ln>
          </c:spPr>
          <c:invertIfNegative val="0"/>
          <c:dLbls>
            <c:dLbl>
              <c:idx val="0"/>
              <c:layout>
                <c:manualLayout>
                  <c:x val="2.3991571302412833E-3"/>
                  <c:y val="2.3663984670901597E-7"/>
                </c:manualLayout>
              </c:layout>
              <c:tx>
                <c:strRef>
                  <c:f>'Chart2 Tornado'!$Y$9</c:f>
                  <c:strCache>
                    <c:ptCount val="1"/>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{A295A0EF-870C-44F9-A029-CDA9A4B4CE7C}</c15:txfldGUID>
                      <c15:f>'Chart2 Tornado'!$Y$9</c15:f>
                      <c15:dlblFieldTableCache>
                        <c:ptCount val="1"/>
                      </c15:dlblFieldTableCache>
                    </c15:dlblFTEntry>
                  </c15:dlblFieldTable>
                  <c15:showDataLabelsRange val="0"/>
                </c:ext>
                <c:ext xmlns:c16="http://schemas.microsoft.com/office/drawing/2014/chart" uri="{C3380CC4-5D6E-409C-BE32-E72D297353CC}">
                  <c16:uniqueId val="{00000023-EB54-4457-8F5E-E476AF6EE448}"/>
                </c:ext>
              </c:extLst>
            </c:dLbl>
            <c:dLbl>
              <c:idx val="1"/>
              <c:layout>
                <c:manualLayout>
                  <c:x val="-3.6073448208168168E-4"/>
                  <c:y val="-2.7793349994356138E-3"/>
                </c:manualLayout>
              </c:layout>
              <c:tx>
                <c:strRef>
                  <c:f>'Chart2 Tornado'!$Y$10</c:f>
                  <c:strCache>
                    <c:ptCount val="1"/>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{AE910459-D437-46F1-B88E-A9B4926E2CAB}</c15:txfldGUID>
                      <c15:f>'Chart2 Tornado'!$Y$10</c15:f>
                      <c15:dlblFieldTableCache>
                        <c:ptCount val="1"/>
                      </c15:dlblFieldTableCache>
                    </c15:dlblFTEntry>
                  </c15:dlblFieldTable>
                  <c15:showDataLabelsRange val="0"/>
                </c:ext>
                <c:ext xmlns:c16="http://schemas.microsoft.com/office/drawing/2014/chart" uri="{C3380CC4-5D6E-409C-BE32-E72D297353CC}">
                  <c16:uniqueId val="{00000024-EB54-4457-8F5E-E476AF6EE448}"/>
                </c:ext>
              </c:extLst>
            </c:dLbl>
            <c:dLbl>
              <c:idx val="2"/>
              <c:layout>
                <c:manualLayout>
                  <c:x val="-2.5787362119096217E-3"/>
                  <c:y val="1.1831992334762085E-6"/>
                </c:manualLayout>
              </c:layout>
              <c:tx>
                <c:strRef>
                  <c:f>'Chart2 Tornado'!$Y$11</c:f>
                  <c:strCache>
                    <c:ptCount val="1"/>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{FE0ECC1D-3878-41C4-AD88-951037FE08AE}</c15:txfldGUID>
                      <c15:f>'Chart2 Tornado'!$Y$11</c15:f>
                      <c15:dlblFieldTableCache>
                        <c:ptCount val="1"/>
                      </c15:dlblFieldTableCache>
                    </c15:dlblFTEntry>
                  </c15:dlblFieldTable>
                  <c15:showDataLabelsRange val="0"/>
                </c:ext>
                <c:ext xmlns:c16="http://schemas.microsoft.com/office/drawing/2014/chart" uri="{C3380CC4-5D6E-409C-BE32-E72D297353CC}">
                  <c16:uniqueId val="{00000025-EB54-4457-8F5E-E476AF6EE448}"/>
                </c:ext>
              </c:extLst>
            </c:dLbl>
            <c:dLbl>
              <c:idx val="3"/>
              <c:layout>
                <c:manualLayout>
                  <c:x val="1.2089152223039887E-3"/>
                  <c:y val="-6.0101788263656943E-3"/>
                </c:manualLayout>
              </c:layout>
              <c:tx>
                <c:strRef>
                  <c:f>'Chart2 Tornado'!$Y$12</c:f>
                  <c:strCache>
                    <c:ptCount val="1"/>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{3BA2FBE2-9DD8-4B71-9B6B-61A5C1219E50}</c15:txfldGUID>
                      <c15:f>'Chart2 Tornado'!$Y$12</c15:f>
                      <c15:dlblFieldTableCache>
                        <c:ptCount val="1"/>
                      </c15:dlblFieldTableCache>
                    </c15:dlblFTEntry>
                  </c15:dlblFieldTable>
                  <c15:showDataLabelsRange val="0"/>
                </c:ext>
                <c:ext xmlns:c16="http://schemas.microsoft.com/office/drawing/2014/chart" uri="{C3380CC4-5D6E-409C-BE32-E72D297353CC}">
                  <c16:uniqueId val="{00000026-EB54-4457-8F5E-E476AF6EE448}"/>
                </c:ext>
              </c:extLst>
            </c:dLbl>
            <c:dLbl>
              <c:idx val="4"/>
              <c:layout>
                <c:manualLayout>
                  <c:x val="2.4162541258627465E-3"/>
                  <c:y val="-5.1819393629324029E-3"/>
                </c:manualLayout>
              </c:layout>
              <c:tx>
                <c:strRef>
                  <c:f>'Chart2 Tornado'!$Y$13</c:f>
                  <c:strCache>
                    <c:ptCount val="1"/>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{EF871606-A9CD-4C6B-B4AA-95C80F278074}</c15:txfldGUID>
                      <c15:f>'Chart2 Tornado'!$Y$13</c15:f>
                      <c15:dlblFieldTableCache>
                        <c:ptCount val="1"/>
                      </c15:dlblFieldTableCache>
                    </c15:dlblFTEntry>
                  </c15:dlblFieldTable>
                  <c15:showDataLabelsRange val="0"/>
                </c:ext>
                <c:ext xmlns:c16="http://schemas.microsoft.com/office/drawing/2014/chart" uri="{C3380CC4-5D6E-409C-BE32-E72D297353CC}">
                  <c16:uniqueId val="{00000027-EB54-4457-8F5E-E476AF6EE448}"/>
                </c:ext>
              </c:extLst>
            </c:dLbl>
            <c:dLbl>
              <c:idx val="5"/>
              <c:layout>
                <c:manualLayout>
                  <c:x val="1.400741088069777E-3"/>
                  <c:y val="-1.1562222909529511E-3"/>
                </c:manualLayout>
              </c:layout>
              <c:tx>
                <c:strRef>
                  <c:f>'Chart2 Tornado'!$Y$14</c:f>
                  <c:strCache>
                    <c:ptCount val="1"/>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{59C420AC-EA78-432D-81DA-0FD8FC8937EA}</c15:txfldGUID>
                      <c15:f>'Chart2 Tornado'!$Y$14</c15:f>
                      <c15:dlblFieldTableCache>
                        <c:ptCount val="1"/>
                      </c15:dlblFieldTableCache>
                    </c15:dlblFTEntry>
                  </c15:dlblFieldTable>
                  <c15:showDataLabelsRange val="0"/>
                </c:ext>
                <c:ext xmlns:c16="http://schemas.microsoft.com/office/drawing/2014/chart" uri="{C3380CC4-5D6E-409C-BE32-E72D297353CC}">
                  <c16:uniqueId val="{00000028-EB54-4457-8F5E-E476AF6EE448}"/>
                </c:ext>
              </c:extLst>
            </c:dLbl>
            <c:dLbl>
              <c:idx val="6"/>
              <c:layout>
                <c:manualLayout>
                  <c:x val="9.6422205092891857E-4"/>
                  <c:y val="1.1831992335864026E-6"/>
                </c:manualLayout>
              </c:layout>
              <c:tx>
                <c:strRef>
                  <c:f>'Chart2 Tornado'!$Y$15</c:f>
                  <c:strCache>
                    <c:ptCount val="1"/>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{C1A52156-B917-4376-8837-721AA1EEF73E}</c15:txfldGUID>
                      <c15:f>'Chart2 Tornado'!$Y$15</c15:f>
                      <c15:dlblFieldTableCache>
                        <c:ptCount val="1"/>
                      </c15:dlblFieldTableCache>
                    </c15:dlblFTEntry>
                  </c15:dlblFieldTable>
                  <c15:showDataLabelsRange val="0"/>
                </c:ext>
                <c:ext xmlns:c16="http://schemas.microsoft.com/office/drawing/2014/chart" uri="{C3380CC4-5D6E-409C-BE32-E72D297353CC}">
                  <c16:uniqueId val="{00000029-EB54-4457-8F5E-E476AF6EE448}"/>
                </c:ext>
              </c:extLst>
            </c:dLbl>
            <c:dLbl>
              <c:idx val="7"/>
              <c:tx>
                <c:strRef>
                  <c:f>'Chart2 Tornado'!$Y$16</c:f>
                  <c:strCache>
                    <c:ptCount val="1"/>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{32EFA199-0FC8-4CDB-B035-9E1D30CFBF8A}</c15:txfldGUID>
                      <c15:f>'Chart2 Tornado'!$Y$16</c15:f>
                      <c15:dlblFieldTableCache>
                        <c:ptCount val="1"/>
                      </c15:dlblFieldTableCache>
                    </c15:dlblFTEntry>
                  </c15:dlblFieldTable>
                  <c15:showDataLabelsRange val="0"/>
                </c:ext>
                <c:ext xmlns:c16="http://schemas.microsoft.com/office/drawing/2014/chart" uri="{C3380CC4-5D6E-409C-BE32-E72D297353CC}">
                  <c16:uniqueId val="{0000002A-EB54-4457-8F5E-E476AF6EE448}"/>
                </c:ext>
              </c:extLst>
            </c:dLbl>
            <c:dLbl>
              <c:idx val="8"/>
              <c:tx>
                <c:strRef>
                  <c:f>'Chart2 Tornado'!$Y$17</c:f>
                  <c:strCache>
                    <c:ptCount val="1"/>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{AB362F22-F68D-46A0-AD69-19BD2E254267}</c15:txfldGUID>
                      <c15:f>'Chart2 Tornado'!$Y$17</c15:f>
                      <c15:dlblFieldTableCache>
                        <c:ptCount val="1"/>
                      </c15:dlblFieldTableCache>
                    </c15:dlblFTEntry>
                  </c15:dlblFieldTable>
                  <c15:showDataLabelsRange val="0"/>
                </c:ext>
                <c:ext xmlns:c16="http://schemas.microsoft.com/office/drawing/2014/chart" uri="{C3380CC4-5D6E-409C-BE32-E72D297353CC}">
                  <c16:uniqueId val="{0000002B-EB54-4457-8F5E-E476AF6EE448}"/>
                </c:ext>
              </c:extLst>
            </c:dLbl>
            <c:dLbl>
              <c:idx val="9"/>
              <c:tx>
                <c:strRef>
                  <c:f>'Chart2 Tornado'!#REF!</c:f>
                  <c:strCache>
                    <c:ptCount val="1"/>
                    <c:pt idx="0">
                      <c:v>#REF!</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{8B5833FE-B89B-4441-981A-D4C8607438E0}</c15:txfldGUID>
                      <c15:f>'Chart2 Tornado'!#REF!</c15:f>
                      <c15:dlblFieldTableCache>
                        <c:ptCount val="1"/>
                        <c:pt idx="0">
                          <c:v>#REF!</c:v>
                        </c:pt>
                      </c15:dlblFieldTableCache>
                    </c15:dlblFTEntry>
                  </c15:dlblFieldTable>
                  <c15:showDataLabelsRange val="0"/>
                </c:ext>
                <c:ext xmlns:c16="http://schemas.microsoft.com/office/drawing/2014/chart" uri="{C3380CC4-5D6E-409C-BE32-E72D297353CC}">
                  <c16:uniqueId val="{0000002C-EB54-4457-8F5E-E476AF6EE448}"/>
                </c:ext>
              </c:extLst>
            </c:dLbl>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'Chart2 Tornado'!$A$9:$A$17</c:f>
              <c:strCache>
                <c:ptCount val="1"/>
                <c:pt idx="0">
                  <c:v>Volume growth @ 70%</c:v>
                </c:pt>
              </c:strCache>
            </c:strRef>
          </c:cat>
          <c:val>
            <c:numRef>
              <c:f>'Chart2 Tornado'!$U$9:$U$17</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2D-EB54-4457-8F5E-E476AF6EE448}"/>
            </c:ext>
          </c:extLst>
        </c:ser>
        <c:dLbls>
          <c:showLegendKey val="0"/>
          <c:showVal val="0"/>
          <c:showCatName val="0"/>
          <c:showSerName val="0"/>
          <c:showPercent val="0"/>
          <c:showBubbleSize val="0"/>
        </c:dLbls>
        <c:gapWidth val="47"/>
        <c:overlap val="100"/>
        <c:axId val="64145280"/>
        <c:axId val="64146816"/>
      </c:barChart>
      <c:catAx>
        <c:axId val="64145280"/>
        <c:scaling>
          <c:orientation val="maxMin"/>
        </c:scaling>
        <c:delete val="0"/>
        <c:axPos val="l"/>
        <c:numFmt formatCode="General" sourceLinked="0"/>
        <c:majorTickMark val="none"/>
        <c:minorTickMark val="none"/>
        <c:tickLblPos val="low"/>
        <c:spPr>
          <a:ln w="19050">
            <a:solidFill>
              <a:schemeClr val="tx1"/>
            </a:solidFill>
          </a:ln>
          <a:effectLst/>
        </c:spPr>
        <c:txPr>
          <a:bodyPr/>
          <a:lstStyle/>
          <a:p>
            <a:pPr>
              <a:defRPr sz="1000"/>
            </a:pPr>
            <a:endParaRPr lang="en-US"/>
          </a:p>
        </c:txPr>
        <c:crossAx val="64146816"/>
        <c:crosses val="autoZero"/>
        <c:auto val="1"/>
        <c:lblAlgn val="ctr"/>
        <c:lblOffset val="100"/>
        <c:noMultiLvlLbl val="0"/>
      </c:catAx>
      <c:valAx>
        <c:axId val="64146816"/>
        <c:scaling>
          <c:orientation val="minMax"/>
          <c:max val="15"/>
          <c:min val="5"/>
        </c:scaling>
        <c:delete val="0"/>
        <c:axPos val="t"/>
        <c:majorGridlines>
          <c:spPr>
            <a:ln w="9525"/>
          </c:spPr>
        </c:majorGridlines>
        <c:title>
          <c:tx>
            <c:strRef>
              <c:f>'Chart2 Tornado'!$B$6</c:f>
              <c:strCache>
                <c:ptCount val="1"/>
                <c:pt idx="0">
                  <c:v>NPV $m</c:v>
                </c:pt>
              </c:strCache>
            </c:strRef>
          </c:tx>
          <c:layout>
            <c:manualLayout>
              <c:xMode val="edge"/>
              <c:yMode val="edge"/>
              <c:x val="0.17304698132379814"/>
              <c:y val="0.94453255044787021"/>
            </c:manualLayout>
          </c:layout>
          <c:overlay val="0"/>
          <c:txPr>
            <a:bodyPr/>
            <a:lstStyle/>
            <a:p>
              <a:pPr>
                <a:defRPr sz="1400"/>
              </a:pPr>
              <a:endParaRPr lang="en-US"/>
            </a:p>
          </c:txPr>
        </c:title>
        <c:numFmt formatCode="General" sourceLinked="0"/>
        <c:majorTickMark val="none"/>
        <c:minorTickMark val="none"/>
        <c:tickLblPos val="high"/>
        <c:spPr>
          <a:ln w="19050"/>
        </c:spPr>
        <c:txPr>
          <a:bodyPr/>
          <a:lstStyle/>
          <a:p>
            <a:pPr>
              <a:defRPr sz="1100"/>
            </a:pPr>
            <a:endParaRPr lang="en-US"/>
          </a:p>
        </c:txPr>
        <c:crossAx val="64145280"/>
        <c:crosses val="autoZero"/>
        <c:crossBetween val="between"/>
      </c:valAx>
      <c:spPr>
        <a:ln w="19050">
          <a:solidFill>
            <a:schemeClr val="tx1"/>
          </a:solidFill>
        </a:ln>
      </c:spPr>
    </c:plotArea>
    <c:plotVisOnly val="1"/>
    <c:dispBlanksAs val="gap"/>
    <c:showDLblsOverMax val="0"/>
  </c:chart>
  <c:spPr>
    <a:noFill/>
    <a:ln>
      <a:noFill/>
    </a:ln>
  </c:spPr>
  <c:txPr>
    <a:bodyPr/>
    <a:lstStyle/>
    <a:p>
      <a:pPr>
        <a:defRPr sz="1000"/>
      </a:pPr>
      <a:endParaRPr lang="en-US"/>
    </a:p>
  </c:txPr>
  <c:printSettings>
    <c:headerFooter/>
    <c:pageMargins b="0.75" l="0.7" r="0.7" t="0.75" header="0.3" footer="0.3"/>
    <c:pageSetup/>
  </c:printSettings>
  <c:userShapes r:id="rId1"/>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14</xdr:col>
      <xdr:colOff>147204</xdr:colOff>
      <xdr:row>23</xdr:row>
      <xdr:rowOff>34636</xdr:rowOff>
    </xdr:from>
    <xdr:to>
      <xdr:col>14</xdr:col>
      <xdr:colOff>346363</xdr:colOff>
      <xdr:row>28</xdr:row>
      <xdr:rowOff>147204</xdr:rowOff>
    </xdr:to>
    <xdr:sp macro="" textlink="">
      <xdr:nvSpPr>
        <xdr:cNvPr id="2" name="Right Brace 1">
          <a:extLst>
            <a:ext uri="{FF2B5EF4-FFF2-40B4-BE49-F238E27FC236}">
              <a16:creationId xmlns:a16="http://schemas.microsoft.com/office/drawing/2014/main" id="{97059D35-6040-C1B6-576F-D8E325F49CD6}"/>
            </a:ext>
          </a:extLst>
        </xdr:cNvPr>
        <xdr:cNvSpPr/>
      </xdr:nvSpPr>
      <xdr:spPr>
        <a:xfrm>
          <a:off x="13577454" y="3896591"/>
          <a:ext cx="199159" cy="978477"/>
        </a:xfrm>
        <a:prstGeom prst="rightBrac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14</xdr:col>
      <xdr:colOff>346363</xdr:colOff>
      <xdr:row>25</xdr:row>
      <xdr:rowOff>51954</xdr:rowOff>
    </xdr:from>
    <xdr:to>
      <xdr:col>17</xdr:col>
      <xdr:colOff>277092</xdr:colOff>
      <xdr:row>26</xdr:row>
      <xdr:rowOff>121227</xdr:rowOff>
    </xdr:to>
    <xdr:sp macro="" textlink="">
      <xdr:nvSpPr>
        <xdr:cNvPr id="3" name="TextBox 2">
          <a:extLst>
            <a:ext uri="{FF2B5EF4-FFF2-40B4-BE49-F238E27FC236}">
              <a16:creationId xmlns:a16="http://schemas.microsoft.com/office/drawing/2014/main" id="{591E582B-EA50-6FD7-E4C7-BED903E0D3DD}"/>
            </a:ext>
          </a:extLst>
        </xdr:cNvPr>
        <xdr:cNvSpPr txBox="1"/>
      </xdr:nvSpPr>
      <xdr:spPr>
        <a:xfrm>
          <a:off x="14131636" y="4260272"/>
          <a:ext cx="2017570" cy="2424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usually not relevant if a GSC FM</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0</xdr:colOff>
      <xdr:row>6</xdr:row>
      <xdr:rowOff>76200</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4295775" y="200025"/>
          <a:ext cx="4267200" cy="962025"/>
        </a:xfrm>
        <a:prstGeom prst="rect">
          <a:avLst/>
        </a:prstGeom>
        <a:solidFill>
          <a:schemeClr val="accent3">
            <a:lumMod val="60000"/>
            <a:lumOff val="40000"/>
          </a:schemeClr>
        </a:solidFill>
        <a:ln w="9525" cmpd="sng">
          <a:solidFill>
            <a:schemeClr val="tx1"/>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tIns="0" rtlCol="0" anchor="t"/>
        <a:lstStyle/>
        <a:p>
          <a:r>
            <a:rPr lang="en-CA" sz="1100"/>
            <a:t>1. Enter data in green shaded</a:t>
          </a:r>
          <a:r>
            <a:rPr lang="en-CA" sz="1100" baseline="0"/>
            <a:t> cells, using GFO sign convention.</a:t>
          </a:r>
        </a:p>
        <a:p>
          <a:r>
            <a:rPr lang="en-CA" sz="1100" baseline="0"/>
            <a:t>2. Less (or more) components of cashflow may be shown, with no impact to chart labels.</a:t>
          </a:r>
        </a:p>
        <a:p>
          <a:r>
            <a:rPr lang="en-CA" sz="1100" baseline="0"/>
            <a:t>3. If fewer (or more) years are required to be charted, then label for last point on DCF line must be updated manually. </a:t>
          </a:r>
          <a:endParaRPr lang="en-CA" sz="1100"/>
        </a:p>
      </xdr:txBody>
    </xdr:sp>
    <xdr:clientData/>
  </xdr:twoCellAnchor>
  <xdr:twoCellAnchor>
    <xdr:from>
      <xdr:col>0</xdr:col>
      <xdr:colOff>145677</xdr:colOff>
      <xdr:row>22</xdr:row>
      <xdr:rowOff>22412</xdr:rowOff>
    </xdr:from>
    <xdr:to>
      <xdr:col>17</xdr:col>
      <xdr:colOff>80309</xdr:colOff>
      <xdr:row>48</xdr:row>
      <xdr:rowOff>124012</xdr:rowOff>
    </xdr:to>
    <xdr:graphicFrame macro="">
      <xdr:nvGraphicFramePr>
        <xdr:cNvPr id="3" name="Chart 1">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1</xdr:row>
      <xdr:rowOff>1</xdr:rowOff>
    </xdr:from>
    <xdr:to>
      <xdr:col>13</xdr:col>
      <xdr:colOff>539750</xdr:colOff>
      <xdr:row>10</xdr:row>
      <xdr:rowOff>127000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5262563" y="238126"/>
          <a:ext cx="4206875" cy="1643062"/>
        </a:xfrm>
        <a:prstGeom prst="rect">
          <a:avLst/>
        </a:prstGeom>
        <a:solidFill>
          <a:srgbClr val="FF0000"/>
        </a:solidFill>
        <a:ln w="9525" cmpd="sng">
          <a:solidFill>
            <a:schemeClr val="tx1"/>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tIns="0" rtlCol="0" anchor="t"/>
        <a:lstStyle/>
        <a:p>
          <a:r>
            <a:rPr lang="en-CA" sz="1100"/>
            <a:t>1. Enter data in green shaded</a:t>
          </a:r>
          <a:r>
            <a:rPr lang="en-CA" sz="1100" baseline="0"/>
            <a:t> cells, ensuring that request is less than upside, and greater than downside.</a:t>
          </a:r>
        </a:p>
        <a:p>
          <a:r>
            <a:rPr lang="en-CA" sz="1100" baseline="0"/>
            <a:t>2. Move vertical line in chart into position between upside and downside, and adjust label positions if necessary.</a:t>
          </a:r>
        </a:p>
        <a:p>
          <a:r>
            <a:rPr lang="en-CA" sz="1100" baseline="0"/>
            <a:t>3. To use less than 9 sensitivities , hide the rows containing unwanted sensitivites, beginning from the bottom - do not delete the rows. </a:t>
          </a:r>
        </a:p>
        <a:p>
          <a:r>
            <a:rPr lang="en-CA" sz="1100" b="1" u="sng" baseline="0"/>
            <a:t>Note:</a:t>
          </a:r>
          <a:r>
            <a:rPr lang="en-CA" sz="1100" b="1" baseline="0"/>
            <a:t> </a:t>
          </a:r>
          <a:r>
            <a:rPr lang="en-CA" sz="1100" baseline="0"/>
            <a:t> Because the data labels are created by formulas, rows should not be deleted, but hidden. Deleting (or inserting) an intermediate row will corrupt the data label formulas.</a:t>
          </a:r>
        </a:p>
      </xdr:txBody>
    </xdr:sp>
    <xdr:clientData/>
  </xdr:twoCellAnchor>
  <xdr:twoCellAnchor>
    <xdr:from>
      <xdr:col>0</xdr:col>
      <xdr:colOff>0</xdr:colOff>
      <xdr:row>18</xdr:row>
      <xdr:rowOff>179294</xdr:rowOff>
    </xdr:from>
    <xdr:to>
      <xdr:col>11</xdr:col>
      <xdr:colOff>539750</xdr:colOff>
      <xdr:row>45</xdr:row>
      <xdr:rowOff>79188</xdr:rowOff>
    </xdr:to>
    <xdr:graphicFrame macro="">
      <xdr:nvGraphicFramePr>
        <xdr:cNvPr id="3" name="Chart 1">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611187</xdr:colOff>
      <xdr:row>11</xdr:row>
      <xdr:rowOff>39688</xdr:rowOff>
    </xdr:from>
    <xdr:to>
      <xdr:col>12</xdr:col>
      <xdr:colOff>7937</xdr:colOff>
      <xdr:row>17</xdr:row>
      <xdr:rowOff>95250</xdr:rowOff>
    </xdr:to>
    <xdr:sp macro="" textlink="">
      <xdr:nvSpPr>
        <xdr:cNvPr id="4" name="TextBox 3">
          <a:extLst>
            <a:ext uri="{FF2B5EF4-FFF2-40B4-BE49-F238E27FC236}">
              <a16:creationId xmlns:a16="http://schemas.microsoft.com/office/drawing/2014/main" id="{FAE063F2-6E6B-1DE3-AAFA-80E3DBD3124C}"/>
            </a:ext>
          </a:extLst>
        </xdr:cNvPr>
        <xdr:cNvSpPr txBox="1"/>
      </xdr:nvSpPr>
      <xdr:spPr>
        <a:xfrm>
          <a:off x="5262562" y="1952626"/>
          <a:ext cx="3063875" cy="690562"/>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Green lines are prepopulated to ensure graph is working, please replace with your own cases and numbers.</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0.55759</cdr:x>
      <cdr:y>0.07049</cdr:y>
    </cdr:from>
    <cdr:to>
      <cdr:x>0.56339</cdr:x>
      <cdr:y>1</cdr:y>
    </cdr:to>
    <cdr:sp macro="" textlink="'Chart2 Tornado'!$O$3">
      <cdr:nvSpPr>
        <cdr:cNvPr id="4" name="Rectangle 3"/>
        <cdr:cNvSpPr/>
      </cdr:nvSpPr>
      <cdr:spPr>
        <a:xfrm xmlns:a="http://schemas.openxmlformats.org/drawingml/2006/main">
          <a:off x="4598521" y="297879"/>
          <a:ext cx="47833" cy="3927952"/>
        </a:xfrm>
        <a:prstGeom xmlns:a="http://schemas.openxmlformats.org/drawingml/2006/main" prst="rect">
          <a:avLst/>
        </a:prstGeom>
        <a:ln xmlns:a="http://schemas.openxmlformats.org/drawingml/2006/main" w="22225"/>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overflow" horzOverflow="overflow" wrap="none" lIns="502920" tIns="0" rIns="0" bIns="0" anchor="b" anchorCtr="1"/>
        <a:lstStyle xmlns:a="http://schemas.openxmlformats.org/drawingml/2006/main"/>
        <a:p xmlns:a="http://schemas.openxmlformats.org/drawingml/2006/main">
          <a:fld id="{6373F022-A239-4D61-8B8C-190628CFC899}" type="TxLink">
            <a:rPr lang="en-US" sz="1200">
              <a:solidFill>
                <a:sysClr val="windowText" lastClr="000000"/>
              </a:solidFill>
            </a:rPr>
            <a:pPr/>
            <a:t>Central Case   NPV $1m, IRR 31%</a:t>
          </a:fld>
          <a:endParaRPr lang="en-US" sz="1200">
            <a:solidFill>
              <a:sysClr val="windowText" lastClr="000000"/>
            </a:solidFill>
          </a:endParaRP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A:\98274\Bk1Inst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99245\245BOQ.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D-Drive\Mani\2001\264-JGC\rev-1\264-Boq-EI-Rev-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rul%20Selvarajan/Projects/Merak_VCE%20Improvement/Project%20Management/Risk%20Register.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bp365.sharepoint.com/Arul%20Selvarajan/Projects/Merak_VCE%20Improvement/Project%20Management/Risk%20Register.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UM00534\d\CSFNEW\AGTATO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UM00534\d\CSFNEW\TANK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MUM00534\d\CHECKE~1\AGTATOR.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sers\vq0830\AppData\Local\Microsoft\Windows\Temporary%20Internet%20Files\Content.Outlook\MHWHD425\i-VGA%20OST%20140T%202404201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Program%20Files\AspenTech\Aspen%20Icarus%202006\Data\Reporter\Templates\UserTemplate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COST%20CONTROL\FAYETTEVILLE%20-%20C-1425\Eng%20Equip%20Cost%20Control%20Worksheet%20C-1425%20Oct%2030,%20200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Program%20Files\AspenTech\Aspen%20Icarus%202004.2\ic_cache\Reporter\Templates\UserTemplat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Program%20Files\AspenTech\Aspen%20Icarus%202006\Data\Reporter\Templates\ProjectTemplate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Program%20Files\AspenTech\Aspen%20Icarus%202004.2\ic_cache\Reporter\Templates\ProjectTemplate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Program%20Files\AspenTech\Aspen%20Icarus%202004.2\ic_cache\Reporter\Templates\ProjectTemplat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DOCUME~1\surlesd\LOCALS~1\Temp\notes6030C8\BISS\Sorona\Monthly%20Cost%20Reports\EE%20list%20for%20Colleen%20to%20commit%20PO'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Documents%20and%20Settings\ngkw\My%20Documents\Vespel\Vespel%20-%20KF\Vespel%20Projects\Plaque\May%202011\TWS0020%20Plaque%20Cost%20Control%20Sheet%202%20Jun%20201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User\Jason\Project%20Control\SZ%20Apollo%20Tandem%20Production%20Line%202%20Project\Cost%20Control\Tracking%20Report\201103\201012\Tandem%20II%20Project_AUC%20&amp;%20MPE%20201012%20calculated.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User\Jason\Project%20Control\SZ%20Apollo%20Tandem%20Production%20Line%202%20Project\Cost%20Control\Tracking%20Report\201103\201102\SHE1285%20Apollo%20Tandem%20Line%202%20Feb,%20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DP\project%20controls\samples\e5-e4%20review%20ppt&amp;%20pie%20chart\Estimate%20review%20pie%20char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V:\Arul%20Selvarajan\Projects%20(Active)\18.TWS0014%202nd%20140T%20OST%20Press%20@%20Vespel\FEL%201\i-VGA%20OST%20140T%2024042013.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Rajeev\c\rajeev\data\RAJMAH\P&amp;G%20Super\Hosmec%20Hosp..xl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nSkills/Standard%20Courses/EEM%20Skilful%20EP%20(NJM)/Pre-loading/Skilful%2046%20Aphrodite%20Risk%20Answer%20Rev%20081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Documents%20and%20Settings\rvutukuru\Local%20Settings\Temporary%20Internet%20Files\OLK8\RK\KERALA\ESTISEWA.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S:\My%20Documents\Old%20Stuff\CR&amp;D\Dashboard\Performance\2007\Performance%20Dashboard%20-%2008.0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98258\materialcomp.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Documents%20and%20Settings\surlesd\My%20Documents\Spendout%20for%20Excel%20with%20Charts%205-2-20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Dupont\Project\Operation%20functional%20work%20stream\STD%20cost%20workstream\costing%20basic%20information_20081016.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A:\98269\269Qty.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Documents%20and%20Settings\rvutukuru\Local%20Settings\Temporary%20Internet%20Files\OLK8\RK\UPDATE\7600PJ\DEC98\JAETTY.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S:\SBU_ALL\ESTIMATION\Muttanna\Fit%20Out\DPP%20Fitout-PD-Muttanna\PD%20Cost%20&amp;%20Schedule%20Reports\FACESHEET\EMEA%20Summary%20Facesheet%20-%20version%203f%20-%20NON%20SAP%20PS.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Users/chinht/Documents/Reporting/Performance/Longterm%20Planning/Strategy%20review%202014-2019/Winning/After%20Dubai/MI_database_winning_final_revisionafterDubai_24Sept.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D:\User\Jason\Project%20Control\Sunrise%20Project\Cost%20Control\Cost%20Report\Tracking%20Cost\200903\Shenzhen%20Thin%20Film%20Phase%201%20Project%20cost%20Mar,09%20draf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V:\Users\vq0830\AppData\Local\Microsoft\Windows\Temporary%20Internet%20Files\Content.Outlook\1V8GW53G\DCNBL%2011001%20Mulan%20Project%20July%20%202013%20Rev%201%20(2).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Product%20Mgmt\Product%20Handbook\2002%20Version\Spec%20Review_May%20'02\Product%20Mgmt\Excel\Pricing\1999\1999_LTK_Pricing_Medford_Halocarbons.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DOCUME~1\nakagash\LOCALS~1\Temp\notesBDC584\WMESN01%205-12-05%20PRELIMINARY%20HANDOUT.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Agni\Anp\KSHEMA%20RA%20BILLS\RA%20Bill%209\My%20Documents\zero.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192.168.4.17\workings%20(e)\Files\BZ001%20-%20RO\Seminar\SEMINAR.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DOCUME~1\leungst\LOCALS~1\Temp\notesBDC584\TFCC%20Economics_Base_v27_HK_PRD080902%20RISK%20BOS%20VGA%20-%20TIM%20091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S:\SBU_ALL\Proj%20Cont\Venu\Projects\Fitout%20Projects\S&amp;P%20Project\Costing\Cost%20Reports\2011\Jan-11\P7551_Lab%20fit%20out_Financial%20Reporting%20-%20Oct-10%20-%20Void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DOCUME~1\leungst\LOCALS~1\Temp\notesBDC584\TFCC%20Economics_Base_v27_HK_PRD08052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K:\DuPont\Washington_WV\Wwa1d032\Project%20Services\Cost\PED%20Reports\Preliminary\2003-03-06%20PWRHs%20PED%20(Prelim).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Users\vq0830\AppData\Local\Microsoft\Windows\Temporary%20Internet%20Files\Content.Outlook\MHWHD425\IVGA%20of%20DPP-SRD1021%20Rev%2004.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Documents%20and%20Settings\User\Local%20Settings\Temporary%20Internet%20Files\OLK1A\Tyco%20Estimates\QR1211\New%20Format.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User\Jason\Project%20Control\SZ%20Apollo%20Tandem%20Production%20Line%201%20Project\Cost%20Control\Cost%20Report\Format%20ref\SHE1185%20C0%20GRZ%20Compounding%20Project%20Mar,%2010%20ver.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Documents%20and%20Settings\nakagash\My%20Documents\Project\Shenzhen\C0\C0-GRZ%20CAC%20Rev%20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G:\My%20Documents\Biju's%20Files\B2002\Tender%20Submission%20Details%202002-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DOCUME~1\dineshpi\LOCALS~1\Temp\notes6030C8\march12\FACESHEET-Non%20US%20(Manual)%20Version%208-27-10rev1With%20E&amp;HO.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d.docs.live.net/Documents%20and%20Settings/Sherley%20Chen/My%20Documents/Dragon%20Project/logistic%20and%20warehouse/forklift%20purchasing/FLT%20Tender%20Evaluation%20Matrix.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D:\Beijing%20office%20expansion\Gate%203%20review\BJ\poject%20code%20DCH%20BJ%20Office%20Expansion%20Project,%20Sep%20201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S:\SBU_ALL\Pilot%20Development%20Block%20(PDB)%20Extension\DPP%20Fitout\Change%20Order\DPP%20FT%20PCO%20%2301%20--%20DeScope%20Componding%20Area_draft.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G:\Documents%20and%20Settings\murty_kota\Local%20Settings\Temporary%20Internet%20Files\OLKA4\Roads%20&amp;%20Drains%20datas(2006-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ndel077\Process-Design\bhushan\2766\ZEN\AGTATOR.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X:\FinDatabase.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V:\SRC\OMS\PO&amp;Contract%20Tracking%20Report\PO&amp;Contract%20Tracking%20List%202010.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Documents%20and%20Settings\rvutukuru\Local%20Settings\Temporary%20Internet%20Files\OLK8\RK\UPDATE\7600PJ\JUN99\PROJTYY.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S:\Documents%20and%20Settings\rvutukuru\Local%20Settings\Temporary%20Internet%20Files\OLK8\ABB\ACH\SCUAUG\7600.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ndel077\Process-Design\bhushan\2766\ZEN\TANK3.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Documents%20and%20Settings\srinivasanv.SRHOUSE.000\Local%20Settings\Temporary%20Internet%20Files\OLKB\Documents%20and%20Settings\udawande\Desktop\orissa_financ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S:\My%20Documents\Nip%20Laminator\Gate%201\IVGA%20Nip%20Roll%20Laminato_V5_20090615.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Documents%20and%20Settings\arulma\My%20Documents\31.My%20Projects\13.Additive%20Capacity%20Increase\Economics\PPA%20&amp;%20HISPOT%20SAk1048%20R6_for%20Gate-1.xls" TargetMode="External"/></Relationships>
</file>

<file path=xl/externalLinks/_rels/externalLink63.xml.rels><?xml version="1.0" encoding="UTF-8" standalone="yes"?>
<Relationships xmlns="http://schemas.openxmlformats.org/package/2006/relationships"><Relationship Id="rId1" Type="http://schemas.microsoft.com/office/2006/relationships/xlExternalLinkPath/xlStartup" Target="&#51068;&#50948;&#45824;&#44032;/My%20Documents/&#44204;&#51201;&#49436;/&#51068;&#50948;&#45824;-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personal\samir_gerenli_ec1_bp_com\Documents\Documents\Current%20Desktop\FMs\OCC%20FM\FM%20OCC%20tracker_v22.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Users\gerenls\Documents\Poseidon\Poseidon%20Scenarios_Financials%20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
      <sheetName val="BP"/>
      <sheetName val="Chart1"/>
      <sheetName val="Dmdsch"/>
      <sheetName val="Consumables"/>
      <sheetName val="Calibration"/>
      <sheetName val="Unit Rate"/>
    </sheetNames>
    <sheetDataSet>
      <sheetData sheetId="0"/>
      <sheetData sheetId="1"/>
      <sheetData sheetId="2" refreshError="1"/>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sheetName val="KP1590_E"/>
      <sheetName val="Consumables"/>
      <sheetName val="index"/>
      <sheetName val="Compare"/>
      <sheetName val="COST SUMMARY"/>
      <sheetName val="Histogram"/>
      <sheetName val="Dmdsch"/>
      <sheetName val="Org-chart"/>
      <sheetName val="Indirect"/>
      <sheetName val="Consequip"/>
      <sheetName val="Calibration"/>
      <sheetName val="Bar Chart"/>
      <sheetName val="CSTANLS "/>
      <sheetName val="case"/>
      <sheetName val="Ref."/>
      <sheetName val="histo-Jakarta Office"/>
      <sheetName val="BP"/>
      <sheetName val="Rev. 0 - 17 April 2008"/>
      <sheetName val="Steel Pkg1"/>
      <sheetName val="COST_SUMMARY"/>
      <sheetName val="Bar_Chart"/>
      <sheetName val="CSTANLS_"/>
      <sheetName val="Ref_"/>
      <sheetName val="histo-Jakarta_Office"/>
      <sheetName val="Rev__0_-_17_April_2008"/>
      <sheetName val="COST_SUMMARY1"/>
      <sheetName val="Bar_Chart1"/>
      <sheetName val="CSTANLS_1"/>
      <sheetName val="Ref_1"/>
      <sheetName val="histo-Jakarta_Office1"/>
      <sheetName val="Rev__0_-_17_April_20081"/>
      <sheetName val="costing_CV"/>
      <sheetName val="costing_ESDV"/>
      <sheetName val="costing_FE"/>
      <sheetName val="costing_Misc"/>
      <sheetName val="costing_MOV"/>
      <sheetName val="costing_Press"/>
      <sheetName val="I &amp; C"/>
      <sheetName val="NOTE."/>
      <sheetName val="Abstract"/>
      <sheetName val="Workers-Salary"/>
      <sheetName val="STAFF"/>
      <sheetName val="TFAC"/>
      <sheetName val="POWER"/>
      <sheetName val="CEPT"/>
      <sheetName val="TMAT"/>
      <sheetName val="Consu - Struc &amp; Plate"/>
      <sheetName val="Pipe-Cons"/>
      <sheetName val="MOB-DE MOB"/>
      <sheetName val="ANC"/>
      <sheetName val="ANC - Elect"/>
      <sheetName val="ASC"/>
      <sheetName val="Mat Handlg"/>
      <sheetName val="M &amp; E Supply &amp; sub"/>
      <sheetName val="MD Pln - ME"/>
      <sheetName val="Comm Curve"/>
      <sheetName val="Labels"/>
      <sheetName val="PRICE-COMP"/>
      <sheetName val="철근단면적"/>
      <sheetName val="sheet1"/>
      <sheetName val="INST"/>
      <sheetName val="CIVIL"/>
      <sheetName val="Modes"/>
      <sheetName val="Load List2"/>
      <sheetName val="Electrical Load List"/>
      <sheetName val="Insts"/>
      <sheetName val="Quantity"/>
      <sheetName val="1"/>
      <sheetName val="F-302"/>
      <sheetName val="LV induction motors"/>
      <sheetName val="cal"/>
      <sheetName val="FIRE"/>
      <sheetName val="CPP Process Mhr by SFN"/>
      <sheetName val="PIL_HO_Site Rates"/>
      <sheetName val="Sub-Con &amp; TPS"/>
      <sheetName val="CONTENTS"/>
      <sheetName val="손익차9월2"/>
      <sheetName val="Definitions"/>
      <sheetName val="COST_SUMMARY2"/>
      <sheetName val="Bar_Chart2"/>
      <sheetName val="CSTANLS_2"/>
      <sheetName val="Ref_2"/>
      <sheetName val="histo-Jakarta_Office2"/>
      <sheetName val="Rev__0_-_17_April_20082"/>
      <sheetName val="Steel_Pkg1"/>
      <sheetName val="I_&amp;_C"/>
      <sheetName val="NOTE_"/>
      <sheetName val="Consu_-_Struc_&amp;_Plate"/>
      <sheetName val="MOB-DE_MOB"/>
      <sheetName val="ANC_-_Elect"/>
      <sheetName val="Mat_Handlg"/>
      <sheetName val="M_&amp;_E_Supply_&amp;_sub"/>
      <sheetName val="MD_Pln_-_ME"/>
      <sheetName val="Comm_Curve"/>
      <sheetName val="manhour"/>
      <sheetName val="Signatures"/>
      <sheetName val="WBS"/>
      <sheetName val="Definations"/>
      <sheetName val="CONTENTS "/>
      <sheetName val="RHiCOM BOM"/>
      <sheetName val="COST_SUMMARY3"/>
      <sheetName val="Bar_Chart3"/>
      <sheetName val="CSTANLS_3"/>
      <sheetName val="Ref_3"/>
      <sheetName val="histo-Jakarta_Office3"/>
      <sheetName val="Rev__0_-_17_April_20083"/>
      <sheetName val="Steel_Pkg11"/>
      <sheetName val="Comm_Curve1"/>
      <sheetName val="I_&amp;_C1"/>
      <sheetName val="NOTE_1"/>
      <sheetName val="Consu_-_Struc_&amp;_Plate1"/>
      <sheetName val="MOB-DE_MOB1"/>
      <sheetName val="ANC_-_Elect1"/>
      <sheetName val="Mat_Handlg1"/>
      <sheetName val="M_&amp;_E_Supply_&amp;_sub1"/>
      <sheetName val="MD_Pln_-_ME1"/>
      <sheetName val="Load_List2"/>
      <sheetName val="Electrical_Load_List"/>
      <sheetName val="LV_induction_motors"/>
      <sheetName val="PIL_HO_Site_Rates"/>
      <sheetName val="CPP_Process_Mhr_by_SFN"/>
      <sheetName val="Sub-Con_&amp;_TPS"/>
      <sheetName val="245BOQ"/>
      <sheetName val="Testing"/>
      <sheetName val="#REF"/>
      <sheetName val="Cable &amp; Motor Data"/>
      <sheetName val=""/>
      <sheetName val="Labour Rates"/>
      <sheetName val="Section Lib."/>
      <sheetName val="Sheet2"/>
      <sheetName val="Sheet3"/>
      <sheetName val="Legend"/>
      <sheetName val="Defination"/>
      <sheetName val="Code1"/>
      <sheetName val="Summary1"/>
      <sheetName val="SPL-MS"/>
      <sheetName val="ISO-WISE TP NO"/>
      <sheetName val="PMS-WBS"/>
      <sheetName val="BOX SHT"/>
      <sheetName val="COST_SUMMARY4"/>
      <sheetName val="Bar_Chart4"/>
      <sheetName val="CSTANLS_4"/>
      <sheetName val="Ref_4"/>
      <sheetName val="histo-Jakarta_Office4"/>
      <sheetName val="Rev__0_-_17_April_20084"/>
      <sheetName val="Steel_Pkg12"/>
      <sheetName val="I_&amp;_C2"/>
      <sheetName val="NOTE_2"/>
      <sheetName val="Consu_-_Struc_&amp;_Plate2"/>
      <sheetName val="MOB-DE_MOB2"/>
      <sheetName val="ANC_-_Elect2"/>
      <sheetName val="Mat_Handlg2"/>
      <sheetName val="M_&amp;_E_Supply_&amp;_sub2"/>
      <sheetName val="MD_Pln_-_ME2"/>
      <sheetName val="Comm_Curve2"/>
      <sheetName val="Load_List21"/>
      <sheetName val="Electrical_Load_List1"/>
      <sheetName val="LV_induction_motors1"/>
      <sheetName val="PIL_HO_Site_Rates1"/>
      <sheetName val="CPP_Process_Mhr_by_SFN1"/>
      <sheetName val="Sub-Con_&amp;_TPS1"/>
      <sheetName val="CONTENTS_"/>
      <sheetName val="RHiCOM_BOM"/>
      <sheetName val="Drop Down option"/>
      <sheetName val="StaticValue"/>
      <sheetName val="Area"/>
      <sheetName val="CriticalIndex"/>
      <sheetName val="Classification"/>
      <sheetName val="Department"/>
      <sheetName val="Category"/>
      <sheetName val="COST_SUMMARY5"/>
      <sheetName val="Bar_Chart5"/>
      <sheetName val="CSTANLS_5"/>
      <sheetName val="Ref_5"/>
      <sheetName val="histo-Jakarta_Office5"/>
      <sheetName val="Rev__0_-_17_April_20085"/>
      <sheetName val="Steel_Pkg13"/>
      <sheetName val="I_&amp;_C3"/>
      <sheetName val="NOTE_3"/>
      <sheetName val="Consu_-_Struc_&amp;_Plate3"/>
      <sheetName val="MOB-DE_MOB3"/>
      <sheetName val="ANC_-_Elect3"/>
      <sheetName val="Mat_Handlg3"/>
      <sheetName val="M_&amp;_E_Supply_&amp;_sub3"/>
      <sheetName val="MD_Pln_-_ME3"/>
      <sheetName val="Comm_Curve3"/>
      <sheetName val="Load_List22"/>
      <sheetName val="Electrical_Load_List2"/>
      <sheetName val="LV_induction_motors2"/>
      <sheetName val="PIL_HO_Site_Rates2"/>
      <sheetName val="CPP_Process_Mhr_by_SFN2"/>
      <sheetName val="Sub-Con_&amp;_TPS2"/>
      <sheetName val="COST_SUMMARY6"/>
      <sheetName val="Bar_Chart6"/>
      <sheetName val="CSTANLS_6"/>
      <sheetName val="Ref_6"/>
      <sheetName val="histo-Jakarta_Office6"/>
      <sheetName val="Rev__0_-_17_April_20086"/>
      <sheetName val="Steel_Pkg14"/>
      <sheetName val="I_&amp;_C4"/>
      <sheetName val="NOTE_4"/>
      <sheetName val="Consu_-_Struc_&amp;_Plate4"/>
      <sheetName val="MOB-DE_MOB4"/>
      <sheetName val="ANC_-_Elect4"/>
      <sheetName val="Mat_Handlg4"/>
      <sheetName val="M_&amp;_E_Supply_&amp;_sub4"/>
      <sheetName val="MD_Pln_-_ME4"/>
      <sheetName val="Comm_Curve4"/>
      <sheetName val="Load_List23"/>
      <sheetName val="Electrical_Load_List3"/>
      <sheetName val="LV_induction_motors3"/>
      <sheetName val="PIL_HO_Site_Rates3"/>
      <sheetName val="CPP_Process_Mhr_by_SFN3"/>
      <sheetName val="Sub-Con_&amp;_TPS3"/>
      <sheetName val="COST_SUMMARY7"/>
      <sheetName val="Bar_Chart7"/>
      <sheetName val="CSTANLS_7"/>
      <sheetName val="Ref_7"/>
      <sheetName val="histo-Jakarta_Office7"/>
      <sheetName val="Rev__0_-_17_April_20087"/>
      <sheetName val="Steel_Pkg15"/>
      <sheetName val="I_&amp;_C5"/>
      <sheetName val="NOTE_5"/>
      <sheetName val="Consu_-_Struc_&amp;_Plate5"/>
      <sheetName val="MOB-DE_MOB5"/>
      <sheetName val="ANC_-_Elect5"/>
      <sheetName val="Mat_Handlg5"/>
      <sheetName val="M_&amp;_E_Supply_&amp;_sub5"/>
      <sheetName val="MD_Pln_-_ME5"/>
      <sheetName val="Comm_Curve5"/>
      <sheetName val="Load_List24"/>
      <sheetName val="Electrical_Load_List4"/>
      <sheetName val="LV_induction_motors4"/>
      <sheetName val="PIL_HO_Site_Rates4"/>
      <sheetName val="CPP_Process_Mhr_by_SFN4"/>
      <sheetName val="Sub-Con_&amp;_TPS4"/>
      <sheetName val="CONTENTS_1"/>
      <sheetName val="RHiCOM_BOM1"/>
      <sheetName val="BQ"/>
      <sheetName val="h-013211-2"/>
      <sheetName val="Cable_&amp;_Motor_Data"/>
      <sheetName val="Labour_Rates"/>
      <sheetName val="Section_Lib_"/>
      <sheetName val="ISO-WISE_TP_NO"/>
      <sheetName val="BOX_SHT"/>
      <sheetName val="Drop_Down_option"/>
      <sheetName val="CONTENTS_2"/>
      <sheetName val="RHiCOM_BOM2"/>
      <sheetName val="Cable_&amp;_Motor_Data1"/>
      <sheetName val="Labour_Rates1"/>
      <sheetName val="Section_Lib_1"/>
      <sheetName val="ISO-WISE_TP_NO1"/>
      <sheetName val="BOX_SHT1"/>
      <sheetName val="Drop_Down_option1"/>
      <sheetName val="CONTENTS_3"/>
      <sheetName val="RHiCOM_BOM3"/>
      <sheetName val="Cable_&amp;_Motor_Data2"/>
      <sheetName val="Labour_Rates2"/>
      <sheetName val="Section_Lib_2"/>
      <sheetName val="ISO-WISE_TP_NO2"/>
      <sheetName val="BOX_SHT2"/>
      <sheetName val="Drop_Down_option2"/>
      <sheetName val="COST_SUMMARY8"/>
      <sheetName val="Bar_Chart8"/>
      <sheetName val="CSTANLS_8"/>
      <sheetName val="Ref_8"/>
      <sheetName val="histo-Jakarta_Office8"/>
      <sheetName val="Rev__0_-_17_April_20088"/>
      <sheetName val="Steel_Pkg16"/>
      <sheetName val="Comm_Curve6"/>
      <sheetName val="I_&amp;_C6"/>
      <sheetName val="NOTE_6"/>
      <sheetName val="Consu_-_Struc_&amp;_Plate6"/>
      <sheetName val="MOB-DE_MOB6"/>
      <sheetName val="ANC_-_Elect6"/>
      <sheetName val="Mat_Handlg6"/>
      <sheetName val="M_&amp;_E_Supply_&amp;_sub6"/>
      <sheetName val="MD_Pln_-_ME6"/>
      <sheetName val="Electrical_Load_List5"/>
      <sheetName val="Load_List25"/>
      <sheetName val="LV_induction_motors5"/>
      <sheetName val="PIL_HO_Site_Rates5"/>
      <sheetName val="CPP_Process_Mhr_by_SFN5"/>
      <sheetName val="Sub-Con_&amp;_TPS5"/>
      <sheetName val="CONTENTS_4"/>
      <sheetName val="RHiCOM_BOM4"/>
      <sheetName val="Cable_&amp;_Motor_Data3"/>
      <sheetName val="Labour_Rates3"/>
      <sheetName val="Section_Lib_3"/>
      <sheetName val="ISO-WISE_TP_NO3"/>
      <sheetName val="BOX_SHT3"/>
      <sheetName val="Drop_Down_option3"/>
      <sheetName val="부안일위"/>
      <sheetName val="Base_Data"/>
      <sheetName val="가도공"/>
      <sheetName val="BILL"/>
      <sheetName val="COST_SUMMARY9"/>
      <sheetName val="Bar_Chart9"/>
      <sheetName val="CSTANLS_9"/>
      <sheetName val="Ref_9"/>
      <sheetName val="histo-Jakarta_Office9"/>
      <sheetName val="Rev__0_-_17_April_20089"/>
      <sheetName val="Steel_Pkg17"/>
      <sheetName val="I_&amp;_C7"/>
      <sheetName val="NOTE_7"/>
      <sheetName val="Consu_-_Struc_&amp;_Plate7"/>
      <sheetName val="MOB-DE_MOB7"/>
      <sheetName val="ANC_-_Elect7"/>
      <sheetName val="Mat_Handlg7"/>
      <sheetName val="M_&amp;_E_Supply_&amp;_sub7"/>
      <sheetName val="MD_Pln_-_ME7"/>
      <sheetName val="Comm_Curve7"/>
      <sheetName val="Load_List26"/>
      <sheetName val="Electrical_Load_List6"/>
      <sheetName val="LV_induction_motors6"/>
      <sheetName val="PIL_HO_Site_Rates6"/>
      <sheetName val="CPP_Process_Mhr_by_SFN6"/>
      <sheetName val="Sub-Con_&amp;_TPS6"/>
      <sheetName val="Dropdown List"/>
      <sheetName val="Definition"/>
      <sheetName val="Rates"/>
      <sheetName val="New Summary"/>
      <sheetName val="Project Details"/>
      <sheetName val="IPL_SCHEDULE"/>
      <sheetName val="ACTDATA"/>
      <sheetName val="FitOutConfCentre"/>
      <sheetName val="집계표(OPTION)"/>
      <sheetName val="List"/>
      <sheetName val="Data"/>
      <sheetName val="Cover"/>
      <sheetName val="DWTables"/>
      <sheetName val="Ranges"/>
      <sheetName val="015-Civil Bill"/>
      <sheetName val="Drop Down Category"/>
      <sheetName val="ITB COST"/>
      <sheetName val="PRECAST lightconc-II"/>
      <sheetName val="Manpower"/>
      <sheetName val="Tender data"/>
      <sheetName val="CalcRel"/>
      <sheetName val="FR"/>
      <sheetName val="GTP18C"/>
      <sheetName val="Summary"/>
      <sheetName val="System Information"/>
      <sheetName val="TPS Performance Model"/>
      <sheetName val="pri-com"/>
      <sheetName val="PRICE COMP"/>
      <sheetName val="Notes for BOQ"/>
      <sheetName val="Labour"/>
      <sheetName val="Lists"/>
      <sheetName val="Units"/>
      <sheetName val="Take-Off"/>
      <sheetName val="name"/>
      <sheetName val="BQ_Equip_Pipe"/>
      <sheetName val="PipWT"/>
      <sheetName val="GRAND REKAP"/>
      <sheetName val="BQ ARS"/>
      <sheetName val="Material"/>
      <sheetName val="Pipe"/>
      <sheetName val="BOQ건축"/>
      <sheetName val="Coupling"/>
      <sheetName val="Wellhrs"/>
      <sheetName val="Proc Reg"/>
      <sheetName val="JI 2039"/>
      <sheetName val="nxR8i"/>
      <sheetName val="PMT"/>
      <sheetName val="REINF."/>
      <sheetName val="LOADS"/>
      <sheetName val="7-2"/>
      <sheetName val="取费表"/>
      <sheetName val="静止设备"/>
      <sheetName val="Page 1"/>
      <sheetName val="CONTENTS_5"/>
      <sheetName val="RHiCOM_BOM5"/>
      <sheetName val="Cable_&amp;_Motor_Data4"/>
      <sheetName val="Labour_Rates4"/>
      <sheetName val="Section_Lib_4"/>
      <sheetName val="ISO-WISE_TP_NO4"/>
      <sheetName val="BOX_SHT4"/>
      <sheetName val="Drop_Down_option4"/>
      <sheetName val="Factor -local"/>
      <sheetName val="Factor- cables"/>
      <sheetName val="SALA-002"/>
      <sheetName val="Analysis"/>
      <sheetName val="Feuil2"/>
      <sheetName val="dv_info"/>
      <sheetName val="Matrix"/>
      <sheetName val="BOQ"/>
      <sheetName val="Flanges &amp; Fittings"/>
      <sheetName val="Estimation"/>
      <sheetName val="BSR Over All"/>
      <sheetName val="Costing"/>
      <sheetName val="General Input Section"/>
      <sheetName val="Summary Totals"/>
      <sheetName val="Client Summary Sheet"/>
      <sheetName val="Part 2 - Structural"/>
      <sheetName val="Alternator"/>
      <sheetName val="Information"/>
      <sheetName val="COST_SUMMARY10"/>
      <sheetName val="Bar_Chart10"/>
      <sheetName val="CSTANLS_10"/>
      <sheetName val="Ref_10"/>
      <sheetName val="histo-Jakarta_Office10"/>
      <sheetName val="Rev__0_-_17_April_200810"/>
      <sheetName val="Steel_Pkg18"/>
      <sheetName val="I_&amp;_C8"/>
      <sheetName val="NOTE_8"/>
      <sheetName val="Consu_-_Struc_&amp;_Plate8"/>
      <sheetName val="MOB-DE_MOB8"/>
      <sheetName val="ANC_-_Elect8"/>
      <sheetName val="Mat_Handlg8"/>
      <sheetName val="M_&amp;_E_Supply_&amp;_sub8"/>
      <sheetName val="MD_Pln_-_ME8"/>
      <sheetName val="Comm_Curve8"/>
      <sheetName val="Load_List27"/>
      <sheetName val="Electrical_Load_List7"/>
      <sheetName val="LV_induction_motors7"/>
      <sheetName val="PIL_HO_Site_Rates7"/>
      <sheetName val="CPP_Process_Mhr_by_SFN7"/>
      <sheetName val="Sub-Con_&amp;_TPS7"/>
      <sheetName val="Dropdown_List"/>
      <sheetName val="015-Civil_Bill"/>
      <sheetName val="New_Summary"/>
      <sheetName val="Project_Details"/>
      <sheetName val="ITB_COST"/>
      <sheetName val="PRECAST_lightconc-II"/>
      <sheetName val="Tender_data"/>
      <sheetName val="Drop_Down_Category"/>
      <sheetName val="JI_2039"/>
      <sheetName val="System_Information"/>
      <sheetName val="TPS_Performance_Model"/>
      <sheetName val="PRICE_COMP"/>
      <sheetName val="Notes_for_BOQ"/>
      <sheetName val="Proc_Reg"/>
      <sheetName val="BID"/>
      <sheetName val="11.0 to 12.0"/>
      <sheetName val="15.0"/>
      <sheetName val="16.0"/>
      <sheetName val="1.0 to 10.0"/>
      <sheetName val="17.0"/>
      <sheetName val="13.0 - 14.0 &amp; 18.0"/>
      <sheetName val="inter"/>
      <sheetName val="Estimate"/>
      <sheetName val="Major"/>
      <sheetName val="dnc4"/>
      <sheetName val="INPUT HARIAN"/>
      <sheetName val="RAB"/>
      <sheetName val="BM"/>
      <sheetName val="cover "/>
      <sheetName val="CONTENTS_6"/>
      <sheetName val="RHiCOM_BOM6"/>
      <sheetName val="Cable_&amp;_Motor_Data5"/>
      <sheetName val="Labour_Rates5"/>
      <sheetName val="Section_Lib_5"/>
      <sheetName val="ISO-WISE_TP_NO5"/>
      <sheetName val="BOX_SHT5"/>
      <sheetName val="Drop_Down_option5"/>
      <sheetName val="MSH51C"/>
      <sheetName val="Foglio1"/>
      <sheetName val="56_D SUMMARY"/>
      <sheetName val="Cashflow Analysis"/>
      <sheetName val="Coding"/>
      <sheetName val="COST_SUMMARY11"/>
      <sheetName val="Bar_Chart11"/>
      <sheetName val="CSTANLS_11"/>
      <sheetName val="Ref_11"/>
      <sheetName val="histo-Jakarta_Office11"/>
      <sheetName val="Rev__0_-_17_April_200811"/>
      <sheetName val="Steel_Pkg19"/>
      <sheetName val="I_&amp;_C9"/>
      <sheetName val="NOTE_9"/>
      <sheetName val="Consu_-_Struc_&amp;_Plate9"/>
      <sheetName val="MOB-DE_MOB9"/>
      <sheetName val="ANC_-_Elect9"/>
      <sheetName val="Mat_Handlg9"/>
      <sheetName val="M_&amp;_E_Supply_&amp;_sub9"/>
      <sheetName val="MD_Pln_-_ME9"/>
      <sheetName val="Comm_Curve9"/>
      <sheetName val="Load_List28"/>
      <sheetName val="LV_induction_motors8"/>
      <sheetName val="Electrical_Load_List8"/>
      <sheetName val="PIL_HO_Site_Rates8"/>
      <sheetName val="CPP_Process_Mhr_by_SFN8"/>
      <sheetName val="Sub-Con_&amp;_TPS8"/>
      <sheetName val="New_Summary1"/>
      <sheetName val="Project_Details1"/>
      <sheetName val="Dropdown_List1"/>
      <sheetName val="015-Civil_Bill1"/>
      <sheetName val="Part1-P+Gs"/>
      <sheetName val="Part 3 - Cladding"/>
      <sheetName val="Part 4 -Mech"/>
      <sheetName val="Part 5 - piping"/>
      <sheetName val="part 7 - chutes-dedusting"/>
      <sheetName val="part 8 - thermal insul."/>
      <sheetName val="BOQ (11517)"/>
      <sheetName val="BSR"/>
      <sheetName val="Absorber Packing Log"/>
      <sheetName val="DATA_DRAWING"/>
      <sheetName val="COST_SUMMARY12"/>
      <sheetName val="Bar_Chart12"/>
      <sheetName val="CSTANLS_12"/>
      <sheetName val="Ref_12"/>
      <sheetName val="histo-Jakarta_Office12"/>
      <sheetName val="Rev__0_-_17_April_200812"/>
      <sheetName val="Steel_Pkg110"/>
      <sheetName val="I_&amp;_C10"/>
      <sheetName val="NOTE_10"/>
      <sheetName val="Consu_-_Struc_&amp;_Plate10"/>
      <sheetName val="MOB-DE_MOB10"/>
      <sheetName val="ANC_-_Elect10"/>
      <sheetName val="Mat_Handlg10"/>
      <sheetName val="M_&amp;_E_Supply_&amp;_sub10"/>
      <sheetName val="MD_Pln_-_ME10"/>
      <sheetName val="Comm_Curve10"/>
      <sheetName val="Load_List29"/>
      <sheetName val="Electrical_Load_List9"/>
      <sheetName val="LV_induction_motors9"/>
      <sheetName val="PIL_HO_Site_Rates9"/>
      <sheetName val="CPP_Process_Mhr_by_SFN9"/>
      <sheetName val="Sub-Con_&amp;_TPS9"/>
      <sheetName val="CONTENTS_7"/>
      <sheetName val="RHiCOM_BOM7"/>
      <sheetName val="Cable_&amp;_Motor_Data6"/>
      <sheetName val="Labour_Rates6"/>
      <sheetName val="Section_Lib_6"/>
      <sheetName val="ISO-WISE_TP_NO6"/>
      <sheetName val="BOX_SHT6"/>
      <sheetName val="Drop_Down_option6"/>
      <sheetName val="Dropdown_List2"/>
      <sheetName val="015-Civil_Bill2"/>
      <sheetName val="ITB_COST1"/>
      <sheetName val="PRECAST_lightconc-II1"/>
      <sheetName val="Tender_data1"/>
      <sheetName val="New_Summary2"/>
      <sheetName val="Project_Details2"/>
      <sheetName val="Drop_Down_Category1"/>
      <sheetName val="JI_20391"/>
      <sheetName val="System_Information1"/>
      <sheetName val="TPS_Performance_Model1"/>
      <sheetName val="PRICE_COMP1"/>
      <sheetName val="Notes_for_BOQ1"/>
      <sheetName val="Proc_Reg1"/>
      <sheetName val="REINF_"/>
      <sheetName val="Factor_-local"/>
      <sheetName val="Factor-_cables"/>
      <sheetName val="Page_1"/>
      <sheetName val="GRAND_REKAP"/>
      <sheetName val="BQ_ARS"/>
      <sheetName val="11_0_to_12_0"/>
      <sheetName val="15_0"/>
      <sheetName val="16_0"/>
      <sheetName val="1_0_to_10_0"/>
      <sheetName val="17_0"/>
      <sheetName val="13_0_-_14_0_&amp;_18_0"/>
      <sheetName val="INPUT_HARIAN"/>
      <sheetName val="BSR_Over_All"/>
      <sheetName val="General_Input_Section"/>
      <sheetName val="Summary_Totals"/>
      <sheetName val="Client_Summary_Sheet"/>
      <sheetName val="Part_2_-_Structural"/>
      <sheetName val="Flanges_&amp;_Fittings"/>
      <sheetName val="cover_"/>
      <sheetName val="56_D_SUMMARY"/>
      <sheetName val="Cashflow_Analysis"/>
      <sheetName val="Absorber_Packing_Log"/>
      <sheetName val="Part_3_-_Cladding"/>
      <sheetName val="Part_4_-Mech"/>
      <sheetName val="Part_5_-_piping"/>
      <sheetName val="part_7_-_chutes-dedusting"/>
      <sheetName val="part_8_-_thermal_insul_"/>
      <sheetName val="BOQ_(11517)"/>
      <sheetName val="Sheet4"/>
      <sheetName val="Rekap Biaya"/>
      <sheetName val="BAG-2"/>
      <sheetName val="CORAT"/>
      <sheetName val="760-C"/>
      <sheetName val="GeneralFeedDevices_Labels"/>
      <sheetName val="CalmingSection_Labels"/>
      <sheetName val="Welcome"/>
      <sheetName val="산근"/>
      <sheetName val="Handrails"/>
      <sheetName val="System"/>
      <sheetName val="ID"/>
      <sheetName val="WELDER"/>
      <sheetName val="W.NO"/>
      <sheetName val="NEW-PANEL"/>
      <sheetName val="EQTable"/>
      <sheetName val="Day work"/>
      <sheetName val="اهلاك"/>
      <sheetName val="갑지"/>
      <sheetName val="실행내역서 "/>
      <sheetName val="예산작성기준(전기)"/>
      <sheetName val="laroux"/>
      <sheetName val="Fee Rate Summary"/>
      <sheetName val="CIV-DWG-ADA"/>
      <sheetName val="CIV-DOC-ADA"/>
      <sheetName val="Items"/>
      <sheetName val="Sizes"/>
      <sheetName val="Calendar"/>
      <sheetName val="Overall MTO - 20191001 (old)"/>
      <sheetName val="MTO for BMBQ"/>
      <sheetName val="PCWBS Map"/>
      <sheetName val="Paint&amp;Ins"/>
      <sheetName val="reff"/>
      <sheetName val="Valve"/>
      <sheetName val="BQ Reff"/>
      <sheetName val="Sum of Comparison-20191007"/>
      <sheetName val="NPS"/>
      <sheetName val="Joint No."/>
      <sheetName val="Unit Weight"/>
      <sheetName val="Detail PMC"/>
      <sheetName val="Detail PMC (for full desc)"/>
      <sheetName val="Bolt Size"/>
      <sheetName val="NDE Req"/>
      <sheetName val="DB-FILM"/>
      <sheetName val="DB-EQV"/>
      <sheetName val="MLCL"/>
      <sheetName val="DB-Weight"/>
      <sheetName val="DB-EQL"/>
      <sheetName val="DB-BOLT SIZE"/>
      <sheetName val="REQ LIST"/>
      <sheetName val="DESC NEW PMC"/>
      <sheetName val="MTO_2020.03.11"/>
      <sheetName val="BM_PIVOT"/>
      <sheetName val="BQ_2020.03.03"/>
      <sheetName val="MTO_2020.03.03 (VDR)"/>
      <sheetName val="BQ_2020.03.03 (VDR)"/>
      <sheetName val="WEIGHT &amp; PAINT"/>
      <sheetName val="FW JGC"/>
      <sheetName val="FW VENDOR"/>
      <sheetName val="BQ_2020.02.25"/>
      <sheetName val="BM_PIPE,FITTING&amp;FLG"/>
      <sheetName val="BM_GASKET"/>
      <sheetName val="BM_BOLT &amp; NUT"/>
      <sheetName val="RT TABLE"/>
      <sheetName val="BRANCH &amp; REDUCING TABLE"/>
      <sheetName val="DESC OLD PMC"/>
      <sheetName val="PMC-OLD"/>
      <sheetName val="PMC-MLCL"/>
      <sheetName val="SHORT CODE LIST"/>
      <sheetName val="정부노임단가"/>
      <sheetName val="Memb Schd"/>
      <sheetName val="daf-3(OK)"/>
      <sheetName val="daf-7(OK)"/>
      <sheetName val="HRG BHN"/>
      <sheetName val="Elektrikal"/>
      <sheetName val="1_p.sum"/>
      <sheetName val="017SR99"/>
      <sheetName val="찍기"/>
      <sheetName val="표지"/>
      <sheetName val="대비표"/>
      <sheetName val="MANPOWER-RATES"/>
      <sheetName val="EQUIPMENT-PRICE"/>
      <sheetName val="Instrument Proc"/>
      <sheetName val="MTO Civil Work"/>
      <sheetName val="Sched 3 (Construction)"/>
      <sheetName val="Sched 1 (Engineering)"/>
      <sheetName val="Sched 2 (Procurement "/>
      <sheetName val="Iuran Nopember 2002"/>
      <sheetName val="기계내역서"/>
      <sheetName val="Sch.6"/>
      <sheetName val="Lamp 1 - Unit Rate"/>
      <sheetName val="WT-LIST"/>
      <sheetName val="실행철강하도"/>
      <sheetName val="Currency Rate"/>
      <sheetName val="5-Peralatan"/>
      <sheetName val="DHSD"/>
      <sheetName val="Kuantitas &amp; Harga"/>
      <sheetName val="HV SWITCHBOARD"/>
      <sheetName val="CABLE DATA"/>
      <sheetName val="Instrumentation&amp;Automation"/>
      <sheetName val="Form MF - 2"/>
      <sheetName val="BS"/>
      <sheetName val="Titel"/>
      <sheetName val="IND MP"/>
      <sheetName val="Budget-Piping"/>
      <sheetName val="data sheet"/>
      <sheetName val="Curves"/>
      <sheetName val="Note"/>
      <sheetName val="Heads"/>
      <sheetName val="Dbase"/>
      <sheetName val="Tables"/>
      <sheetName val="Page 2"/>
      <sheetName val="BQ Working"/>
      <sheetName val="Drawing Parameters Summary"/>
      <sheetName val="DSLP"/>
      <sheetName val="Proposal information"/>
      <sheetName val="Prefabric&amp; Modular"/>
      <sheetName val="CASH"/>
      <sheetName val="Codes,..."/>
      <sheetName val="MTO"/>
      <sheetName val="INNER TANK"/>
      <sheetName val="IPE"/>
      <sheetName val="CostDB"/>
      <sheetName val="Base Case"/>
      <sheetName val="STRUCTURALS"/>
      <sheetName val="EQ"/>
      <sheetName val="Personnel"/>
      <sheetName val="BQMP"/>
      <sheetName val="MP Sep-Restime"/>
      <sheetName val="valve data"/>
      <sheetName val="DRUM"/>
      <sheetName val="mkripa cap"/>
      <sheetName val="jala cap"/>
      <sheetName val="Rev Sheet"/>
      <sheetName val="INDEX-1"/>
      <sheetName val="INDEX-2"/>
      <sheetName val="FMS VDRL"/>
      <sheetName val="Revision sheet"/>
      <sheetName val="Q&amp;pl-V"/>
      <sheetName val="Page1"/>
      <sheetName val="BILAL2"/>
      <sheetName val="Part of Facility - Area Code"/>
      <sheetName val="ELEC_01"/>
      <sheetName val="标准"/>
      <sheetName val="PBS"/>
      <sheetName val="70kVA"/>
      <sheetName val="Inf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refreshError="1"/>
      <sheetData sheetId="240" refreshError="1"/>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refreshError="1"/>
      <sheetData sheetId="295" refreshError="1"/>
      <sheetData sheetId="296" refreshError="1"/>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sheetData sheetId="374"/>
      <sheetData sheetId="375"/>
      <sheetData sheetId="376"/>
      <sheetData sheetId="377"/>
      <sheetData sheetId="378"/>
      <sheetData sheetId="379"/>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sheetData sheetId="452"/>
      <sheetData sheetId="453"/>
      <sheetData sheetId="454"/>
      <sheetData sheetId="455"/>
      <sheetData sheetId="456"/>
      <sheetData sheetId="457" refreshError="1"/>
      <sheetData sheetId="458"/>
      <sheetData sheetId="459" refreshError="1"/>
      <sheetData sheetId="460" refreshError="1"/>
      <sheetData sheetId="461" refreshError="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refreshError="1"/>
      <sheetData sheetId="641"/>
      <sheetData sheetId="642"/>
      <sheetData sheetId="643"/>
      <sheetData sheetId="644"/>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sheetData sheetId="707"/>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
      <sheetName val="7-2"/>
      <sheetName val="7-3"/>
      <sheetName val="7-4"/>
      <sheetName val="7-5"/>
      <sheetName val="7-6"/>
      <sheetName val="7-7"/>
      <sheetName val="Direct"/>
      <sheetName val="8-2"/>
      <sheetName val="8-3"/>
      <sheetName val="8-4"/>
      <sheetName val="8-5"/>
      <sheetName val="A50110"/>
      <sheetName val="Compare"/>
      <sheetName val="Cost-A50120"/>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 Register"/>
    </sheetNames>
    <definedNames>
      <definedName name="___ann6" refersTo="#REF!"/>
      <definedName name="__ann6" refersTo="#REF!"/>
      <definedName name="_ann6" refersTo="#REF!"/>
      <definedName name="aaa" refersTo="#REF!"/>
      <definedName name="aaaaa" refersTo="#REF!"/>
      <definedName name="abc" refersTo="#REF!"/>
      <definedName name="AUTO" refersTo="#REF!"/>
      <definedName name="dinesh2012" refersTo="#REF!"/>
      <definedName name="eqwf" refersTo="#REF!"/>
      <definedName name="hg" refersTo="#REF!"/>
      <definedName name="Macro6" refersTo="#REF!"/>
      <definedName name="Module1.NOTES" refersTo="#REF!"/>
      <definedName name="SSSSS" refersTo="#REF!"/>
      <definedName name="wdfe" refersTo="#REF!"/>
      <definedName name="wwww" refersTo="#REF!"/>
      <definedName name="x" refersTo="#REF!"/>
    </defined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 Register"/>
    </sheetNames>
    <definedNames>
      <definedName name="___ann6" refersTo="#REF!"/>
      <definedName name="__ann6" refersTo="#REF!"/>
      <definedName name="_ann6" refersTo="#REF!"/>
      <definedName name="aaa" refersTo="#REF!"/>
      <definedName name="aaaaa" refersTo="#REF!"/>
      <definedName name="abc" refersTo="#REF!"/>
      <definedName name="AUTO" refersTo="#REF!"/>
      <definedName name="dinesh2012" refersTo="#REF!"/>
      <definedName name="eqwf" refersTo="#REF!"/>
      <definedName name="hg" refersTo="#REF!"/>
      <definedName name="Macro6" refersTo="#REF!"/>
      <definedName name="Module1.NOTES" refersTo="#REF!"/>
      <definedName name="SSSSS" refersTo="#REF!"/>
      <definedName name="wdfe" refersTo="#REF!"/>
      <definedName name="wwww" refersTo="#REF!"/>
      <definedName name="x" refersTo="#REF!"/>
    </defined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TATOR"/>
    </sheetNames>
    <definedNames>
      <definedName name="Module1.UNITOK"/>
    </defined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NK3"/>
    </sheetNames>
    <definedNames>
      <definedName name="UNITOK"/>
    </defined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TATOR"/>
    </sheetNames>
    <definedNames>
      <definedName name="_xlbgnm.OPT8"/>
      <definedName name="_xlbgnm.OPT9"/>
    </defined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Definitions"/>
      <sheetName val="Summary Facesheet"/>
      <sheetName val="Capital"/>
      <sheetName val="Capital (mth)"/>
      <sheetName val="Capital Details"/>
      <sheetName val="CAWC"/>
      <sheetName val="CAWC (mth)"/>
      <sheetName val="CAWC Details"/>
      <sheetName val="Equipment"/>
      <sheetName val="LS Ctrcts"/>
      <sheetName val="Info"/>
      <sheetName val="Exchange rate"/>
      <sheetName val="equipment list"/>
      <sheetName val="Proj Notes"/>
      <sheetName val="NOC Log"/>
      <sheetName val="Contract Status Report"/>
      <sheetName val="EE Status Report"/>
      <sheetName val="Capital Frcst"/>
      <sheetName val="CAWC Frcst"/>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30">
          <cell r="B130">
            <v>1000</v>
          </cell>
        </row>
      </sheetData>
      <sheetData sheetId="13">
        <row r="5">
          <cell r="B5">
            <v>1.25</v>
          </cell>
        </row>
        <row r="10">
          <cell r="B10">
            <v>1.2555000000000001</v>
          </cell>
        </row>
      </sheetData>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Scope Summary and Schedule"/>
      <sheetName val="Basis of Estimate"/>
      <sheetName val="Wage Rates"/>
      <sheetName val="Non Capital Estimate"/>
      <sheetName val="Indirects"/>
      <sheetName val="Allowances and Overheads"/>
      <sheetName val="Allowances and Overheads IPM"/>
      <sheetName val="Term Definitions"/>
      <sheetName val="Proj Cost Summary"/>
      <sheetName val="Direct Discipline Summary"/>
      <sheetName val="Key Quantities Summary"/>
      <sheetName val="Key Quantities by TWC Summary"/>
      <sheetName val="WBS Summary"/>
      <sheetName val="DA TWC Summary"/>
      <sheetName val="TWC Summary"/>
      <sheetName val="DA Summary"/>
      <sheetName val="Estimate Composition"/>
      <sheetName val="Component Details"/>
      <sheetName val="Component Details by User Tag"/>
      <sheetName val="Component Location Details"/>
      <sheetName val="Installation Details"/>
      <sheetName val="Installation Details Full"/>
      <sheetName val="Installation Details Extended"/>
      <sheetName val="SAP Upload"/>
      <sheetName val="SAP Structure"/>
      <sheetName val="SAP Estimate - ATH&amp;CTL"/>
      <sheetName val="SAP Estimate - ITC"/>
      <sheetName val="Dummy"/>
      <sheetName val="Minor TWC Summary"/>
      <sheetName val="SAP Estimate - Minor ATH&amp;CTL"/>
      <sheetName val="Installation Details Minor TWCs"/>
    </sheetNames>
    <sheetDataSet>
      <sheetData sheetId="0" refreshError="1">
        <row r="6">
          <cell r="A6" t="str">
            <v>Estimate Date:</v>
          </cell>
        </row>
      </sheetData>
      <sheetData sheetId="1" refreshError="1">
        <row r="6">
          <cell r="A6" t="str">
            <v>Estimate Date:</v>
          </cell>
        </row>
      </sheetData>
      <sheetData sheetId="2" refreshError="1">
        <row r="6">
          <cell r="A6" t="str">
            <v>Estimate Date:</v>
          </cell>
        </row>
      </sheetData>
      <sheetData sheetId="3" refreshError="1">
        <row r="6">
          <cell r="A6" t="str">
            <v>Estimate Date:</v>
          </cell>
        </row>
      </sheetData>
      <sheetData sheetId="4" refreshError="1">
        <row r="6">
          <cell r="A6" t="str">
            <v>Estimate Date:</v>
          </cell>
        </row>
      </sheetData>
      <sheetData sheetId="5" refreshError="1">
        <row r="6">
          <cell r="A6" t="str">
            <v>Estimate Date:</v>
          </cell>
        </row>
      </sheetData>
      <sheetData sheetId="6"/>
      <sheetData sheetId="7"/>
      <sheetData sheetId="8"/>
      <sheetData sheetId="9"/>
      <sheetData sheetId="10" refreshError="1">
        <row r="7">
          <cell r="A7" t="str">
            <v>Discipline</v>
          </cell>
        </row>
      </sheetData>
      <sheetData sheetId="11" refreshError="1">
        <row r="7">
          <cell r="A7" t="str">
            <v>Discipline</v>
          </cell>
        </row>
      </sheetData>
      <sheetData sheetId="12" refreshError="1">
        <row r="7">
          <cell r="A7" t="str">
            <v>TWC</v>
          </cell>
        </row>
      </sheetData>
      <sheetData sheetId="13" refreshError="1">
        <row r="7">
          <cell r="A7" t="str">
            <v>DA</v>
          </cell>
        </row>
      </sheetData>
      <sheetData sheetId="14" refreshError="1">
        <row r="7">
          <cell r="A7" t="str">
            <v>DA</v>
          </cell>
        </row>
      </sheetData>
      <sheetData sheetId="15" refreshError="1">
        <row r="7">
          <cell r="A7" t="str">
            <v>TWC</v>
          </cell>
        </row>
      </sheetData>
      <sheetData sheetId="16" refreshError="1">
        <row r="7">
          <cell r="A7" t="str">
            <v>DA</v>
          </cell>
        </row>
      </sheetData>
      <sheetData sheetId="17" refreshError="1">
        <row r="7">
          <cell r="A7" t="str">
            <v>Source</v>
          </cell>
        </row>
      </sheetData>
      <sheetData sheetId="18" refreshError="1">
        <row r="7">
          <cell r="A7" t="str">
            <v>DA</v>
          </cell>
        </row>
      </sheetData>
      <sheetData sheetId="19" refreshError="1">
        <row r="7">
          <cell r="A7" t="str">
            <v>DA</v>
          </cell>
        </row>
      </sheetData>
      <sheetData sheetId="20" refreshError="1">
        <row r="7">
          <cell r="A7" t="str">
            <v>DA</v>
          </cell>
        </row>
      </sheetData>
      <sheetData sheetId="21" refreshError="1">
        <row r="7">
          <cell r="A7" t="str">
            <v>DA</v>
          </cell>
        </row>
      </sheetData>
      <sheetData sheetId="22" refreshError="1">
        <row r="7">
          <cell r="A7" t="str">
            <v>DA</v>
          </cell>
        </row>
      </sheetData>
      <sheetData sheetId="23"/>
      <sheetData sheetId="24" refreshError="1">
        <row r="1">
          <cell r="A1" t="str">
            <v xml:space="preserve">0000    00INDIRECTS                                             </v>
          </cell>
        </row>
      </sheetData>
      <sheetData sheetId="25" refreshError="1">
        <row r="1">
          <cell r="A1" t="str">
            <v>Level</v>
          </cell>
        </row>
      </sheetData>
      <sheetData sheetId="26" refreshError="1">
        <row r="1">
          <cell r="A1" t="str">
            <v>WBS Element</v>
          </cell>
        </row>
      </sheetData>
      <sheetData sheetId="27" refreshError="1">
        <row r="1">
          <cell r="A1" t="str">
            <v>WBS Element</v>
          </cell>
        </row>
      </sheetData>
      <sheetData sheetId="28"/>
      <sheetData sheetId="29"/>
      <sheetData sheetId="30"/>
      <sheetData sheetId="3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WB EE Tab"/>
      <sheetName val="AMMS Report"/>
      <sheetName val="Spendout"/>
      <sheetName val="Proj Cost Summary"/>
      <sheetName val="PO Summary"/>
      <sheetName val="Eng Equip Cost Control"/>
      <sheetName val="NOC Log thru 10-23-06"/>
      <sheetName val="CES Details"/>
      <sheetName val="Power Details"/>
      <sheetName val="Instrument Details"/>
    </sheetNames>
    <sheetDataSet>
      <sheetData sheetId="0" refreshError="1"/>
      <sheetData sheetId="1" refreshError="1"/>
      <sheetData sheetId="2" refreshError="1"/>
      <sheetData sheetId="3">
        <row r="3">
          <cell r="B3" t="str">
            <v>PVF Epansion</v>
          </cell>
        </row>
        <row r="4">
          <cell r="B4" t="str">
            <v>Fayetteville Expansion CAC</v>
          </cell>
          <cell r="F4" t="str">
            <v>Fayetteville Expansion CAC 080906</v>
          </cell>
        </row>
        <row r="5">
          <cell r="B5" t="str">
            <v>North America</v>
          </cell>
          <cell r="E5" t="str">
            <v>C1425</v>
          </cell>
          <cell r="I5" t="str">
            <v>H. UHLMANN</v>
          </cell>
        </row>
        <row r="6">
          <cell r="B6" t="str">
            <v>10AUG06  06:55:15</v>
          </cell>
          <cell r="E6" t="str">
            <v>CAC</v>
          </cell>
          <cell r="I6" t="str">
            <v>DOLLARS  USD</v>
          </cell>
        </row>
        <row r="7">
          <cell r="A7" t="str">
            <v>Discipline</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Scope Summary and Schedule"/>
      <sheetName val="Basis of Estimate"/>
      <sheetName val="Wage Rates"/>
      <sheetName val="Non Capital Estimate"/>
      <sheetName val="Indirects"/>
      <sheetName val="Allowances and Overheads"/>
      <sheetName val="Allowances and Overheads IPM"/>
      <sheetName val="Term Definitions"/>
      <sheetName val="Proj Cost Summary"/>
      <sheetName val="Direct Discipline Summary"/>
      <sheetName val="Key Quantities Summary"/>
      <sheetName val="Key Quantities by TWC Summary"/>
      <sheetName val="WBS Summary"/>
      <sheetName val="DA TWC Summary"/>
      <sheetName val="TWC Summary"/>
      <sheetName val="DA Summary"/>
      <sheetName val="Estimate Composition"/>
      <sheetName val="Component Details"/>
      <sheetName val="Component Details by User Tag"/>
      <sheetName val="Component Location Details"/>
      <sheetName val="Installation Details"/>
      <sheetName val="Installation Details Full"/>
      <sheetName val="SAP Upload"/>
      <sheetName val="SAP Structure"/>
      <sheetName val="SAP Estimate - ATH&amp;CTL"/>
      <sheetName val="SAP Estimate - ITC"/>
      <sheetName val="Dummy"/>
      <sheetName val="Installation Details Extended"/>
      <sheetName val="UserTemplates"/>
    </sheetNames>
    <sheetDataSet>
      <sheetData sheetId="0">
        <row r="6">
          <cell r="A6" t="str">
            <v>Estimate Date:</v>
          </cell>
        </row>
      </sheetData>
      <sheetData sheetId="1">
        <row r="6">
          <cell r="A6" t="str">
            <v>Estimate Date:</v>
          </cell>
        </row>
      </sheetData>
      <sheetData sheetId="2">
        <row r="6">
          <cell r="A6" t="str">
            <v>Estimate Date:</v>
          </cell>
        </row>
      </sheetData>
      <sheetData sheetId="3">
        <row r="6">
          <cell r="A6" t="str">
            <v>Estimate Date:</v>
          </cell>
        </row>
      </sheetData>
      <sheetData sheetId="4">
        <row r="6">
          <cell r="A6" t="str">
            <v>Estimate Date:</v>
          </cell>
        </row>
      </sheetData>
      <sheetData sheetId="5">
        <row r="6">
          <cell r="A6" t="str">
            <v>Estimate Date:</v>
          </cell>
        </row>
      </sheetData>
      <sheetData sheetId="6"/>
      <sheetData sheetId="7"/>
      <sheetData sheetId="8"/>
      <sheetData sheetId="9"/>
      <sheetData sheetId="10">
        <row r="7">
          <cell r="A7" t="str">
            <v>Discipline</v>
          </cell>
        </row>
      </sheetData>
      <sheetData sheetId="11">
        <row r="7">
          <cell r="A7" t="str">
            <v>Discipline</v>
          </cell>
        </row>
      </sheetData>
      <sheetData sheetId="12">
        <row r="7">
          <cell r="A7" t="str">
            <v>TWC</v>
          </cell>
        </row>
      </sheetData>
      <sheetData sheetId="13">
        <row r="7">
          <cell r="A7" t="str">
            <v>DA</v>
          </cell>
        </row>
      </sheetData>
      <sheetData sheetId="14">
        <row r="7">
          <cell r="A7" t="str">
            <v>DA</v>
          </cell>
        </row>
      </sheetData>
      <sheetData sheetId="15">
        <row r="7">
          <cell r="A7" t="str">
            <v>TWC</v>
          </cell>
        </row>
      </sheetData>
      <sheetData sheetId="16">
        <row r="7">
          <cell r="A7" t="str">
            <v>DA</v>
          </cell>
        </row>
      </sheetData>
      <sheetData sheetId="17">
        <row r="7">
          <cell r="A7" t="str">
            <v>Source</v>
          </cell>
        </row>
      </sheetData>
      <sheetData sheetId="18" refreshError="1"/>
      <sheetData sheetId="19">
        <row r="7">
          <cell r="A7" t="str">
            <v>DA</v>
          </cell>
        </row>
      </sheetData>
      <sheetData sheetId="20">
        <row r="7">
          <cell r="A7" t="str">
            <v>DA</v>
          </cell>
        </row>
      </sheetData>
      <sheetData sheetId="21">
        <row r="7">
          <cell r="A7" t="str">
            <v>DA</v>
          </cell>
        </row>
      </sheetData>
      <sheetData sheetId="22">
        <row r="7">
          <cell r="A7" t="str">
            <v>DA</v>
          </cell>
        </row>
      </sheetData>
      <sheetData sheetId="23">
        <row r="1">
          <cell r="A1" t="str">
            <v xml:space="preserve">0000    00INDIRECTS                                             </v>
          </cell>
        </row>
      </sheetData>
      <sheetData sheetId="24">
        <row r="1">
          <cell r="A1" t="str">
            <v>Level</v>
          </cell>
        </row>
      </sheetData>
      <sheetData sheetId="25">
        <row r="1">
          <cell r="A1" t="str">
            <v>WBS Element</v>
          </cell>
        </row>
      </sheetData>
      <sheetData sheetId="26">
        <row r="1">
          <cell r="A1" t="str">
            <v>WBS Element</v>
          </cell>
        </row>
      </sheetData>
      <sheetData sheetId="27"/>
      <sheetData sheetId="28">
        <row r="7">
          <cell r="A7" t="str">
            <v>DA</v>
          </cell>
        </row>
      </sheetData>
      <sheetData sheetId="2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 Equipment"/>
      <sheetName val="List - Components"/>
      <sheetName val="Proj Cost Sumry"/>
      <sheetName val="TDC Key Qty Sumry"/>
      <sheetName val="TDC COA Sumry"/>
      <sheetName val="COA Sumry by Contr"/>
      <sheetName val="COA Sumry by RG"/>
      <sheetName val="COA Sumry by Area"/>
      <sheetName val="TDC COA Grp Sumry"/>
      <sheetName val="TDC Item Sumry"/>
      <sheetName val="TDC Item Dets"/>
      <sheetName val="TDC Item Dets-Full"/>
      <sheetName val="TDC Item Dets-IPM-Full"/>
      <sheetName val="Proj TIC - Std Imp"/>
      <sheetName val="Contr TDC - Std Imp"/>
      <sheetName val="COA Sumry - Std Imp"/>
      <sheetName val="Item Sumry - Std Imp"/>
      <sheetName val="Unit Costs - Std Imp"/>
      <sheetName val="Unit MH - Std Imp"/>
      <sheetName val="Project Metrics"/>
    </sheetNames>
    <sheetDataSet>
      <sheetData sheetId="0"/>
      <sheetData sheetId="1">
        <row r="7">
          <cell r="A7" t="str">
            <v>Component/Source</v>
          </cell>
        </row>
      </sheetData>
      <sheetData sheetId="2"/>
      <sheetData sheetId="3">
        <row r="6">
          <cell r="A6" t="str">
            <v>Account</v>
          </cell>
        </row>
      </sheetData>
      <sheetData sheetId="4">
        <row r="7">
          <cell r="A7" t="str">
            <v>Account</v>
          </cell>
        </row>
      </sheetData>
      <sheetData sheetId="5">
        <row r="7">
          <cell r="A7" t="str">
            <v>No</v>
          </cell>
        </row>
      </sheetData>
      <sheetData sheetId="6">
        <row r="7">
          <cell r="A7" t="str">
            <v>No</v>
          </cell>
        </row>
      </sheetData>
      <sheetData sheetId="7">
        <row r="7">
          <cell r="A7" t="str">
            <v>No</v>
          </cell>
        </row>
      </sheetData>
      <sheetData sheetId="8">
        <row r="6">
          <cell r="A6" t="str">
            <v>Account</v>
          </cell>
        </row>
      </sheetData>
      <sheetData sheetId="9">
        <row r="6">
          <cell r="A6" t="str">
            <v>Account</v>
          </cell>
        </row>
      </sheetData>
      <sheetData sheetId="10">
        <row r="6">
          <cell r="A6" t="str">
            <v>Component/Source</v>
          </cell>
        </row>
      </sheetData>
      <sheetData sheetId="11">
        <row r="6">
          <cell r="A6" t="str">
            <v>Report Group</v>
          </cell>
        </row>
      </sheetData>
      <sheetData sheetId="12"/>
      <sheetData sheetId="13">
        <row r="7">
          <cell r="A7" t="str">
            <v>Account</v>
          </cell>
        </row>
      </sheetData>
      <sheetData sheetId="14">
        <row r="7">
          <cell r="A7" t="str">
            <v>Contractor</v>
          </cell>
        </row>
      </sheetData>
      <sheetData sheetId="15">
        <row r="7">
          <cell r="A7" t="str">
            <v>Account</v>
          </cell>
        </row>
      </sheetData>
      <sheetData sheetId="16">
        <row r="7">
          <cell r="A7" t="str">
            <v>Code of Account</v>
          </cell>
        </row>
      </sheetData>
      <sheetData sheetId="17">
        <row r="7">
          <cell r="A7" t="str">
            <v>Code of Account</v>
          </cell>
        </row>
      </sheetData>
      <sheetData sheetId="18">
        <row r="7">
          <cell r="A7" t="str">
            <v>Code of Account</v>
          </cell>
        </row>
      </sheetData>
      <sheetData sheetId="1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 Equipment"/>
      <sheetName val="List - Components"/>
      <sheetName val="Proj Cost Sumry"/>
      <sheetName val="TDC Key Qty Sumry"/>
      <sheetName val="TDC COA Sumry"/>
      <sheetName val="COA Sumry by Contr"/>
      <sheetName val="COA Sumry by RG"/>
      <sheetName val="COA Sumry by Area"/>
      <sheetName val="TDC COA Grp Sumry"/>
      <sheetName val="TDC Item Sumry"/>
      <sheetName val="TDC Item Dets"/>
      <sheetName val="TDC Item Dets-Full"/>
      <sheetName val="TDC Item Dets-IPM-Full"/>
      <sheetName val="Proj TIC - Std Imp"/>
      <sheetName val="Contr TDC - Std Imp"/>
      <sheetName val="COA Sumry - Std Imp"/>
      <sheetName val="Item Sumry - Std Imp"/>
      <sheetName val="Unit Costs - Std Imp"/>
      <sheetName val="Unit MH - Std Imp"/>
      <sheetName val="Project Metrics"/>
      <sheetName val="ProjectTemplates"/>
    </sheetNames>
    <sheetDataSet>
      <sheetData sheetId="0">
        <row r="6">
          <cell r="A6" t="str">
            <v>Equipment Class</v>
          </cell>
        </row>
      </sheetData>
      <sheetData sheetId="1">
        <row r="7">
          <cell r="A7" t="str">
            <v>Component/Source</v>
          </cell>
        </row>
      </sheetData>
      <sheetData sheetId="2"/>
      <sheetData sheetId="3">
        <row r="6">
          <cell r="A6" t="str">
            <v>Account</v>
          </cell>
        </row>
      </sheetData>
      <sheetData sheetId="4">
        <row r="7">
          <cell r="A7" t="str">
            <v>Account</v>
          </cell>
        </row>
      </sheetData>
      <sheetData sheetId="5">
        <row r="7">
          <cell r="A7" t="str">
            <v>No</v>
          </cell>
        </row>
      </sheetData>
      <sheetData sheetId="6">
        <row r="7">
          <cell r="A7" t="str">
            <v>No</v>
          </cell>
        </row>
      </sheetData>
      <sheetData sheetId="7">
        <row r="7">
          <cell r="A7" t="str">
            <v>No</v>
          </cell>
        </row>
      </sheetData>
      <sheetData sheetId="8">
        <row r="6">
          <cell r="A6" t="str">
            <v>Account</v>
          </cell>
        </row>
      </sheetData>
      <sheetData sheetId="9">
        <row r="6">
          <cell r="A6" t="str">
            <v>Account</v>
          </cell>
        </row>
      </sheetData>
      <sheetData sheetId="10">
        <row r="6">
          <cell r="A6" t="str">
            <v>Component/Source</v>
          </cell>
        </row>
      </sheetData>
      <sheetData sheetId="11">
        <row r="6">
          <cell r="A6" t="str">
            <v>Report Group</v>
          </cell>
        </row>
      </sheetData>
      <sheetData sheetId="12">
        <row r="6">
          <cell r="A6" t="str">
            <v>Area</v>
          </cell>
        </row>
      </sheetData>
      <sheetData sheetId="13">
        <row r="7">
          <cell r="A7" t="str">
            <v>Account</v>
          </cell>
        </row>
      </sheetData>
      <sheetData sheetId="14">
        <row r="7">
          <cell r="A7" t="str">
            <v>Contractor</v>
          </cell>
        </row>
      </sheetData>
      <sheetData sheetId="15">
        <row r="7">
          <cell r="A7" t="str">
            <v>Account</v>
          </cell>
        </row>
      </sheetData>
      <sheetData sheetId="16">
        <row r="7">
          <cell r="A7" t="str">
            <v>Code of Account</v>
          </cell>
        </row>
      </sheetData>
      <sheetData sheetId="17">
        <row r="7">
          <cell r="A7" t="str">
            <v>Code of Account</v>
          </cell>
        </row>
      </sheetData>
      <sheetData sheetId="18">
        <row r="7">
          <cell r="A7" t="str">
            <v>Code of Account</v>
          </cell>
        </row>
      </sheetData>
      <sheetData sheetId="19">
        <row r="23">
          <cell r="AF23" t="str">
            <v>Avg Diam - Buried Full (PL)</v>
          </cell>
        </row>
      </sheetData>
      <sheetData sheetId="2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 Equipment"/>
      <sheetName val="List - Components"/>
      <sheetName val="Proj Cost Sumry"/>
      <sheetName val="TDC Key Qty Sumry"/>
      <sheetName val="TDC COA Sumry"/>
      <sheetName val="COA Sumry by Contr"/>
      <sheetName val="COA Sumry by RG"/>
      <sheetName val="COA Sumry by Area"/>
      <sheetName val="TDC COA Grp Sumry"/>
      <sheetName val="TDC Item Sumry"/>
      <sheetName val="TDC Item Dets"/>
      <sheetName val="TDC Item Dets-Full"/>
      <sheetName val="TDC Item Dets-IPM-Full"/>
      <sheetName val="Proj TIC - Std Imp"/>
      <sheetName val="Contr TDC - Std Imp"/>
      <sheetName val="COA Sumry - Std Imp"/>
      <sheetName val="Item Sumry - Std Imp"/>
      <sheetName val="Unit Costs - Std Imp"/>
      <sheetName val="Unit MH - Std Imp"/>
      <sheetName val="Project Metrics"/>
      <sheetName val="ProjectTemplates"/>
    </sheetNames>
    <sheetDataSet>
      <sheetData sheetId="0">
        <row r="6">
          <cell r="A6" t="str">
            <v>Equipment Class</v>
          </cell>
        </row>
      </sheetData>
      <sheetData sheetId="1">
        <row r="7">
          <cell r="A7" t="str">
            <v>Component/Source</v>
          </cell>
        </row>
      </sheetData>
      <sheetData sheetId="2"/>
      <sheetData sheetId="3">
        <row r="6">
          <cell r="A6" t="str">
            <v>Account</v>
          </cell>
        </row>
      </sheetData>
      <sheetData sheetId="4">
        <row r="7">
          <cell r="A7" t="str">
            <v>Account</v>
          </cell>
        </row>
      </sheetData>
      <sheetData sheetId="5">
        <row r="7">
          <cell r="A7" t="str">
            <v>No</v>
          </cell>
        </row>
      </sheetData>
      <sheetData sheetId="6">
        <row r="7">
          <cell r="A7" t="str">
            <v>No</v>
          </cell>
        </row>
      </sheetData>
      <sheetData sheetId="7">
        <row r="7">
          <cell r="A7" t="str">
            <v>No</v>
          </cell>
        </row>
      </sheetData>
      <sheetData sheetId="8">
        <row r="6">
          <cell r="A6" t="str">
            <v>Account</v>
          </cell>
        </row>
      </sheetData>
      <sheetData sheetId="9">
        <row r="6">
          <cell r="A6" t="str">
            <v>Account</v>
          </cell>
        </row>
      </sheetData>
      <sheetData sheetId="10">
        <row r="6">
          <cell r="A6" t="str">
            <v>Component/Source</v>
          </cell>
        </row>
      </sheetData>
      <sheetData sheetId="11">
        <row r="6">
          <cell r="A6" t="str">
            <v>Report Group</v>
          </cell>
        </row>
      </sheetData>
      <sheetData sheetId="12">
        <row r="6">
          <cell r="A6" t="str">
            <v>Area</v>
          </cell>
        </row>
      </sheetData>
      <sheetData sheetId="13">
        <row r="7">
          <cell r="A7" t="str">
            <v>Account</v>
          </cell>
        </row>
      </sheetData>
      <sheetData sheetId="14">
        <row r="7">
          <cell r="A7" t="str">
            <v>Contractor</v>
          </cell>
        </row>
      </sheetData>
      <sheetData sheetId="15">
        <row r="7">
          <cell r="A7" t="str">
            <v>Account</v>
          </cell>
        </row>
      </sheetData>
      <sheetData sheetId="16">
        <row r="7">
          <cell r="A7" t="str">
            <v>Code of Account</v>
          </cell>
        </row>
      </sheetData>
      <sheetData sheetId="17">
        <row r="7">
          <cell r="A7" t="str">
            <v>Code of Account</v>
          </cell>
        </row>
      </sheetData>
      <sheetData sheetId="18">
        <row r="7">
          <cell r="A7" t="str">
            <v>Code of Account</v>
          </cell>
        </row>
      </sheetData>
      <sheetData sheetId="19">
        <row r="23">
          <cell r="AF23" t="str">
            <v>Avg Diam - Buried Full (PL)</v>
          </cell>
        </row>
      </sheetData>
      <sheetData sheetId="2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allation Details Extended"/>
      <sheetName val="Proj Cost Summary"/>
      <sheetName val="DA Summary"/>
      <sheetName val="DA TWC Summary"/>
      <sheetName val="TDC Key Qty Sumry"/>
      <sheetName val="Basis of estimate"/>
    </sheetNames>
    <sheetDataSet>
      <sheetData sheetId="0"/>
      <sheetData sheetId="1"/>
      <sheetData sheetId="2"/>
      <sheetData sheetId="3"/>
      <sheetData sheetId="4"/>
      <sheetData sheetId="5"/>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Summary Facesheet "/>
      <sheetName val="DPMD"/>
      <sheetName val="Capital"/>
      <sheetName val="Capital (mth)"/>
      <sheetName val="Capital Details"/>
      <sheetName val="CAWC"/>
      <sheetName val="CAWC (mth)"/>
      <sheetName val="CAWC Details"/>
      <sheetName val="LS Ctrcts"/>
      <sheetName val="Info"/>
      <sheetName val="Equipment"/>
      <sheetName val="PCO Log"/>
      <sheetName val="Exchange rate"/>
      <sheetName val="Equipment (Old for ref)"/>
      <sheetName val="Definitions"/>
      <sheetName val="Gate-1 HiSpot"/>
      <sheetName val="Sheet1"/>
      <sheetName val="Proj Notes"/>
      <sheetName val="NOC Log"/>
      <sheetName val="Contract Status Report"/>
      <sheetName val="EE Status Report"/>
      <sheetName val="Capital Frcst"/>
      <sheetName val="CAWC Frc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B4">
            <v>82.2</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C"/>
      <sheetName val="AUC201012"/>
      <sheetName val="MPE"/>
      <sheetName val="2010 Non Capital Summary"/>
      <sheetName val="2010 Non Capital Detail list"/>
    </sheetNames>
    <sheetDataSet>
      <sheetData sheetId="0"/>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 Notes"/>
      <sheetName val="Authorization"/>
      <sheetName val="Definitions"/>
      <sheetName val="FACESHEET"/>
      <sheetName val="CAP"/>
      <sheetName val="CAWC"/>
      <sheetName val="PR-PO II "/>
      <sheetName val="DCH Engg. (2)"/>
      <sheetName val="Remarks"/>
      <sheetName val="DPMD"/>
      <sheetName val="Schedule"/>
      <sheetName val="Change Order"/>
      <sheetName val="AUC"/>
      <sheetName val="AUC2011001"/>
      <sheetName val="MPE"/>
      <sheetName val="2010 Non Capital Summary"/>
    </sheetNames>
    <sheetDataSet>
      <sheetData sheetId="0"/>
      <sheetData sheetId="1"/>
      <sheetData sheetId="2"/>
      <sheetData sheetId="3"/>
      <sheetData sheetId="4"/>
      <sheetData sheetId="5"/>
      <sheetData sheetId="6"/>
      <sheetData sheetId="7"/>
      <sheetData sheetId="8">
        <row r="14">
          <cell r="F14">
            <v>7.9592326139088718E-2</v>
          </cell>
        </row>
      </sheetData>
      <sheetData sheetId="9"/>
      <sheetData sheetId="10"/>
      <sheetData sheetId="11"/>
      <sheetData sheetId="12"/>
      <sheetData sheetId="13"/>
      <sheetData sheetId="14"/>
      <sheetData sheetId="15"/>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chart PVF Cap 1-23"/>
      <sheetName val="Proj Cost Summary"/>
      <sheetName val="Proj Cost Summary (2)"/>
      <sheetName val="Equip list"/>
      <sheetName val="List - Equipment"/>
      <sheetName val="Installation Details Extended"/>
    </sheetNames>
    <sheetDataSet>
      <sheetData sheetId="0" refreshError="1"/>
      <sheetData sheetId="1"/>
      <sheetData sheetId="2"/>
      <sheetData sheetId="3"/>
      <sheetData sheetId="4"/>
      <sheetData sheetId="5"/>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Definitions"/>
      <sheetName val="Summary Facesheet"/>
      <sheetName val="DPMD"/>
      <sheetName val="Capital"/>
      <sheetName val="Capital (mth)"/>
      <sheetName val="Capital Details"/>
      <sheetName val="CAWC"/>
      <sheetName val="CAWC (mth)"/>
      <sheetName val="CAWC Details"/>
      <sheetName val="Equipment"/>
      <sheetName val="LS Ctrcts"/>
      <sheetName val="Info"/>
      <sheetName val="Exchange rate"/>
      <sheetName val="equipment list"/>
      <sheetName val="Proj Notes"/>
      <sheetName val="NOC Log"/>
      <sheetName val="Contract Status Report"/>
      <sheetName val="EE Status Report"/>
      <sheetName val="Capital Frcst"/>
      <sheetName val="CAWC Frc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5">
          <cell r="B5">
            <v>1.25</v>
          </cell>
        </row>
      </sheetData>
      <sheetData sheetId="15"/>
      <sheetData sheetId="16"/>
      <sheetData sheetId="17"/>
      <sheetData sheetId="18"/>
      <sheetData sheetId="19"/>
      <sheetData sheetId="20"/>
      <sheetData sheetId="2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1 (2)"/>
      <sheetName val="Overhead SUP"/>
      <sheetName val="INFORMATION"/>
      <sheetName val="comcond"/>
      <sheetName val="13 Jan development"/>
      <sheetName val="Labour"/>
      <sheetName val="data site"/>
      <sheetName val="Data tranfer"/>
      <sheetName val="as submitted"/>
      <sheetName val="boq"/>
      <sheetName val="concana"/>
      <sheetName val="concrate"/>
      <sheetName val="rateana"/>
      <sheetName val="comparative"/>
      <sheetName val="FW"/>
      <sheetName val="factor"/>
      <sheetName val="overhead"/>
      <sheetName val="6&quot; wall site"/>
      <sheetName val="6&quot; wall"/>
      <sheetName val="9&quot;w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alient Features"/>
      <sheetName val="Index"/>
      <sheetName val="LOI"/>
      <sheetName val="construction_schedule"/>
      <sheetName val="top_sheet"/>
      <sheetName val="Offtop-Tender"/>
      <sheetName val="Offtop-Prestart"/>
      <sheetName val="Summary"/>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SHEET 1"/>
      <sheetName val="Sheet1"/>
      <sheetName val="Sheet2"/>
      <sheetName val="Sheet3"/>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L3REPORTDEFS@@"/>
      <sheetName val="log"/>
      <sheetName val="Inputs"/>
      <sheetName val="Calculations"/>
      <sheetName val="Outputs"/>
      <sheetName val="Scenario (Limiter)"/>
      <sheetName val="Scenario (No Limiter)"/>
      <sheetName val="Graph "/>
      <sheetName val="Sheet3"/>
    </sheetNames>
    <sheetDataSet>
      <sheetData sheetId="0" refreshError="1"/>
      <sheetData sheetId="1" refreshError="1"/>
      <sheetData sheetId="2">
        <row r="8">
          <cell r="J8">
            <v>338.03038268570771</v>
          </cell>
        </row>
        <row r="9">
          <cell r="D9">
            <v>1998</v>
          </cell>
          <cell r="J9">
            <v>0.10576648066543722</v>
          </cell>
        </row>
        <row r="10">
          <cell r="D10">
            <v>2007</v>
          </cell>
        </row>
        <row r="11">
          <cell r="D11">
            <v>2010</v>
          </cell>
        </row>
        <row r="12">
          <cell r="D12">
            <v>2025</v>
          </cell>
          <cell r="J12">
            <v>89.577273032926342</v>
          </cell>
        </row>
        <row r="15">
          <cell r="E15">
            <v>60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row>
        <row r="16">
          <cell r="E16">
            <v>0</v>
          </cell>
          <cell r="F16">
            <v>20</v>
          </cell>
          <cell r="G16">
            <v>20</v>
          </cell>
          <cell r="H16">
            <v>30</v>
          </cell>
          <cell r="I16">
            <v>30</v>
          </cell>
          <cell r="J16">
            <v>30</v>
          </cell>
          <cell r="K16">
            <v>30</v>
          </cell>
          <cell r="L16">
            <v>40</v>
          </cell>
          <cell r="M16">
            <v>50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row>
        <row r="18">
          <cell r="E18">
            <v>0</v>
          </cell>
          <cell r="F18">
            <v>0</v>
          </cell>
          <cell r="G18">
            <v>0</v>
          </cell>
          <cell r="H18">
            <v>0</v>
          </cell>
          <cell r="I18">
            <v>0</v>
          </cell>
          <cell r="J18">
            <v>0</v>
          </cell>
          <cell r="K18">
            <v>0</v>
          </cell>
          <cell r="L18">
            <v>0</v>
          </cell>
          <cell r="M18">
            <v>0</v>
          </cell>
          <cell r="N18">
            <v>401.5</v>
          </cell>
          <cell r="O18">
            <v>401.5</v>
          </cell>
          <cell r="P18">
            <v>560</v>
          </cell>
          <cell r="Q18">
            <v>900</v>
          </cell>
          <cell r="R18">
            <v>200.75</v>
          </cell>
          <cell r="S18">
            <v>200.75</v>
          </cell>
          <cell r="T18">
            <v>178.75</v>
          </cell>
          <cell r="U18">
            <v>0</v>
          </cell>
          <cell r="V18">
            <v>0</v>
          </cell>
          <cell r="W18">
            <v>0</v>
          </cell>
          <cell r="X18">
            <v>0</v>
          </cell>
          <cell r="Y18">
            <v>0</v>
          </cell>
          <cell r="Z18">
            <v>0</v>
          </cell>
          <cell r="AA18">
            <v>0</v>
          </cell>
          <cell r="AB18">
            <v>0</v>
          </cell>
          <cell r="AC18">
            <v>0</v>
          </cell>
          <cell r="AD18">
            <v>0</v>
          </cell>
          <cell r="AE18">
            <v>0</v>
          </cell>
          <cell r="AF18">
            <v>0</v>
          </cell>
          <cell r="AG18">
            <v>0</v>
          </cell>
        </row>
        <row r="19">
          <cell r="E19">
            <v>0</v>
          </cell>
          <cell r="F19">
            <v>0</v>
          </cell>
          <cell r="G19">
            <v>0</v>
          </cell>
          <cell r="H19">
            <v>0</v>
          </cell>
          <cell r="I19">
            <v>0</v>
          </cell>
          <cell r="J19">
            <v>0</v>
          </cell>
          <cell r="K19">
            <v>0</v>
          </cell>
          <cell r="L19">
            <v>0</v>
          </cell>
          <cell r="M19">
            <v>0</v>
          </cell>
          <cell r="N19">
            <v>0</v>
          </cell>
          <cell r="O19">
            <v>0</v>
          </cell>
          <cell r="P19">
            <v>0</v>
          </cell>
          <cell r="Q19">
            <v>0</v>
          </cell>
          <cell r="R19">
            <v>0</v>
          </cell>
          <cell r="S19">
            <v>90</v>
          </cell>
          <cell r="T19">
            <v>90</v>
          </cell>
          <cell r="U19">
            <v>90</v>
          </cell>
          <cell r="V19">
            <v>90</v>
          </cell>
          <cell r="W19">
            <v>90</v>
          </cell>
          <cell r="X19">
            <v>90</v>
          </cell>
          <cell r="Y19">
            <v>90</v>
          </cell>
          <cell r="Z19">
            <v>90</v>
          </cell>
          <cell r="AA19">
            <v>90</v>
          </cell>
          <cell r="AB19">
            <v>90</v>
          </cell>
          <cell r="AC19">
            <v>0</v>
          </cell>
          <cell r="AD19">
            <v>0</v>
          </cell>
          <cell r="AE19">
            <v>0</v>
          </cell>
          <cell r="AF19">
            <v>0</v>
          </cell>
          <cell r="AG19">
            <v>0</v>
          </cell>
        </row>
        <row r="20">
          <cell r="E20">
            <v>0</v>
          </cell>
          <cell r="F20">
            <v>0</v>
          </cell>
          <cell r="G20">
            <v>0</v>
          </cell>
          <cell r="H20">
            <v>0</v>
          </cell>
          <cell r="I20">
            <v>0</v>
          </cell>
          <cell r="J20">
            <v>0</v>
          </cell>
          <cell r="K20">
            <v>0</v>
          </cell>
          <cell r="L20">
            <v>0</v>
          </cell>
          <cell r="M20">
            <v>50</v>
          </cell>
          <cell r="N20">
            <v>600</v>
          </cell>
          <cell r="O20">
            <v>600</v>
          </cell>
          <cell r="P20">
            <v>600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row>
        <row r="21">
          <cell r="E21">
            <v>0</v>
          </cell>
          <cell r="F21">
            <v>0</v>
          </cell>
          <cell r="G21">
            <v>0</v>
          </cell>
          <cell r="H21">
            <v>0</v>
          </cell>
          <cell r="I21">
            <v>0</v>
          </cell>
          <cell r="J21">
            <v>0</v>
          </cell>
          <cell r="K21">
            <v>0</v>
          </cell>
          <cell r="L21">
            <v>0</v>
          </cell>
          <cell r="M21">
            <v>0</v>
          </cell>
          <cell r="N21">
            <v>1200</v>
          </cell>
          <cell r="O21">
            <v>1400</v>
          </cell>
          <cell r="P21">
            <v>800</v>
          </cell>
          <cell r="Q21">
            <v>100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row>
        <row r="22">
          <cell r="E22">
            <v>0</v>
          </cell>
          <cell r="F22">
            <v>0</v>
          </cell>
          <cell r="G22">
            <v>0</v>
          </cell>
          <cell r="H22">
            <v>0</v>
          </cell>
          <cell r="I22">
            <v>0</v>
          </cell>
          <cell r="J22">
            <v>0</v>
          </cell>
          <cell r="K22">
            <v>0</v>
          </cell>
          <cell r="L22">
            <v>0</v>
          </cell>
          <cell r="M22">
            <v>0</v>
          </cell>
          <cell r="N22">
            <v>300</v>
          </cell>
          <cell r="O22">
            <v>350</v>
          </cell>
          <cell r="P22">
            <v>200</v>
          </cell>
          <cell r="Q22">
            <v>130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row>
        <row r="25">
          <cell r="E25">
            <v>0</v>
          </cell>
          <cell r="F25">
            <v>0</v>
          </cell>
          <cell r="G25">
            <v>0</v>
          </cell>
          <cell r="H25">
            <v>0</v>
          </cell>
          <cell r="I25">
            <v>0</v>
          </cell>
          <cell r="J25">
            <v>0</v>
          </cell>
          <cell r="K25">
            <v>0</v>
          </cell>
          <cell r="L25">
            <v>0</v>
          </cell>
          <cell r="M25">
            <v>0</v>
          </cell>
          <cell r="N25">
            <v>0</v>
          </cell>
          <cell r="O25">
            <v>0</v>
          </cell>
          <cell r="P25">
            <v>0</v>
          </cell>
          <cell r="Q25">
            <v>132.14080848024787</v>
          </cell>
          <cell r="R25">
            <v>192.20898947291388</v>
          </cell>
          <cell r="S25">
            <v>169.26711959570684</v>
          </cell>
          <cell r="T25">
            <v>184.37857109312296</v>
          </cell>
          <cell r="U25">
            <v>134.36821680069153</v>
          </cell>
          <cell r="V25">
            <v>98.710822957655637</v>
          </cell>
          <cell r="W25">
            <v>66.509598069075182</v>
          </cell>
          <cell r="X25">
            <v>47.362169927812218</v>
          </cell>
          <cell r="Y25">
            <v>32.784911253740567</v>
          </cell>
          <cell r="Z25">
            <v>19.892236486633774</v>
          </cell>
          <cell r="AA25">
            <v>13.119606491639697</v>
          </cell>
          <cell r="AB25">
            <v>8.8621219462094469</v>
          </cell>
          <cell r="AC25">
            <v>7.18349643546403</v>
          </cell>
          <cell r="AD25">
            <v>4.6582632332561102</v>
          </cell>
          <cell r="AE25">
            <v>3.7759147904595509</v>
          </cell>
          <cell r="AF25">
            <v>3.0606970432723322</v>
          </cell>
          <cell r="AG25">
            <v>0</v>
          </cell>
        </row>
        <row r="28">
          <cell r="D28">
            <v>60</v>
          </cell>
        </row>
        <row r="29">
          <cell r="D29">
            <v>-5</v>
          </cell>
        </row>
        <row r="32">
          <cell r="D32">
            <v>1</v>
          </cell>
        </row>
        <row r="33">
          <cell r="D33">
            <v>100</v>
          </cell>
        </row>
        <row r="36">
          <cell r="D36">
            <v>0.1</v>
          </cell>
        </row>
        <row r="37">
          <cell r="D37">
            <v>0.5</v>
          </cell>
        </row>
        <row r="38">
          <cell r="D38">
            <v>4</v>
          </cell>
        </row>
        <row r="39">
          <cell r="D39" t="str">
            <v>Revenue/Capex</v>
          </cell>
        </row>
        <row r="45">
          <cell r="D45">
            <v>0.3</v>
          </cell>
        </row>
        <row r="49">
          <cell r="D49">
            <v>1</v>
          </cell>
        </row>
        <row r="50">
          <cell r="D50">
            <v>2</v>
          </cell>
        </row>
        <row r="51">
          <cell r="D51">
            <v>1</v>
          </cell>
        </row>
        <row r="53">
          <cell r="D53">
            <v>0.3</v>
          </cell>
        </row>
        <row r="56">
          <cell r="D56">
            <v>2.5000000000000001E-2</v>
          </cell>
        </row>
        <row r="57">
          <cell r="D57">
            <v>7.0000000000000007E-2</v>
          </cell>
        </row>
      </sheetData>
      <sheetData sheetId="3">
        <row r="8">
          <cell r="E8">
            <v>0.80072836176887052</v>
          </cell>
          <cell r="F8">
            <v>0.82074657081309221</v>
          </cell>
          <cell r="G8">
            <v>0.84126523508341944</v>
          </cell>
          <cell r="H8">
            <v>0.86229686596050481</v>
          </cell>
          <cell r="I8">
            <v>0.88385428760951734</v>
          </cell>
          <cell r="J8">
            <v>0.90595064479975518</v>
          </cell>
          <cell r="K8">
            <v>0.92859941091974896</v>
          </cell>
          <cell r="L8">
            <v>0.95181439619274255</v>
          </cell>
          <cell r="M8">
            <v>0.97560975609756106</v>
          </cell>
          <cell r="N8">
            <v>1</v>
          </cell>
          <cell r="O8">
            <v>1.0249999999999999</v>
          </cell>
          <cell r="P8">
            <v>1.0506249999999999</v>
          </cell>
          <cell r="Q8">
            <v>1.0768906249999999</v>
          </cell>
          <cell r="R8">
            <v>1.1038128906249998</v>
          </cell>
          <cell r="S8">
            <v>1.1314082128906247</v>
          </cell>
          <cell r="T8">
            <v>1.1596934182128902</v>
          </cell>
          <cell r="U8">
            <v>1.1886857536682123</v>
          </cell>
          <cell r="V8">
            <v>1.2184028975099175</v>
          </cell>
          <cell r="W8">
            <v>1.2488629699476652</v>
          </cell>
          <cell r="X8">
            <v>1.2800845441963566</v>
          </cell>
          <cell r="Y8">
            <v>1.3120866578012655</v>
          </cell>
          <cell r="Z8">
            <v>1.3448888242462971</v>
          </cell>
          <cell r="AA8">
            <v>1.3785110448524545</v>
          </cell>
          <cell r="AB8">
            <v>1.4129738209737657</v>
          </cell>
          <cell r="AC8">
            <v>1.4482981664981096</v>
          </cell>
          <cell r="AD8">
            <v>1.4845056206605622</v>
          </cell>
          <cell r="AE8">
            <v>1.5216182611770761</v>
          </cell>
          <cell r="AF8">
            <v>1.5596587177065029</v>
          </cell>
          <cell r="AG8">
            <v>1.5986501856491653</v>
          </cell>
        </row>
        <row r="9">
          <cell r="E9">
            <v>1.7773056042687172</v>
          </cell>
          <cell r="F9">
            <v>1.6610332750174925</v>
          </cell>
          <cell r="G9">
            <v>1.55236754674532</v>
          </cell>
          <cell r="H9">
            <v>1.4508107913507662</v>
          </cell>
          <cell r="I9">
            <v>1.3558979358418375</v>
          </cell>
          <cell r="J9">
            <v>1.2671943325624648</v>
          </cell>
          <cell r="K9">
            <v>1.1842937687499671</v>
          </cell>
          <cell r="L9">
            <v>1.1068166063083804</v>
          </cell>
          <cell r="M9">
            <v>1.03440804327886</v>
          </cell>
          <cell r="N9">
            <v>0.96673648904566356</v>
          </cell>
          <cell r="O9">
            <v>0.90349204583706866</v>
          </cell>
          <cell r="P9">
            <v>0.84438508956735381</v>
          </cell>
          <cell r="Q9">
            <v>0.78914494352089137</v>
          </cell>
          <cell r="R9">
            <v>0.73751863880457136</v>
          </cell>
          <cell r="S9">
            <v>0.68926975589212269</v>
          </cell>
          <cell r="T9">
            <v>0.64417734195525478</v>
          </cell>
          <cell r="U9">
            <v>0.60203489902360252</v>
          </cell>
          <cell r="V9">
            <v>0.5626494383398154</v>
          </cell>
          <cell r="W9">
            <v>0.52584059657926674</v>
          </cell>
          <cell r="X9">
            <v>0.49143980988716512</v>
          </cell>
          <cell r="Y9">
            <v>0.4592895419506216</v>
          </cell>
          <cell r="Z9">
            <v>0.42924256257067439</v>
          </cell>
          <cell r="AA9">
            <v>0.40116127343053681</v>
          </cell>
          <cell r="AB9">
            <v>0.37491707797246426</v>
          </cell>
          <cell r="AC9">
            <v>0.35038979249763014</v>
          </cell>
          <cell r="AD9">
            <v>0.3274670957921777</v>
          </cell>
          <cell r="AE9">
            <v>0.30604401475904458</v>
          </cell>
          <cell r="AF9">
            <v>0.28602244370004165</v>
          </cell>
          <cell r="AG9">
            <v>0.26731069504676791</v>
          </cell>
        </row>
        <row r="14">
          <cell r="E14">
            <v>0</v>
          </cell>
          <cell r="F14">
            <v>0</v>
          </cell>
          <cell r="G14">
            <v>0</v>
          </cell>
          <cell r="H14">
            <v>0</v>
          </cell>
          <cell r="I14">
            <v>0</v>
          </cell>
          <cell r="J14">
            <v>0</v>
          </cell>
          <cell r="K14">
            <v>0</v>
          </cell>
          <cell r="L14">
            <v>0</v>
          </cell>
          <cell r="M14">
            <v>0</v>
          </cell>
          <cell r="N14">
            <v>0</v>
          </cell>
          <cell r="O14">
            <v>0</v>
          </cell>
          <cell r="P14">
            <v>0</v>
          </cell>
          <cell r="Q14">
            <v>48.231395095290473</v>
          </cell>
          <cell r="R14">
            <v>70.156281157613563</v>
          </cell>
          <cell r="S14">
            <v>61.782498652432999</v>
          </cell>
          <cell r="T14">
            <v>67.298178448989873</v>
          </cell>
          <cell r="U14">
            <v>49.044399132252408</v>
          </cell>
          <cell r="V14">
            <v>36.029450379544308</v>
          </cell>
          <cell r="W14">
            <v>24.27600329521244</v>
          </cell>
          <cell r="X14">
            <v>17.28719202365146</v>
          </cell>
          <cell r="Y14">
            <v>11.966492607615306</v>
          </cell>
          <cell r="Z14">
            <v>7.2606663176213271</v>
          </cell>
          <cell r="AA14">
            <v>4.7886563694484892</v>
          </cell>
          <cell r="AB14">
            <v>0</v>
          </cell>
          <cell r="AC14">
            <v>0</v>
          </cell>
          <cell r="AD14">
            <v>0</v>
          </cell>
          <cell r="AE14">
            <v>0</v>
          </cell>
          <cell r="AF14">
            <v>0</v>
          </cell>
          <cell r="AG14">
            <v>0</v>
          </cell>
        </row>
        <row r="15">
          <cell r="E15">
            <v>60</v>
          </cell>
          <cell r="F15">
            <v>60</v>
          </cell>
          <cell r="G15">
            <v>60</v>
          </cell>
          <cell r="H15">
            <v>60</v>
          </cell>
          <cell r="I15">
            <v>60</v>
          </cell>
          <cell r="J15">
            <v>60</v>
          </cell>
          <cell r="K15">
            <v>60</v>
          </cell>
          <cell r="L15">
            <v>60</v>
          </cell>
          <cell r="M15">
            <v>60</v>
          </cell>
          <cell r="N15">
            <v>60</v>
          </cell>
          <cell r="O15">
            <v>60</v>
          </cell>
          <cell r="P15">
            <v>60</v>
          </cell>
          <cell r="Q15">
            <v>60</v>
          </cell>
          <cell r="R15">
            <v>60</v>
          </cell>
          <cell r="S15">
            <v>60</v>
          </cell>
          <cell r="T15">
            <v>60</v>
          </cell>
          <cell r="U15">
            <v>60</v>
          </cell>
          <cell r="V15">
            <v>60</v>
          </cell>
          <cell r="W15">
            <v>60</v>
          </cell>
          <cell r="X15">
            <v>60</v>
          </cell>
          <cell r="Y15">
            <v>60</v>
          </cell>
          <cell r="Z15">
            <v>60</v>
          </cell>
          <cell r="AA15">
            <v>60</v>
          </cell>
          <cell r="AB15">
            <v>60</v>
          </cell>
          <cell r="AC15">
            <v>60</v>
          </cell>
          <cell r="AD15">
            <v>60</v>
          </cell>
          <cell r="AE15">
            <v>60</v>
          </cell>
          <cell r="AF15">
            <v>60</v>
          </cell>
          <cell r="AG15">
            <v>60</v>
          </cell>
        </row>
        <row r="16">
          <cell r="E16">
            <v>-5</v>
          </cell>
          <cell r="F16">
            <v>-5</v>
          </cell>
          <cell r="G16">
            <v>-5</v>
          </cell>
          <cell r="H16">
            <v>-5</v>
          </cell>
          <cell r="I16">
            <v>-5</v>
          </cell>
          <cell r="J16">
            <v>-5</v>
          </cell>
          <cell r="K16">
            <v>-5</v>
          </cell>
          <cell r="L16">
            <v>-5</v>
          </cell>
          <cell r="M16">
            <v>-5</v>
          </cell>
          <cell r="N16">
            <v>-5</v>
          </cell>
          <cell r="O16">
            <v>-5</v>
          </cell>
          <cell r="P16">
            <v>-5</v>
          </cell>
          <cell r="Q16">
            <v>-5</v>
          </cell>
          <cell r="R16">
            <v>-5</v>
          </cell>
          <cell r="S16">
            <v>-5</v>
          </cell>
          <cell r="T16">
            <v>-5</v>
          </cell>
          <cell r="U16">
            <v>-5</v>
          </cell>
          <cell r="V16">
            <v>-5</v>
          </cell>
          <cell r="W16">
            <v>-5</v>
          </cell>
          <cell r="X16">
            <v>-5</v>
          </cell>
          <cell r="Y16">
            <v>-5</v>
          </cell>
          <cell r="Z16">
            <v>-5</v>
          </cell>
          <cell r="AA16">
            <v>-5</v>
          </cell>
          <cell r="AB16">
            <v>-5</v>
          </cell>
          <cell r="AC16">
            <v>-5</v>
          </cell>
          <cell r="AD16">
            <v>-5</v>
          </cell>
          <cell r="AE16">
            <v>-5</v>
          </cell>
          <cell r="AF16">
            <v>-5</v>
          </cell>
          <cell r="AG16">
            <v>-5</v>
          </cell>
        </row>
        <row r="17">
          <cell r="E17">
            <v>0</v>
          </cell>
          <cell r="F17">
            <v>0</v>
          </cell>
          <cell r="G17">
            <v>0</v>
          </cell>
          <cell r="H17">
            <v>0</v>
          </cell>
          <cell r="I17">
            <v>0</v>
          </cell>
          <cell r="J17">
            <v>0</v>
          </cell>
          <cell r="K17">
            <v>0</v>
          </cell>
          <cell r="L17">
            <v>0</v>
          </cell>
          <cell r="M17">
            <v>0</v>
          </cell>
          <cell r="N17">
            <v>0</v>
          </cell>
          <cell r="O17">
            <v>0</v>
          </cell>
          <cell r="P17">
            <v>0</v>
          </cell>
          <cell r="Q17">
            <v>2652.7267302409759</v>
          </cell>
          <cell r="R17">
            <v>3858.5954636687461</v>
          </cell>
          <cell r="S17">
            <v>3398.0374258838151</v>
          </cell>
          <cell r="T17">
            <v>3701.3998146944432</v>
          </cell>
          <cell r="U17">
            <v>2697.4419522738826</v>
          </cell>
          <cell r="V17">
            <v>1981.6197708749369</v>
          </cell>
          <cell r="W17">
            <v>1335.1801812366841</v>
          </cell>
          <cell r="X17">
            <v>950.79556130083029</v>
          </cell>
          <cell r="Y17">
            <v>658.1570934188419</v>
          </cell>
          <cell r="Z17">
            <v>399.33664746917299</v>
          </cell>
          <cell r="AA17">
            <v>263.37610031966688</v>
          </cell>
          <cell r="AB17">
            <v>0</v>
          </cell>
          <cell r="AC17">
            <v>0</v>
          </cell>
          <cell r="AD17">
            <v>0</v>
          </cell>
          <cell r="AE17">
            <v>0</v>
          </cell>
          <cell r="AF17">
            <v>0</v>
          </cell>
          <cell r="AG17">
            <v>0</v>
          </cell>
        </row>
        <row r="20">
          <cell r="E20">
            <v>-1</v>
          </cell>
          <cell r="F20">
            <v>-1</v>
          </cell>
          <cell r="G20">
            <v>-1</v>
          </cell>
          <cell r="H20">
            <v>-1</v>
          </cell>
          <cell r="I20">
            <v>-1</v>
          </cell>
          <cell r="J20">
            <v>-1</v>
          </cell>
          <cell r="K20">
            <v>-1</v>
          </cell>
          <cell r="L20">
            <v>-1</v>
          </cell>
          <cell r="M20">
            <v>-1</v>
          </cell>
          <cell r="N20">
            <v>-1</v>
          </cell>
          <cell r="O20">
            <v>-1</v>
          </cell>
          <cell r="P20">
            <v>-1</v>
          </cell>
          <cell r="Q20">
            <v>-1</v>
          </cell>
          <cell r="R20">
            <v>-1</v>
          </cell>
          <cell r="S20">
            <v>-1</v>
          </cell>
          <cell r="T20">
            <v>-1</v>
          </cell>
          <cell r="U20">
            <v>-1</v>
          </cell>
          <cell r="V20">
            <v>-1</v>
          </cell>
          <cell r="W20">
            <v>-1</v>
          </cell>
          <cell r="X20">
            <v>-1</v>
          </cell>
          <cell r="Y20">
            <v>-1</v>
          </cell>
          <cell r="Z20">
            <v>-1</v>
          </cell>
          <cell r="AA20">
            <v>-1</v>
          </cell>
          <cell r="AB20">
            <v>-1</v>
          </cell>
          <cell r="AC20">
            <v>-1</v>
          </cell>
          <cell r="AD20">
            <v>-1</v>
          </cell>
          <cell r="AE20">
            <v>-1</v>
          </cell>
          <cell r="AF20">
            <v>-1</v>
          </cell>
          <cell r="AG20">
            <v>-1</v>
          </cell>
        </row>
        <row r="22">
          <cell r="E22">
            <v>0</v>
          </cell>
          <cell r="F22">
            <v>0</v>
          </cell>
          <cell r="G22">
            <v>0</v>
          </cell>
          <cell r="H22">
            <v>0</v>
          </cell>
          <cell r="I22">
            <v>0</v>
          </cell>
          <cell r="J22">
            <v>0</v>
          </cell>
          <cell r="K22">
            <v>0</v>
          </cell>
          <cell r="L22">
            <v>0</v>
          </cell>
          <cell r="M22">
            <v>0</v>
          </cell>
          <cell r="N22">
            <v>0</v>
          </cell>
          <cell r="O22">
            <v>0</v>
          </cell>
          <cell r="P22">
            <v>0</v>
          </cell>
          <cell r="Q22">
            <v>-51.939937208789289</v>
          </cell>
          <cell r="R22">
            <v>-77.439407500085636</v>
          </cell>
          <cell r="S22">
            <v>-69.90122638826665</v>
          </cell>
          <cell r="T22">
            <v>-78.045254605010129</v>
          </cell>
          <cell r="U22">
            <v>-58.298378545726074</v>
          </cell>
          <cell r="V22">
            <v>-43.898386738126582</v>
          </cell>
          <cell r="W22">
            <v>-30.317401573718314</v>
          </cell>
          <cell r="X22">
            <v>-22.129067322030771</v>
          </cell>
          <cell r="Y22">
            <v>-15.701075291129518</v>
          </cell>
          <cell r="Z22">
            <v>-9.7647889871504372</v>
          </cell>
          <cell r="AA22">
            <v>-6.6012156952877978</v>
          </cell>
          <cell r="AB22">
            <v>0</v>
          </cell>
          <cell r="AC22">
            <v>0</v>
          </cell>
          <cell r="AD22">
            <v>0</v>
          </cell>
          <cell r="AE22">
            <v>0</v>
          </cell>
          <cell r="AF22">
            <v>0</v>
          </cell>
          <cell r="AG22">
            <v>0</v>
          </cell>
        </row>
        <row r="25">
          <cell r="E25">
            <v>0</v>
          </cell>
          <cell r="F25">
            <v>0</v>
          </cell>
          <cell r="G25">
            <v>0</v>
          </cell>
          <cell r="H25">
            <v>0</v>
          </cell>
          <cell r="I25">
            <v>0</v>
          </cell>
          <cell r="J25">
            <v>0</v>
          </cell>
          <cell r="K25">
            <v>0</v>
          </cell>
          <cell r="L25">
            <v>0</v>
          </cell>
          <cell r="M25">
            <v>0</v>
          </cell>
          <cell r="N25">
            <v>0</v>
          </cell>
          <cell r="O25">
            <v>0</v>
          </cell>
          <cell r="P25">
            <v>0</v>
          </cell>
          <cell r="Q25">
            <v>-107.68906249999999</v>
          </cell>
          <cell r="R25">
            <v>-110.38128906249997</v>
          </cell>
          <cell r="S25">
            <v>-113.14082128906247</v>
          </cell>
          <cell r="T25">
            <v>-115.96934182128902</v>
          </cell>
          <cell r="U25">
            <v>-118.86857536682123</v>
          </cell>
          <cell r="V25">
            <v>-121.84028975099174</v>
          </cell>
          <cell r="W25">
            <v>-124.88629699476652</v>
          </cell>
          <cell r="X25">
            <v>-128.00845441963565</v>
          </cell>
          <cell r="Y25">
            <v>-131.20866578012655</v>
          </cell>
          <cell r="Z25">
            <v>-134.48888242462971</v>
          </cell>
          <cell r="AA25">
            <v>-137.85110448524546</v>
          </cell>
          <cell r="AB25">
            <v>0</v>
          </cell>
          <cell r="AC25">
            <v>0</v>
          </cell>
          <cell r="AD25">
            <v>0</v>
          </cell>
          <cell r="AE25">
            <v>0</v>
          </cell>
          <cell r="AF25">
            <v>0</v>
          </cell>
          <cell r="AG25">
            <v>0</v>
          </cell>
        </row>
        <row r="29">
          <cell r="E29">
            <v>-60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row>
        <row r="32">
          <cell r="E32">
            <v>-60</v>
          </cell>
          <cell r="F32">
            <v>-20</v>
          </cell>
          <cell r="G32">
            <v>-20</v>
          </cell>
          <cell r="H32">
            <v>-30</v>
          </cell>
          <cell r="I32">
            <v>-30</v>
          </cell>
          <cell r="J32">
            <v>-30</v>
          </cell>
          <cell r="K32">
            <v>-30</v>
          </cell>
          <cell r="L32">
            <v>-40</v>
          </cell>
          <cell r="M32">
            <v>-100</v>
          </cell>
          <cell r="N32">
            <v>-2501.5</v>
          </cell>
          <cell r="O32">
            <v>-2751.5</v>
          </cell>
          <cell r="P32">
            <v>-2160</v>
          </cell>
          <cell r="Q32">
            <v>-1130</v>
          </cell>
          <cell r="R32">
            <v>-200.75</v>
          </cell>
          <cell r="S32">
            <v>-290.75</v>
          </cell>
          <cell r="T32">
            <v>-268.75</v>
          </cell>
          <cell r="U32">
            <v>-90</v>
          </cell>
          <cell r="V32">
            <v>-90</v>
          </cell>
          <cell r="W32">
            <v>-90</v>
          </cell>
          <cell r="X32">
            <v>-90</v>
          </cell>
          <cell r="Y32">
            <v>-90</v>
          </cell>
          <cell r="Z32">
            <v>-90</v>
          </cell>
          <cell r="AA32">
            <v>-90</v>
          </cell>
          <cell r="AB32">
            <v>0</v>
          </cell>
          <cell r="AC32">
            <v>0</v>
          </cell>
          <cell r="AD32">
            <v>0</v>
          </cell>
          <cell r="AE32">
            <v>0</v>
          </cell>
          <cell r="AF32">
            <v>0</v>
          </cell>
          <cell r="AG32">
            <v>0</v>
          </cell>
        </row>
        <row r="37">
          <cell r="E37">
            <v>0</v>
          </cell>
          <cell r="F37">
            <v>0</v>
          </cell>
          <cell r="G37">
            <v>0</v>
          </cell>
          <cell r="H37">
            <v>0</v>
          </cell>
          <cell r="I37">
            <v>0</v>
          </cell>
          <cell r="J37">
            <v>0</v>
          </cell>
          <cell r="K37">
            <v>0</v>
          </cell>
          <cell r="L37">
            <v>0</v>
          </cell>
          <cell r="M37">
            <v>0</v>
          </cell>
          <cell r="N37">
            <v>0</v>
          </cell>
          <cell r="O37">
            <v>0</v>
          </cell>
          <cell r="P37">
            <v>0</v>
          </cell>
          <cell r="Q37">
            <v>-9727.2999999999993</v>
          </cell>
          <cell r="R37">
            <v>-220.82500000000002</v>
          </cell>
          <cell r="S37">
            <v>-319.82500000000005</v>
          </cell>
          <cell r="T37">
            <v>-295.625</v>
          </cell>
          <cell r="U37">
            <v>-99.000000000000014</v>
          </cell>
          <cell r="V37">
            <v>-99.000000000000014</v>
          </cell>
          <cell r="W37">
            <v>-99.000000000000014</v>
          </cell>
          <cell r="X37">
            <v>-99.000000000000014</v>
          </cell>
          <cell r="Y37">
            <v>-99.000000000000014</v>
          </cell>
          <cell r="Z37">
            <v>-99.000000000000014</v>
          </cell>
          <cell r="AA37">
            <v>-99.000000000000014</v>
          </cell>
          <cell r="AB37">
            <v>0</v>
          </cell>
          <cell r="AC37">
            <v>0</v>
          </cell>
          <cell r="AD37">
            <v>0</v>
          </cell>
          <cell r="AE37">
            <v>0</v>
          </cell>
          <cell r="AF37">
            <v>0</v>
          </cell>
          <cell r="AG37">
            <v>0</v>
          </cell>
        </row>
        <row r="38">
          <cell r="E38">
            <v>0</v>
          </cell>
          <cell r="F38">
            <v>0</v>
          </cell>
          <cell r="G38">
            <v>0</v>
          </cell>
          <cell r="H38">
            <v>0</v>
          </cell>
          <cell r="I38">
            <v>0</v>
          </cell>
          <cell r="J38">
            <v>0</v>
          </cell>
          <cell r="K38">
            <v>0</v>
          </cell>
          <cell r="L38">
            <v>0</v>
          </cell>
          <cell r="M38">
            <v>0</v>
          </cell>
          <cell r="N38">
            <v>0</v>
          </cell>
          <cell r="O38">
            <v>0</v>
          </cell>
          <cell r="P38">
            <v>0</v>
          </cell>
          <cell r="Q38">
            <v>-2431.8249999999998</v>
          </cell>
          <cell r="R38">
            <v>-2487.03125</v>
          </cell>
          <cell r="S38">
            <v>-2566.9875000000002</v>
          </cell>
          <cell r="T38">
            <v>-2640.8937500000002</v>
          </cell>
          <cell r="U38">
            <v>-233.81875000000002</v>
          </cell>
          <cell r="V38">
            <v>-203.36250000000001</v>
          </cell>
          <cell r="W38">
            <v>-148.15625</v>
          </cell>
          <cell r="X38">
            <v>-99.000000000000014</v>
          </cell>
          <cell r="Y38">
            <v>-99.000000000000014</v>
          </cell>
          <cell r="Z38">
            <v>-99.000000000000014</v>
          </cell>
          <cell r="AA38">
            <v>-99.000000000000014</v>
          </cell>
          <cell r="AB38">
            <v>-74.250000000000014</v>
          </cell>
          <cell r="AC38">
            <v>-49.500000000000007</v>
          </cell>
          <cell r="AD38">
            <v>-24.750000000000004</v>
          </cell>
          <cell r="AE38">
            <v>0</v>
          </cell>
          <cell r="AF38">
            <v>0</v>
          </cell>
          <cell r="AG38">
            <v>0</v>
          </cell>
        </row>
        <row r="41">
          <cell r="E41">
            <v>0.5</v>
          </cell>
          <cell r="F41">
            <v>0.5</v>
          </cell>
          <cell r="G41">
            <v>0.5</v>
          </cell>
          <cell r="H41">
            <v>0.5</v>
          </cell>
          <cell r="I41">
            <v>0.5</v>
          </cell>
          <cell r="J41">
            <v>0.5</v>
          </cell>
          <cell r="K41">
            <v>0.5</v>
          </cell>
          <cell r="L41">
            <v>0.5</v>
          </cell>
          <cell r="M41">
            <v>0.5</v>
          </cell>
          <cell r="N41">
            <v>0.5</v>
          </cell>
          <cell r="O41">
            <v>0.5</v>
          </cell>
          <cell r="P41">
            <v>0.5</v>
          </cell>
          <cell r="Q41">
            <v>0.5</v>
          </cell>
          <cell r="R41">
            <v>0.5</v>
          </cell>
          <cell r="S41">
            <v>0.5</v>
          </cell>
          <cell r="T41">
            <v>0.5</v>
          </cell>
          <cell r="U41">
            <v>0.5</v>
          </cell>
          <cell r="V41">
            <v>0.5</v>
          </cell>
          <cell r="W41">
            <v>0.5</v>
          </cell>
          <cell r="X41">
            <v>0.5</v>
          </cell>
          <cell r="Y41">
            <v>0.5</v>
          </cell>
          <cell r="Z41">
            <v>0.5</v>
          </cell>
          <cell r="AA41">
            <v>0.5</v>
          </cell>
          <cell r="AB41">
            <v>0.5</v>
          </cell>
          <cell r="AC41">
            <v>0.5</v>
          </cell>
          <cell r="AD41">
            <v>0.5</v>
          </cell>
          <cell r="AE41">
            <v>0.5</v>
          </cell>
          <cell r="AF41">
            <v>0.5</v>
          </cell>
          <cell r="AG41">
            <v>0.5</v>
          </cell>
        </row>
        <row r="42">
          <cell r="E42">
            <v>0</v>
          </cell>
          <cell r="F42">
            <v>0</v>
          </cell>
          <cell r="G42">
            <v>0</v>
          </cell>
          <cell r="H42">
            <v>0</v>
          </cell>
          <cell r="I42">
            <v>0</v>
          </cell>
          <cell r="J42">
            <v>0</v>
          </cell>
          <cell r="K42">
            <v>0</v>
          </cell>
          <cell r="L42">
            <v>0</v>
          </cell>
          <cell r="M42">
            <v>0</v>
          </cell>
          <cell r="N42">
            <v>0</v>
          </cell>
          <cell r="O42">
            <v>0</v>
          </cell>
          <cell r="P42">
            <v>0</v>
          </cell>
          <cell r="Q42">
            <v>1326.363365120488</v>
          </cell>
          <cell r="R42">
            <v>1929.2977318343731</v>
          </cell>
          <cell r="S42">
            <v>1699.0187129419076</v>
          </cell>
          <cell r="T42">
            <v>1850.6999073472216</v>
          </cell>
          <cell r="U42">
            <v>1348.7209761369413</v>
          </cell>
          <cell r="V42">
            <v>990.80988543746844</v>
          </cell>
          <cell r="W42">
            <v>667.59009061834206</v>
          </cell>
          <cell r="X42">
            <v>475.39778065041514</v>
          </cell>
          <cell r="Y42">
            <v>329.07854670942095</v>
          </cell>
          <cell r="Z42">
            <v>199.66832373458649</v>
          </cell>
          <cell r="AA42">
            <v>131.68805015983344</v>
          </cell>
          <cell r="AB42">
            <v>0</v>
          </cell>
          <cell r="AC42">
            <v>0</v>
          </cell>
          <cell r="AD42">
            <v>0</v>
          </cell>
          <cell r="AE42">
            <v>0</v>
          </cell>
          <cell r="AF42">
            <v>0</v>
          </cell>
          <cell r="AG42">
            <v>0</v>
          </cell>
        </row>
        <row r="43">
          <cell r="E43">
            <v>0</v>
          </cell>
          <cell r="F43">
            <v>0</v>
          </cell>
          <cell r="G43">
            <v>0</v>
          </cell>
          <cell r="H43">
            <v>0</v>
          </cell>
          <cell r="I43">
            <v>0</v>
          </cell>
          <cell r="J43">
            <v>0</v>
          </cell>
          <cell r="K43">
            <v>0</v>
          </cell>
          <cell r="L43">
            <v>0</v>
          </cell>
          <cell r="M43">
            <v>0</v>
          </cell>
          <cell r="N43">
            <v>0</v>
          </cell>
          <cell r="O43">
            <v>0</v>
          </cell>
          <cell r="P43">
            <v>0</v>
          </cell>
          <cell r="Q43">
            <v>2591.4539997087891</v>
          </cell>
          <cell r="R43">
            <v>3939.9425811508863</v>
          </cell>
          <cell r="S43">
            <v>4760.6743969938425</v>
          </cell>
          <cell r="T43">
            <v>5896.5640304782346</v>
          </cell>
          <cell r="U43">
            <v>4456.8498270435603</v>
          </cell>
          <cell r="V43">
            <v>3477.2300273957371</v>
          </cell>
          <cell r="W43">
            <v>2789.7800905267536</v>
          </cell>
          <cell r="X43">
            <v>2371.3275216500779</v>
          </cell>
          <cell r="Y43">
            <v>2141.8394820709186</v>
          </cell>
          <cell r="Z43">
            <v>2056.0146067732776</v>
          </cell>
          <cell r="AA43">
            <v>2099.7986032192243</v>
          </cell>
          <cell r="AB43">
            <v>2042.3605530593909</v>
          </cell>
          <cell r="AC43">
            <v>2091.8605530593909</v>
          </cell>
          <cell r="AD43">
            <v>2116.6105530593909</v>
          </cell>
          <cell r="AE43">
            <v>2116.6105530593909</v>
          </cell>
          <cell r="AF43">
            <v>2116.6105530593909</v>
          </cell>
          <cell r="AG43">
            <v>2116.6105530593909</v>
          </cell>
        </row>
        <row r="44">
          <cell r="E44">
            <v>0</v>
          </cell>
          <cell r="F44">
            <v>0</v>
          </cell>
          <cell r="G44">
            <v>0</v>
          </cell>
          <cell r="H44">
            <v>0</v>
          </cell>
          <cell r="I44">
            <v>0</v>
          </cell>
          <cell r="J44">
            <v>0</v>
          </cell>
          <cell r="K44">
            <v>0</v>
          </cell>
          <cell r="L44">
            <v>0</v>
          </cell>
          <cell r="M44">
            <v>0</v>
          </cell>
          <cell r="N44">
            <v>0</v>
          </cell>
          <cell r="O44">
            <v>0</v>
          </cell>
          <cell r="P44">
            <v>0</v>
          </cell>
          <cell r="Q44">
            <v>1265.0906345883011</v>
          </cell>
          <cell r="R44">
            <v>2010.6448493165133</v>
          </cell>
          <cell r="S44">
            <v>3061.6556840519352</v>
          </cell>
          <cell r="T44">
            <v>4045.864123131013</v>
          </cell>
          <cell r="U44">
            <v>3108.1288509066189</v>
          </cell>
          <cell r="V44">
            <v>2486.4201419582687</v>
          </cell>
          <cell r="W44">
            <v>2122.1899999084117</v>
          </cell>
          <cell r="X44">
            <v>1895.9297409996627</v>
          </cell>
          <cell r="Y44">
            <v>1812.7609353614976</v>
          </cell>
          <cell r="Z44">
            <v>1856.3462830386911</v>
          </cell>
          <cell r="AA44">
            <v>1968.1105530593909</v>
          </cell>
          <cell r="AB44">
            <v>2042.3605530593909</v>
          </cell>
          <cell r="AC44">
            <v>2091.8605530593909</v>
          </cell>
          <cell r="AD44">
            <v>2116.6105530593909</v>
          </cell>
          <cell r="AE44">
            <v>2116.6105530593909</v>
          </cell>
          <cell r="AF44">
            <v>2116.6105530593909</v>
          </cell>
          <cell r="AG44">
            <v>2116.6105530593909</v>
          </cell>
        </row>
        <row r="45">
          <cell r="E45">
            <v>0</v>
          </cell>
          <cell r="F45">
            <v>0</v>
          </cell>
          <cell r="G45">
            <v>0</v>
          </cell>
          <cell r="H45">
            <v>0</v>
          </cell>
          <cell r="I45">
            <v>0</v>
          </cell>
          <cell r="J45">
            <v>0</v>
          </cell>
          <cell r="K45">
            <v>0</v>
          </cell>
          <cell r="L45">
            <v>0</v>
          </cell>
          <cell r="M45">
            <v>0</v>
          </cell>
          <cell r="N45">
            <v>0</v>
          </cell>
          <cell r="O45">
            <v>0</v>
          </cell>
          <cell r="P45">
            <v>0</v>
          </cell>
          <cell r="Q45">
            <v>1326.363365120488</v>
          </cell>
          <cell r="R45">
            <v>1929.2977318343731</v>
          </cell>
          <cell r="S45">
            <v>1699.0187129419076</v>
          </cell>
          <cell r="T45">
            <v>1850.6999073472216</v>
          </cell>
          <cell r="U45">
            <v>1348.7209761369413</v>
          </cell>
          <cell r="V45">
            <v>990.80988543746844</v>
          </cell>
          <cell r="W45">
            <v>667.59009061834206</v>
          </cell>
          <cell r="X45">
            <v>475.39778065041514</v>
          </cell>
          <cell r="Y45">
            <v>329.07854670942095</v>
          </cell>
          <cell r="Z45">
            <v>199.66832373458649</v>
          </cell>
          <cell r="AA45">
            <v>131.68805015983344</v>
          </cell>
          <cell r="AB45">
            <v>0</v>
          </cell>
          <cell r="AC45">
            <v>0</v>
          </cell>
          <cell r="AD45">
            <v>0</v>
          </cell>
          <cell r="AE45">
            <v>0</v>
          </cell>
          <cell r="AF45">
            <v>0</v>
          </cell>
          <cell r="AG45">
            <v>0</v>
          </cell>
        </row>
        <row r="53">
          <cell r="E53">
            <v>0</v>
          </cell>
          <cell r="F53">
            <v>0</v>
          </cell>
          <cell r="G53">
            <v>0</v>
          </cell>
          <cell r="H53">
            <v>0</v>
          </cell>
          <cell r="I53">
            <v>0</v>
          </cell>
          <cell r="J53">
            <v>0</v>
          </cell>
          <cell r="K53">
            <v>0</v>
          </cell>
          <cell r="L53">
            <v>0</v>
          </cell>
          <cell r="M53">
            <v>0</v>
          </cell>
          <cell r="N53">
            <v>0</v>
          </cell>
          <cell r="O53">
            <v>0</v>
          </cell>
          <cell r="P53">
            <v>0</v>
          </cell>
          <cell r="Q53">
            <v>1326.363365120488</v>
          </cell>
          <cell r="R53">
            <v>1929.2977318343731</v>
          </cell>
          <cell r="S53">
            <v>1699.0187129419076</v>
          </cell>
          <cell r="T53">
            <v>1850.6999073472216</v>
          </cell>
          <cell r="U53">
            <v>1348.7209761369413</v>
          </cell>
          <cell r="V53">
            <v>990.80988543746844</v>
          </cell>
          <cell r="W53">
            <v>667.59009061834206</v>
          </cell>
          <cell r="X53">
            <v>475.39778065041514</v>
          </cell>
          <cell r="Y53">
            <v>329.07854670942095</v>
          </cell>
          <cell r="Z53">
            <v>199.66832373458649</v>
          </cell>
          <cell r="AA53">
            <v>131.68805015983344</v>
          </cell>
          <cell r="AB53">
            <v>0</v>
          </cell>
          <cell r="AC53">
            <v>0</v>
          </cell>
          <cell r="AD53">
            <v>0</v>
          </cell>
          <cell r="AE53">
            <v>0</v>
          </cell>
          <cell r="AF53">
            <v>0</v>
          </cell>
          <cell r="AG53">
            <v>0</v>
          </cell>
        </row>
        <row r="54">
          <cell r="N54">
            <v>0.5</v>
          </cell>
          <cell r="O54">
            <v>0.5</v>
          </cell>
          <cell r="P54">
            <v>0.5</v>
          </cell>
          <cell r="Q54">
            <v>0.5</v>
          </cell>
          <cell r="R54">
            <v>0.5</v>
          </cell>
          <cell r="S54">
            <v>0.5</v>
          </cell>
          <cell r="T54">
            <v>0.5</v>
          </cell>
          <cell r="U54">
            <v>0.5</v>
          </cell>
          <cell r="V54">
            <v>0.5</v>
          </cell>
          <cell r="W54">
            <v>0.5</v>
          </cell>
          <cell r="X54">
            <v>0.5</v>
          </cell>
          <cell r="Y54">
            <v>0.5</v>
          </cell>
          <cell r="Z54">
            <v>0.5</v>
          </cell>
          <cell r="AA54">
            <v>0.5</v>
          </cell>
          <cell r="AB54">
            <v>0.5</v>
          </cell>
          <cell r="AC54">
            <v>0.5</v>
          </cell>
          <cell r="AD54">
            <v>0.5</v>
          </cell>
          <cell r="AE54">
            <v>0.5</v>
          </cell>
          <cell r="AF54">
            <v>0.5</v>
          </cell>
          <cell r="AG54">
            <v>0.5</v>
          </cell>
        </row>
        <row r="55">
          <cell r="E55">
            <v>0</v>
          </cell>
          <cell r="F55">
            <v>0</v>
          </cell>
          <cell r="G55">
            <v>0</v>
          </cell>
          <cell r="H55">
            <v>0</v>
          </cell>
          <cell r="I55">
            <v>0</v>
          </cell>
          <cell r="J55">
            <v>0</v>
          </cell>
          <cell r="K55">
            <v>0</v>
          </cell>
          <cell r="L55">
            <v>0</v>
          </cell>
          <cell r="M55">
            <v>0</v>
          </cell>
          <cell r="N55">
            <v>0</v>
          </cell>
          <cell r="O55">
            <v>0</v>
          </cell>
          <cell r="P55">
            <v>0</v>
          </cell>
          <cell r="Q55">
            <v>663.18168256024398</v>
          </cell>
          <cell r="R55">
            <v>964.64886591718653</v>
          </cell>
          <cell r="S55">
            <v>849.50935647095378</v>
          </cell>
          <cell r="T55">
            <v>925.3499536736108</v>
          </cell>
          <cell r="U55">
            <v>674.36048806847066</v>
          </cell>
          <cell r="V55">
            <v>495.40494271873422</v>
          </cell>
          <cell r="W55">
            <v>333.79504530917103</v>
          </cell>
          <cell r="X55">
            <v>237.69889032520757</v>
          </cell>
          <cell r="Y55">
            <v>164.53927335471047</v>
          </cell>
          <cell r="Z55">
            <v>99.834161867293247</v>
          </cell>
          <cell r="AA55">
            <v>65.844025079916719</v>
          </cell>
          <cell r="AB55">
            <v>0</v>
          </cell>
          <cell r="AC55">
            <v>0</v>
          </cell>
          <cell r="AD55">
            <v>0</v>
          </cell>
          <cell r="AE55">
            <v>0</v>
          </cell>
          <cell r="AF55">
            <v>0</v>
          </cell>
          <cell r="AG55">
            <v>0</v>
          </cell>
        </row>
        <row r="64">
          <cell r="E64">
            <v>0</v>
          </cell>
          <cell r="F64">
            <v>0</v>
          </cell>
          <cell r="G64">
            <v>0</v>
          </cell>
          <cell r="H64">
            <v>0</v>
          </cell>
          <cell r="I64">
            <v>0</v>
          </cell>
          <cell r="J64">
            <v>0</v>
          </cell>
          <cell r="K64">
            <v>0</v>
          </cell>
          <cell r="L64">
            <v>0</v>
          </cell>
          <cell r="M64">
            <v>0</v>
          </cell>
          <cell r="N64">
            <v>0</v>
          </cell>
          <cell r="O64">
            <v>0</v>
          </cell>
          <cell r="P64">
            <v>0</v>
          </cell>
          <cell r="Q64">
            <v>-198.95450476807318</v>
          </cell>
          <cell r="R64">
            <v>-289.39465977515596</v>
          </cell>
          <cell r="S64">
            <v>-254.85280694128613</v>
          </cell>
          <cell r="T64">
            <v>-277.60498610208322</v>
          </cell>
          <cell r="U64">
            <v>-202.30814642054119</v>
          </cell>
          <cell r="V64">
            <v>-148.62148281562025</v>
          </cell>
          <cell r="W64">
            <v>-100.13851359275131</v>
          </cell>
          <cell r="X64">
            <v>-71.309667097562269</v>
          </cell>
          <cell r="Y64">
            <v>-49.361782006413144</v>
          </cell>
          <cell r="Z64">
            <v>-29.950248560187973</v>
          </cell>
          <cell r="AA64">
            <v>-19.753207523975014</v>
          </cell>
          <cell r="AB64">
            <v>0</v>
          </cell>
          <cell r="AC64">
            <v>0</v>
          </cell>
          <cell r="AD64">
            <v>0</v>
          </cell>
          <cell r="AE64">
            <v>0</v>
          </cell>
          <cell r="AF64">
            <v>0</v>
          </cell>
          <cell r="AG64">
            <v>0</v>
          </cell>
        </row>
        <row r="67">
          <cell r="E67">
            <v>0</v>
          </cell>
          <cell r="F67">
            <v>0</v>
          </cell>
          <cell r="G67">
            <v>0</v>
          </cell>
          <cell r="H67">
            <v>0</v>
          </cell>
          <cell r="I67">
            <v>0</v>
          </cell>
          <cell r="J67">
            <v>0</v>
          </cell>
          <cell r="K67">
            <v>0</v>
          </cell>
          <cell r="L67">
            <v>0</v>
          </cell>
          <cell r="M67">
            <v>0</v>
          </cell>
          <cell r="N67">
            <v>0</v>
          </cell>
          <cell r="O67">
            <v>0</v>
          </cell>
          <cell r="P67">
            <v>0</v>
          </cell>
          <cell r="Q67">
            <v>165.795420640061</v>
          </cell>
          <cell r="R67">
            <v>241.16221647929663</v>
          </cell>
          <cell r="S67">
            <v>212.37733911773844</v>
          </cell>
          <cell r="T67">
            <v>231.3374884184027</v>
          </cell>
          <cell r="U67">
            <v>168.59012201711766</v>
          </cell>
          <cell r="V67">
            <v>123.85123567968355</v>
          </cell>
          <cell r="W67">
            <v>83.448761327292758</v>
          </cell>
          <cell r="X67">
            <v>59.424722581301893</v>
          </cell>
          <cell r="Y67">
            <v>41.134818338677618</v>
          </cell>
          <cell r="Z67">
            <v>24.958540466823312</v>
          </cell>
          <cell r="AA67">
            <v>16.46100626997918</v>
          </cell>
          <cell r="AB67">
            <v>0</v>
          </cell>
          <cell r="AC67">
            <v>0</v>
          </cell>
          <cell r="AD67">
            <v>0</v>
          </cell>
          <cell r="AE67">
            <v>0</v>
          </cell>
          <cell r="AF67">
            <v>0</v>
          </cell>
          <cell r="AG67">
            <v>0</v>
          </cell>
        </row>
        <row r="68">
          <cell r="E68">
            <v>-10</v>
          </cell>
          <cell r="F68">
            <v>-3.3333333333333335</v>
          </cell>
          <cell r="G68">
            <v>-3.3333333333333335</v>
          </cell>
          <cell r="H68">
            <v>-5</v>
          </cell>
          <cell r="I68">
            <v>-5</v>
          </cell>
          <cell r="J68">
            <v>-5</v>
          </cell>
          <cell r="K68">
            <v>-5</v>
          </cell>
          <cell r="L68">
            <v>-6.666666666666667</v>
          </cell>
          <cell r="M68">
            <v>-16.666666666666668</v>
          </cell>
          <cell r="N68">
            <v>-416.91666666666669</v>
          </cell>
          <cell r="O68">
            <v>-458.58333333333331</v>
          </cell>
          <cell r="P68">
            <v>-360</v>
          </cell>
          <cell r="Q68">
            <v>-201.63574997573244</v>
          </cell>
          <cell r="R68">
            <v>-49.110058046882138</v>
          </cell>
          <cell r="S68">
            <v>-63.711837306444096</v>
          </cell>
          <cell r="T68">
            <v>-60.959549702191595</v>
          </cell>
          <cell r="U68">
            <v>-29.763912826045612</v>
          </cell>
          <cell r="V68">
            <v>-28.811556374093193</v>
          </cell>
          <cell r="W68">
            <v>-27.933641547373739</v>
          </cell>
          <cell r="X68">
            <v>-27.511460145138869</v>
          </cell>
          <cell r="Y68">
            <v>-27.24247842260467</v>
          </cell>
          <cell r="Z68">
            <v>-27.021139284315012</v>
          </cell>
          <cell r="AA68">
            <v>-27.037693348377772</v>
          </cell>
          <cell r="AB68">
            <v>0</v>
          </cell>
          <cell r="AC68">
            <v>0</v>
          </cell>
          <cell r="AD68">
            <v>0</v>
          </cell>
          <cell r="AE68">
            <v>0</v>
          </cell>
          <cell r="AF68">
            <v>0</v>
          </cell>
          <cell r="AG68">
            <v>0</v>
          </cell>
        </row>
        <row r="69">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row>
        <row r="73">
          <cell r="E73">
            <v>-60</v>
          </cell>
          <cell r="F73">
            <v>-20</v>
          </cell>
          <cell r="G73">
            <v>-20</v>
          </cell>
          <cell r="H73">
            <v>-30</v>
          </cell>
          <cell r="I73">
            <v>-30</v>
          </cell>
          <cell r="J73">
            <v>-30</v>
          </cell>
          <cell r="K73">
            <v>-30</v>
          </cell>
          <cell r="L73">
            <v>-40</v>
          </cell>
          <cell r="M73">
            <v>-100</v>
          </cell>
          <cell r="N73">
            <v>-2501.5</v>
          </cell>
          <cell r="O73">
            <v>-2751.5</v>
          </cell>
          <cell r="P73">
            <v>-2160</v>
          </cell>
          <cell r="Q73">
            <v>-1130</v>
          </cell>
          <cell r="R73">
            <v>-200.75</v>
          </cell>
          <cell r="S73">
            <v>-290.75</v>
          </cell>
          <cell r="T73">
            <v>-268.75</v>
          </cell>
          <cell r="U73">
            <v>-90</v>
          </cell>
          <cell r="V73">
            <v>-90</v>
          </cell>
          <cell r="W73">
            <v>-90</v>
          </cell>
          <cell r="X73">
            <v>-90</v>
          </cell>
          <cell r="Y73">
            <v>-90</v>
          </cell>
          <cell r="Z73">
            <v>-90</v>
          </cell>
          <cell r="AA73">
            <v>-90</v>
          </cell>
          <cell r="AB73">
            <v>0</v>
          </cell>
          <cell r="AC73">
            <v>0</v>
          </cell>
          <cell r="AD73">
            <v>0</v>
          </cell>
          <cell r="AE73">
            <v>0</v>
          </cell>
          <cell r="AF73">
            <v>0</v>
          </cell>
          <cell r="AG73">
            <v>0</v>
          </cell>
        </row>
        <row r="78">
          <cell r="E78">
            <v>398.12121347967263</v>
          </cell>
          <cell r="F78">
            <v>398.12121347967263</v>
          </cell>
          <cell r="G78">
            <v>398.12121347967263</v>
          </cell>
          <cell r="H78">
            <v>398.12121347967263</v>
          </cell>
          <cell r="I78">
            <v>398.12121347967263</v>
          </cell>
          <cell r="J78">
            <v>398.12121347967263</v>
          </cell>
          <cell r="K78">
            <v>398.12121347967263</v>
          </cell>
          <cell r="L78">
            <v>398.12121347967263</v>
          </cell>
          <cell r="M78">
            <v>398.12121347967263</v>
          </cell>
          <cell r="N78">
            <v>398.12121347967263</v>
          </cell>
          <cell r="O78">
            <v>398.12121347967263</v>
          </cell>
          <cell r="P78">
            <v>398.12121347967263</v>
          </cell>
          <cell r="Q78">
            <v>349.88981838438218</v>
          </cell>
          <cell r="R78">
            <v>279.73353722676859</v>
          </cell>
          <cell r="S78">
            <v>217.9510385743356</v>
          </cell>
          <cell r="T78">
            <v>150.65286012534574</v>
          </cell>
          <cell r="U78">
            <v>101.60846099309333</v>
          </cell>
          <cell r="V78">
            <v>65.57901061354903</v>
          </cell>
          <cell r="W78">
            <v>41.30300731833659</v>
          </cell>
          <cell r="X78">
            <v>24.01581529468513</v>
          </cell>
          <cell r="Y78">
            <v>12.049322687069823</v>
          </cell>
          <cell r="Z78">
            <v>4.7886563694484963</v>
          </cell>
          <cell r="AA78">
            <v>7.1054273576010019E-15</v>
          </cell>
          <cell r="AB78">
            <v>7.1054273576010019E-15</v>
          </cell>
          <cell r="AC78">
            <v>7.1054273576010019E-15</v>
          </cell>
          <cell r="AD78">
            <v>7.1054273576010019E-15</v>
          </cell>
          <cell r="AE78">
            <v>7.1054273576010019E-15</v>
          </cell>
          <cell r="AF78">
            <v>7.1054273576010019E-15</v>
          </cell>
          <cell r="AG78">
            <v>7.1054273576010019E-15</v>
          </cell>
        </row>
        <row r="82">
          <cell r="E82">
            <v>0</v>
          </cell>
          <cell r="F82">
            <v>0</v>
          </cell>
          <cell r="G82">
            <v>0</v>
          </cell>
          <cell r="H82">
            <v>0</v>
          </cell>
          <cell r="I82">
            <v>0</v>
          </cell>
          <cell r="J82">
            <v>0</v>
          </cell>
          <cell r="K82">
            <v>0</v>
          </cell>
          <cell r="L82">
            <v>0</v>
          </cell>
          <cell r="M82">
            <v>0</v>
          </cell>
          <cell r="N82">
            <v>0</v>
          </cell>
          <cell r="O82">
            <v>0</v>
          </cell>
          <cell r="P82">
            <v>0</v>
          </cell>
          <cell r="Q82">
            <v>-1078.576312928112</v>
          </cell>
          <cell r="R82">
            <v>-1609.1246785305962</v>
          </cell>
          <cell r="S82">
            <v>-1481.2768065469184</v>
          </cell>
          <cell r="T82">
            <v>-1696.5026343337718</v>
          </cell>
          <cell r="U82">
            <v>-1265.6468801981421</v>
          </cell>
          <cell r="V82">
            <v>-961.6944183202138</v>
          </cell>
          <cell r="W82">
            <v>-681.28875852647388</v>
          </cell>
          <cell r="X82">
            <v>-522.82184727885613</v>
          </cell>
          <cell r="Y82">
            <v>-406.75109980333769</v>
          </cell>
          <cell r="Z82">
            <v>-301.02821672710525</v>
          </cell>
          <cell r="AA82">
            <v>-288.53834680647179</v>
          </cell>
          <cell r="AB82">
            <v>0</v>
          </cell>
          <cell r="AC82">
            <v>0</v>
          </cell>
          <cell r="AD82">
            <v>0</v>
          </cell>
          <cell r="AE82">
            <v>0</v>
          </cell>
          <cell r="AF82">
            <v>0</v>
          </cell>
          <cell r="AG82">
            <v>0</v>
          </cell>
        </row>
        <row r="83">
          <cell r="E83">
            <v>60</v>
          </cell>
          <cell r="F83">
            <v>80</v>
          </cell>
          <cell r="G83">
            <v>100</v>
          </cell>
          <cell r="H83">
            <v>130</v>
          </cell>
          <cell r="I83">
            <v>160</v>
          </cell>
          <cell r="J83">
            <v>190</v>
          </cell>
          <cell r="K83">
            <v>220</v>
          </cell>
          <cell r="L83">
            <v>260</v>
          </cell>
          <cell r="M83">
            <v>360</v>
          </cell>
          <cell r="N83">
            <v>2861.5</v>
          </cell>
          <cell r="O83">
            <v>5613</v>
          </cell>
          <cell r="P83">
            <v>7773</v>
          </cell>
          <cell r="Q83">
            <v>7824.4236870718878</v>
          </cell>
          <cell r="R83">
            <v>6416.0490085412912</v>
          </cell>
          <cell r="S83">
            <v>5225.5222019943731</v>
          </cell>
          <cell r="T83">
            <v>3797.7695676606013</v>
          </cell>
          <cell r="U83">
            <v>2622.122687462459</v>
          </cell>
          <cell r="V83">
            <v>1750.4282691422452</v>
          </cell>
          <cell r="W83">
            <v>1159.1395106157713</v>
          </cell>
          <cell r="X83">
            <v>726.31766333691519</v>
          </cell>
          <cell r="Y83">
            <v>409.56656353357749</v>
          </cell>
          <cell r="Z83">
            <v>198.53834680647225</v>
          </cell>
          <cell r="AA83">
            <v>4.5474735088646412E-13</v>
          </cell>
          <cell r="AB83">
            <v>4.5474735088646412E-13</v>
          </cell>
          <cell r="AC83">
            <v>4.5474735088646412E-13</v>
          </cell>
          <cell r="AD83">
            <v>4.5474735088646412E-13</v>
          </cell>
          <cell r="AE83">
            <v>4.5474735088646412E-13</v>
          </cell>
          <cell r="AF83">
            <v>4.5474735088646412E-13</v>
          </cell>
          <cell r="AG83">
            <v>4.5474735088646412E-13</v>
          </cell>
        </row>
      </sheetData>
      <sheetData sheetId="4" refreshError="1"/>
      <sheetData sheetId="5"/>
      <sheetData sheetId="6"/>
      <sheetData sheetId="7"/>
      <sheetData sheetId="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r5"/>
      <sheetName val="DSr4-nF"/>
      <sheetName val="DSr3"/>
      <sheetName val="DSr2"/>
      <sheetName val="DSr1"/>
      <sheetName val="DS"/>
      <sheetName val="3MLKQ"/>
      <sheetName val="boq"/>
    </sheetNames>
    <sheetDataSet>
      <sheetData sheetId="0" refreshError="1"/>
      <sheetData sheetId="1" refreshError="1"/>
      <sheetData sheetId="2" refreshError="1"/>
      <sheetData sheetId="3" refreshError="1"/>
      <sheetData sheetId="4" refreshError="1"/>
      <sheetData sheetId="5" refreshError="1"/>
      <sheetData sheetId="6" refreshError="1">
        <row r="3">
          <cell r="A3" t="str">
            <v>Activity ID</v>
          </cell>
          <cell r="C3" t="str">
            <v>Early start</v>
          </cell>
          <cell r="D3" t="str">
            <v>Early finish</v>
          </cell>
          <cell r="E3" t="str">
            <v>Rem.</v>
          </cell>
          <cell r="F3" t="str">
            <v xml:space="preserve">Total </v>
          </cell>
        </row>
      </sheetData>
      <sheetData sheetId="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Menu"/>
      <sheetName val="Master"/>
      <sheetName val="Reconciliation"/>
      <sheetName val="Duration"/>
      <sheetName val="Valuation"/>
      <sheetName val="Waterfall"/>
      <sheetName val="Progression"/>
      <sheetName val="YtoComm"/>
      <sheetName val="Actuals"/>
      <sheetName val="LTExpense"/>
    </sheetNames>
    <sheetDataSet>
      <sheetData sheetId="0" refreshError="1"/>
      <sheetData sheetId="1">
        <row r="4">
          <cell r="J4">
            <v>39325</v>
          </cell>
          <cell r="K4">
            <v>2007</v>
          </cell>
          <cell r="L4">
            <v>8</v>
          </cell>
          <cell r="M4">
            <v>31</v>
          </cell>
        </row>
      </sheetData>
      <sheetData sheetId="2">
        <row r="1">
          <cell r="A1" t="str">
            <v>GAP #</v>
          </cell>
          <cell r="B1" t="str">
            <v>Status</v>
          </cell>
          <cell r="C1" t="str">
            <v>Project Type</v>
          </cell>
          <cell r="I1" t="str">
            <v>Growth Platform</v>
          </cell>
          <cell r="L1" t="str">
            <v>Science Area</v>
          </cell>
          <cell r="N1" t="str">
            <v>Stage</v>
          </cell>
          <cell r="O1" t="str">
            <v>Activation Date</v>
          </cell>
          <cell r="Q1" t="str">
            <v>Termination Date</v>
          </cell>
          <cell r="T1" t="str">
            <v>Date Stage 1 to 2</v>
          </cell>
          <cell r="U1" t="str">
            <v>Date Stage 2 to 3</v>
          </cell>
          <cell r="V1" t="str">
            <v>Actual YTD 2007</v>
          </cell>
          <cell r="X1" t="str">
            <v>Budget 2007</v>
          </cell>
          <cell r="AD1" t="str">
            <v>Risk Adj# 10th Yr Rev</v>
          </cell>
          <cell r="AO1" t="str">
            <v>Actual 2006</v>
          </cell>
        </row>
        <row r="2">
          <cell r="A2">
            <v>520080</v>
          </cell>
          <cell r="B2" t="str">
            <v>Graduate</v>
          </cell>
          <cell r="C2" t="str">
            <v>Collaboration</v>
          </cell>
          <cell r="I2" t="str">
            <v>Elect. &amp; Comm.</v>
          </cell>
          <cell r="L2" t="str">
            <v>MSE</v>
          </cell>
          <cell r="N2" t="str">
            <v>Collaboration</v>
          </cell>
          <cell r="O2">
            <v>37712</v>
          </cell>
          <cell r="Q2">
            <v>38169</v>
          </cell>
          <cell r="T2">
            <v>0</v>
          </cell>
          <cell r="U2">
            <v>0</v>
          </cell>
          <cell r="V2">
            <v>0</v>
          </cell>
          <cell r="X2">
            <v>0</v>
          </cell>
          <cell r="AD2">
            <v>16</v>
          </cell>
          <cell r="AO2">
            <v>0</v>
          </cell>
        </row>
        <row r="3">
          <cell r="A3">
            <v>530032</v>
          </cell>
          <cell r="B3" t="str">
            <v>Closed</v>
          </cell>
          <cell r="C3" t="str">
            <v>Discovery</v>
          </cell>
          <cell r="I3" t="str">
            <v>Bio-Based Matls</v>
          </cell>
          <cell r="L3" t="str">
            <v>CSE</v>
          </cell>
          <cell r="N3" t="str">
            <v>Discovery</v>
          </cell>
          <cell r="O3">
            <v>37530</v>
          </cell>
          <cell r="Q3">
            <v>37695</v>
          </cell>
          <cell r="V3">
            <v>0</v>
          </cell>
          <cell r="X3">
            <v>0</v>
          </cell>
          <cell r="AO3">
            <v>0</v>
          </cell>
        </row>
        <row r="4">
          <cell r="A4">
            <v>529002</v>
          </cell>
          <cell r="B4" t="str">
            <v>Closed</v>
          </cell>
          <cell r="C4" t="str">
            <v>Apex</v>
          </cell>
          <cell r="I4" t="str">
            <v>Elect. &amp; Comm.</v>
          </cell>
          <cell r="L4" t="str">
            <v>MSE</v>
          </cell>
          <cell r="N4" t="str">
            <v>1</v>
          </cell>
          <cell r="O4">
            <v>36892</v>
          </cell>
          <cell r="Q4">
            <v>37288</v>
          </cell>
          <cell r="V4">
            <v>0</v>
          </cell>
          <cell r="X4">
            <v>0</v>
          </cell>
          <cell r="AO4">
            <v>0</v>
          </cell>
        </row>
        <row r="5">
          <cell r="A5">
            <v>539002</v>
          </cell>
          <cell r="B5" t="str">
            <v>Closed</v>
          </cell>
          <cell r="C5" t="str">
            <v>Collaboration</v>
          </cell>
          <cell r="N5" t="str">
            <v>Collaboration</v>
          </cell>
          <cell r="O5">
            <v>36161</v>
          </cell>
          <cell r="Q5">
            <v>36739</v>
          </cell>
          <cell r="V5">
            <v>0</v>
          </cell>
          <cell r="X5">
            <v>0</v>
          </cell>
          <cell r="AO5">
            <v>0</v>
          </cell>
        </row>
        <row r="6">
          <cell r="A6">
            <v>520045</v>
          </cell>
          <cell r="B6" t="str">
            <v>Closed</v>
          </cell>
          <cell r="C6" t="str">
            <v>Collaboration</v>
          </cell>
          <cell r="I6" t="str">
            <v>Performance Matls</v>
          </cell>
          <cell r="L6" t="str">
            <v>MSE</v>
          </cell>
          <cell r="N6" t="str">
            <v>Collaboration</v>
          </cell>
          <cell r="O6">
            <v>37742</v>
          </cell>
          <cell r="Q6">
            <v>38523</v>
          </cell>
          <cell r="V6">
            <v>0</v>
          </cell>
          <cell r="X6">
            <v>0</v>
          </cell>
          <cell r="AD6">
            <v>12.5</v>
          </cell>
          <cell r="AO6">
            <v>0</v>
          </cell>
        </row>
        <row r="7">
          <cell r="A7">
            <v>530029</v>
          </cell>
          <cell r="B7" t="str">
            <v>Closed</v>
          </cell>
          <cell r="C7" t="str">
            <v>Discovery</v>
          </cell>
          <cell r="L7" t="str">
            <v>CSE</v>
          </cell>
          <cell r="N7" t="str">
            <v>Discovery</v>
          </cell>
          <cell r="O7">
            <v>37530</v>
          </cell>
          <cell r="Q7">
            <v>37895</v>
          </cell>
          <cell r="V7">
            <v>0</v>
          </cell>
          <cell r="X7">
            <v>0</v>
          </cell>
          <cell r="AO7">
            <v>0</v>
          </cell>
        </row>
        <row r="8">
          <cell r="A8">
            <v>520017</v>
          </cell>
          <cell r="B8" t="str">
            <v>Closed</v>
          </cell>
          <cell r="C8" t="str">
            <v>Apex</v>
          </cell>
          <cell r="I8" t="str">
            <v>Elect. &amp; Comm.</v>
          </cell>
          <cell r="L8" t="str">
            <v>MSE</v>
          </cell>
          <cell r="N8" t="str">
            <v>1</v>
          </cell>
          <cell r="O8">
            <v>36342</v>
          </cell>
          <cell r="Q8">
            <v>37012</v>
          </cell>
          <cell r="V8">
            <v>0</v>
          </cell>
          <cell r="X8">
            <v>0</v>
          </cell>
          <cell r="AO8">
            <v>0</v>
          </cell>
        </row>
        <row r="9">
          <cell r="A9">
            <v>540030</v>
          </cell>
          <cell r="B9" t="str">
            <v>Closed</v>
          </cell>
          <cell r="C9" t="str">
            <v>Apex</v>
          </cell>
          <cell r="I9" t="str">
            <v>Bio-Based Matls</v>
          </cell>
          <cell r="L9" t="str">
            <v>BCSE</v>
          </cell>
          <cell r="N9" t="str">
            <v>1</v>
          </cell>
          <cell r="O9">
            <v>36161</v>
          </cell>
          <cell r="Q9">
            <v>37621</v>
          </cell>
          <cell r="V9">
            <v>0</v>
          </cell>
          <cell r="X9">
            <v>0</v>
          </cell>
          <cell r="AO9">
            <v>0</v>
          </cell>
        </row>
        <row r="10">
          <cell r="A10">
            <v>520065</v>
          </cell>
          <cell r="B10" t="str">
            <v>Closed</v>
          </cell>
          <cell r="C10" t="str">
            <v>Apex</v>
          </cell>
          <cell r="I10" t="str">
            <v>Elect. &amp; Comm.</v>
          </cell>
          <cell r="L10" t="str">
            <v>MSE</v>
          </cell>
          <cell r="N10" t="str">
            <v>1</v>
          </cell>
          <cell r="O10">
            <v>37773</v>
          </cell>
          <cell r="Q10">
            <v>37987</v>
          </cell>
          <cell r="V10">
            <v>0</v>
          </cell>
          <cell r="X10">
            <v>0</v>
          </cell>
          <cell r="AD10">
            <v>4.3022464631249999</v>
          </cell>
          <cell r="AO10">
            <v>0</v>
          </cell>
        </row>
        <row r="11">
          <cell r="B11" t="str">
            <v>Closed</v>
          </cell>
          <cell r="C11" t="str">
            <v>Apex</v>
          </cell>
          <cell r="I11" t="str">
            <v>Performance Matls</v>
          </cell>
          <cell r="L11" t="str">
            <v>MSE</v>
          </cell>
          <cell r="N11" t="str">
            <v>1</v>
          </cell>
          <cell r="O11">
            <v>36161</v>
          </cell>
          <cell r="Q11">
            <v>37469</v>
          </cell>
          <cell r="V11">
            <v>0</v>
          </cell>
          <cell r="X11">
            <v>0</v>
          </cell>
          <cell r="AO11">
            <v>0</v>
          </cell>
        </row>
        <row r="12">
          <cell r="B12" t="str">
            <v>Closed</v>
          </cell>
          <cell r="C12" t="str">
            <v>Apex</v>
          </cell>
          <cell r="I12" t="str">
            <v>Textile &amp; Int.</v>
          </cell>
          <cell r="L12" t="str">
            <v>CSE</v>
          </cell>
          <cell r="N12" t="str">
            <v>1</v>
          </cell>
          <cell r="O12">
            <v>36161</v>
          </cell>
          <cell r="Q12">
            <v>36495</v>
          </cell>
          <cell r="V12">
            <v>0</v>
          </cell>
          <cell r="X12">
            <v>0</v>
          </cell>
          <cell r="AO12">
            <v>0</v>
          </cell>
        </row>
        <row r="13">
          <cell r="A13">
            <v>530013</v>
          </cell>
          <cell r="B13" t="str">
            <v>Closed</v>
          </cell>
          <cell r="C13" t="str">
            <v>Apex</v>
          </cell>
          <cell r="I13" t="str">
            <v>Textile &amp; Int.</v>
          </cell>
          <cell r="L13" t="str">
            <v>CSE</v>
          </cell>
          <cell r="N13" t="str">
            <v>1</v>
          </cell>
          <cell r="O13">
            <v>36770</v>
          </cell>
          <cell r="Q13">
            <v>37315</v>
          </cell>
          <cell r="V13">
            <v>0</v>
          </cell>
          <cell r="X13">
            <v>0</v>
          </cell>
          <cell r="AD13">
            <v>5.0276901995647103</v>
          </cell>
          <cell r="AO13">
            <v>0</v>
          </cell>
        </row>
        <row r="14">
          <cell r="A14">
            <v>530016</v>
          </cell>
          <cell r="B14" t="str">
            <v>Closed</v>
          </cell>
          <cell r="C14" t="str">
            <v>Apex</v>
          </cell>
          <cell r="I14" t="str">
            <v>Textile &amp; Int.</v>
          </cell>
          <cell r="L14" t="str">
            <v>CSE</v>
          </cell>
          <cell r="N14" t="str">
            <v>1</v>
          </cell>
          <cell r="O14">
            <v>36586</v>
          </cell>
          <cell r="Q14">
            <v>37315</v>
          </cell>
          <cell r="V14">
            <v>0</v>
          </cell>
          <cell r="X14">
            <v>0</v>
          </cell>
          <cell r="AD14">
            <v>9.102474292692591</v>
          </cell>
          <cell r="AO14">
            <v>0</v>
          </cell>
        </row>
        <row r="15">
          <cell r="A15">
            <v>520019</v>
          </cell>
          <cell r="B15" t="str">
            <v>Closed</v>
          </cell>
          <cell r="C15" t="str">
            <v>Apex</v>
          </cell>
          <cell r="I15" t="str">
            <v>Elect. &amp; Comm.</v>
          </cell>
          <cell r="L15" t="str">
            <v>MSE</v>
          </cell>
          <cell r="N15" t="str">
            <v>1</v>
          </cell>
          <cell r="O15">
            <v>36708</v>
          </cell>
          <cell r="Q15">
            <v>37926</v>
          </cell>
          <cell r="V15">
            <v>0</v>
          </cell>
          <cell r="X15">
            <v>0</v>
          </cell>
          <cell r="AD15">
            <v>6.6</v>
          </cell>
          <cell r="AO15">
            <v>0</v>
          </cell>
        </row>
        <row r="16">
          <cell r="A16">
            <v>540019</v>
          </cell>
          <cell r="B16" t="str">
            <v>Closed</v>
          </cell>
          <cell r="C16" t="str">
            <v>Apex</v>
          </cell>
          <cell r="I16" t="str">
            <v>Bio-Based Matls</v>
          </cell>
          <cell r="L16" t="str">
            <v>BCSE</v>
          </cell>
          <cell r="N16" t="str">
            <v>1</v>
          </cell>
          <cell r="O16">
            <v>37347</v>
          </cell>
          <cell r="Q16">
            <v>38330</v>
          </cell>
          <cell r="V16">
            <v>0</v>
          </cell>
          <cell r="X16">
            <v>0</v>
          </cell>
          <cell r="AD16">
            <v>2.8</v>
          </cell>
          <cell r="AO16">
            <v>0</v>
          </cell>
        </row>
        <row r="17">
          <cell r="B17" t="str">
            <v>Closed</v>
          </cell>
          <cell r="C17" t="str">
            <v>Apex</v>
          </cell>
          <cell r="I17" t="str">
            <v>Pharmaceuticals</v>
          </cell>
          <cell r="L17" t="str">
            <v>BCSE</v>
          </cell>
          <cell r="N17" t="str">
            <v>1</v>
          </cell>
          <cell r="O17">
            <v>36161</v>
          </cell>
          <cell r="Q17">
            <v>36495</v>
          </cell>
          <cell r="V17">
            <v>0</v>
          </cell>
          <cell r="X17">
            <v>0</v>
          </cell>
          <cell r="AO17">
            <v>0</v>
          </cell>
        </row>
        <row r="18">
          <cell r="A18">
            <v>549015</v>
          </cell>
          <cell r="B18" t="str">
            <v>Graduate</v>
          </cell>
          <cell r="C18" t="str">
            <v>Collaboration</v>
          </cell>
          <cell r="I18" t="str">
            <v>Performance Matls</v>
          </cell>
          <cell r="L18" t="str">
            <v>BCSE</v>
          </cell>
          <cell r="N18" t="str">
            <v>Collaboration</v>
          </cell>
          <cell r="O18">
            <v>37104</v>
          </cell>
          <cell r="Q18">
            <v>37939</v>
          </cell>
          <cell r="V18">
            <v>0</v>
          </cell>
          <cell r="X18">
            <v>0</v>
          </cell>
          <cell r="AD18">
            <v>5</v>
          </cell>
          <cell r="AO18">
            <v>0</v>
          </cell>
        </row>
        <row r="19">
          <cell r="A19">
            <v>530023</v>
          </cell>
          <cell r="B19" t="str">
            <v>Closed</v>
          </cell>
          <cell r="C19" t="str">
            <v>Apex</v>
          </cell>
          <cell r="I19" t="str">
            <v>Other</v>
          </cell>
          <cell r="L19" t="str">
            <v>CSE</v>
          </cell>
          <cell r="N19" t="str">
            <v>1</v>
          </cell>
          <cell r="O19">
            <v>37377</v>
          </cell>
          <cell r="Q19">
            <v>38169</v>
          </cell>
          <cell r="V19">
            <v>0</v>
          </cell>
          <cell r="X19">
            <v>0</v>
          </cell>
          <cell r="AD19">
            <v>5.2</v>
          </cell>
          <cell r="AO19">
            <v>0</v>
          </cell>
        </row>
        <row r="20">
          <cell r="A20">
            <v>540024</v>
          </cell>
          <cell r="B20" t="str">
            <v>Closed</v>
          </cell>
          <cell r="C20" t="str">
            <v>Apex</v>
          </cell>
          <cell r="I20" t="str">
            <v>Ag &amp; Nutrition</v>
          </cell>
          <cell r="L20" t="str">
            <v>BCSE</v>
          </cell>
          <cell r="N20" t="str">
            <v>1</v>
          </cell>
          <cell r="O20">
            <v>36161</v>
          </cell>
          <cell r="Q20">
            <v>36617</v>
          </cell>
          <cell r="V20">
            <v>0</v>
          </cell>
          <cell r="X20">
            <v>0</v>
          </cell>
          <cell r="AO20">
            <v>0</v>
          </cell>
        </row>
        <row r="21">
          <cell r="B21" t="str">
            <v>Closed</v>
          </cell>
          <cell r="C21" t="str">
            <v>Apex</v>
          </cell>
          <cell r="I21" t="str">
            <v>Textile &amp; Int.</v>
          </cell>
          <cell r="L21" t="str">
            <v>BCSE</v>
          </cell>
          <cell r="N21" t="str">
            <v>1</v>
          </cell>
          <cell r="O21">
            <v>36161</v>
          </cell>
          <cell r="Q21">
            <v>36495</v>
          </cell>
          <cell r="V21">
            <v>0</v>
          </cell>
          <cell r="X21">
            <v>0</v>
          </cell>
          <cell r="AO21">
            <v>0</v>
          </cell>
        </row>
        <row r="22">
          <cell r="A22">
            <v>540035</v>
          </cell>
          <cell r="B22" t="str">
            <v>Closed</v>
          </cell>
          <cell r="C22" t="str">
            <v>Apex</v>
          </cell>
          <cell r="I22" t="str">
            <v>Bio-Based Matls</v>
          </cell>
          <cell r="L22" t="str">
            <v>CSE</v>
          </cell>
          <cell r="N22" t="str">
            <v>1</v>
          </cell>
          <cell r="O22">
            <v>36526</v>
          </cell>
          <cell r="Q22">
            <v>37895</v>
          </cell>
          <cell r="V22">
            <v>0</v>
          </cell>
          <cell r="X22">
            <v>0</v>
          </cell>
          <cell r="AD22">
            <v>3</v>
          </cell>
          <cell r="AO22">
            <v>0</v>
          </cell>
        </row>
        <row r="23">
          <cell r="A23">
            <v>540028</v>
          </cell>
          <cell r="B23" t="str">
            <v>Closed</v>
          </cell>
          <cell r="C23" t="str">
            <v>Discovery</v>
          </cell>
          <cell r="I23" t="str">
            <v>Performance Matls</v>
          </cell>
          <cell r="L23" t="str">
            <v>BCSE</v>
          </cell>
          <cell r="N23" t="str">
            <v>Discovery</v>
          </cell>
          <cell r="O23">
            <v>37408</v>
          </cell>
          <cell r="Q23">
            <v>37802</v>
          </cell>
          <cell r="V23">
            <v>0</v>
          </cell>
          <cell r="X23">
            <v>0</v>
          </cell>
          <cell r="AO23">
            <v>0</v>
          </cell>
        </row>
        <row r="24">
          <cell r="A24">
            <v>549012</v>
          </cell>
          <cell r="B24" t="str">
            <v>Closed</v>
          </cell>
          <cell r="C24" t="str">
            <v>Apex</v>
          </cell>
          <cell r="I24" t="str">
            <v>Bio-Based Matls</v>
          </cell>
          <cell r="L24" t="str">
            <v>BCSE</v>
          </cell>
          <cell r="N24" t="str">
            <v>1</v>
          </cell>
          <cell r="O24">
            <v>37196</v>
          </cell>
          <cell r="Q24">
            <v>37711</v>
          </cell>
          <cell r="V24">
            <v>0</v>
          </cell>
          <cell r="X24">
            <v>0</v>
          </cell>
          <cell r="AD24">
            <v>6</v>
          </cell>
          <cell r="AO24">
            <v>0</v>
          </cell>
        </row>
        <row r="25">
          <cell r="B25" t="str">
            <v>Closed</v>
          </cell>
          <cell r="C25" t="str">
            <v>Apex</v>
          </cell>
          <cell r="I25" t="str">
            <v>Bio-Based Matls</v>
          </cell>
          <cell r="L25" t="str">
            <v>BCSE</v>
          </cell>
          <cell r="N25" t="str">
            <v>1</v>
          </cell>
          <cell r="O25">
            <v>36161</v>
          </cell>
          <cell r="Q25">
            <v>36495</v>
          </cell>
          <cell r="V25">
            <v>0</v>
          </cell>
          <cell r="X25">
            <v>0</v>
          </cell>
          <cell r="AO25">
            <v>0</v>
          </cell>
        </row>
        <row r="26">
          <cell r="B26" t="str">
            <v>Closed</v>
          </cell>
          <cell r="C26" t="str">
            <v>Apex</v>
          </cell>
          <cell r="I26" t="str">
            <v>Textile &amp; Int.</v>
          </cell>
          <cell r="L26" t="str">
            <v>BCSE</v>
          </cell>
          <cell r="N26" t="str">
            <v>1</v>
          </cell>
          <cell r="O26">
            <v>36161</v>
          </cell>
          <cell r="Q26">
            <v>36495</v>
          </cell>
          <cell r="V26">
            <v>0</v>
          </cell>
          <cell r="X26">
            <v>0</v>
          </cell>
          <cell r="AO26">
            <v>0</v>
          </cell>
        </row>
        <row r="27">
          <cell r="A27">
            <v>540008</v>
          </cell>
          <cell r="B27" t="str">
            <v>Closed</v>
          </cell>
          <cell r="C27" t="str">
            <v>Apex</v>
          </cell>
          <cell r="I27" t="str">
            <v>Bio-Based Matls</v>
          </cell>
          <cell r="L27" t="str">
            <v>BCSE</v>
          </cell>
          <cell r="N27" t="str">
            <v>1</v>
          </cell>
          <cell r="O27">
            <v>36161</v>
          </cell>
          <cell r="Q27">
            <v>36891</v>
          </cell>
          <cell r="V27">
            <v>0</v>
          </cell>
          <cell r="X27">
            <v>0</v>
          </cell>
          <cell r="AO27">
            <v>0</v>
          </cell>
        </row>
        <row r="28">
          <cell r="A28">
            <v>520043</v>
          </cell>
          <cell r="B28" t="str">
            <v>Closed</v>
          </cell>
          <cell r="C28" t="str">
            <v>Discovery</v>
          </cell>
          <cell r="L28" t="str">
            <v>MSE</v>
          </cell>
          <cell r="N28" t="str">
            <v>Discovery</v>
          </cell>
          <cell r="O28">
            <v>37712</v>
          </cell>
          <cell r="Q28">
            <v>37987</v>
          </cell>
          <cell r="V28">
            <v>0</v>
          </cell>
          <cell r="X28">
            <v>0</v>
          </cell>
          <cell r="AO28">
            <v>0</v>
          </cell>
        </row>
        <row r="29">
          <cell r="A29">
            <v>520010</v>
          </cell>
          <cell r="B29" t="str">
            <v>Closed</v>
          </cell>
          <cell r="C29" t="str">
            <v>Apex</v>
          </cell>
          <cell r="I29" t="str">
            <v>Textile &amp; Int.</v>
          </cell>
          <cell r="L29" t="str">
            <v>CSE</v>
          </cell>
          <cell r="N29" t="str">
            <v>1</v>
          </cell>
          <cell r="O29">
            <v>36161</v>
          </cell>
          <cell r="Q29">
            <v>36860</v>
          </cell>
          <cell r="V29">
            <v>0</v>
          </cell>
          <cell r="X29">
            <v>0</v>
          </cell>
          <cell r="AO29">
            <v>0</v>
          </cell>
        </row>
        <row r="30">
          <cell r="A30">
            <v>530003</v>
          </cell>
          <cell r="B30" t="str">
            <v>Closed</v>
          </cell>
          <cell r="C30" t="str">
            <v>Apex</v>
          </cell>
          <cell r="I30" t="str">
            <v>Textile &amp; Int.</v>
          </cell>
          <cell r="L30" t="str">
            <v>CSE</v>
          </cell>
          <cell r="N30" t="str">
            <v>1</v>
          </cell>
          <cell r="O30">
            <v>36161</v>
          </cell>
          <cell r="Q30">
            <v>36770</v>
          </cell>
          <cell r="V30">
            <v>0</v>
          </cell>
          <cell r="X30">
            <v>0</v>
          </cell>
          <cell r="AO30">
            <v>0</v>
          </cell>
        </row>
        <row r="31">
          <cell r="A31">
            <v>530000</v>
          </cell>
          <cell r="B31" t="str">
            <v>Closed</v>
          </cell>
          <cell r="C31" t="str">
            <v>Apex</v>
          </cell>
          <cell r="I31" t="str">
            <v>Textile &amp; Int.</v>
          </cell>
          <cell r="L31" t="str">
            <v>CSE</v>
          </cell>
          <cell r="N31" t="str">
            <v>1</v>
          </cell>
          <cell r="O31">
            <v>36161</v>
          </cell>
          <cell r="Q31">
            <v>37621</v>
          </cell>
          <cell r="V31">
            <v>0</v>
          </cell>
          <cell r="X31">
            <v>0</v>
          </cell>
          <cell r="AD31">
            <v>1</v>
          </cell>
          <cell r="AO31">
            <v>0</v>
          </cell>
        </row>
        <row r="32">
          <cell r="A32">
            <v>530022</v>
          </cell>
          <cell r="B32" t="str">
            <v>Closed</v>
          </cell>
          <cell r="C32" t="str">
            <v>Discovery</v>
          </cell>
          <cell r="I32" t="str">
            <v>Elect. &amp; Comm.</v>
          </cell>
          <cell r="L32" t="str">
            <v>CSE</v>
          </cell>
          <cell r="N32" t="str">
            <v>Discovery</v>
          </cell>
          <cell r="O32">
            <v>37347</v>
          </cell>
          <cell r="Q32">
            <v>37817</v>
          </cell>
          <cell r="V32">
            <v>0</v>
          </cell>
          <cell r="X32">
            <v>0</v>
          </cell>
          <cell r="AO32">
            <v>0</v>
          </cell>
        </row>
        <row r="33">
          <cell r="A33">
            <v>540004</v>
          </cell>
          <cell r="B33" t="str">
            <v>Closed</v>
          </cell>
          <cell r="C33" t="str">
            <v>Apex</v>
          </cell>
          <cell r="I33" t="str">
            <v>Bio-Based Matls</v>
          </cell>
          <cell r="L33" t="str">
            <v>CSE</v>
          </cell>
          <cell r="N33" t="str">
            <v>1</v>
          </cell>
          <cell r="O33">
            <v>36312</v>
          </cell>
          <cell r="Q33">
            <v>38108</v>
          </cell>
          <cell r="V33">
            <v>0</v>
          </cell>
          <cell r="X33">
            <v>0</v>
          </cell>
          <cell r="AD33">
            <v>0.19844999999999999</v>
          </cell>
          <cell r="AO33">
            <v>0</v>
          </cell>
        </row>
        <row r="34">
          <cell r="A34">
            <v>530030</v>
          </cell>
          <cell r="B34" t="str">
            <v>Closed</v>
          </cell>
          <cell r="C34" t="str">
            <v>Discovery</v>
          </cell>
          <cell r="L34" t="str">
            <v>CSE</v>
          </cell>
          <cell r="N34" t="str">
            <v>Discovery</v>
          </cell>
          <cell r="O34">
            <v>37530</v>
          </cell>
          <cell r="Q34">
            <v>38565</v>
          </cell>
          <cell r="V34">
            <v>0</v>
          </cell>
          <cell r="X34">
            <v>0</v>
          </cell>
          <cell r="AO34">
            <v>0</v>
          </cell>
        </row>
        <row r="35">
          <cell r="A35">
            <v>540013</v>
          </cell>
          <cell r="B35" t="str">
            <v>Closed</v>
          </cell>
          <cell r="C35" t="str">
            <v>Apex</v>
          </cell>
          <cell r="I35" t="str">
            <v>Bio-Based Matls</v>
          </cell>
          <cell r="L35" t="str">
            <v>BCSE</v>
          </cell>
          <cell r="N35" t="str">
            <v>1</v>
          </cell>
          <cell r="O35">
            <v>36586</v>
          </cell>
          <cell r="Q35">
            <v>37711</v>
          </cell>
          <cell r="V35">
            <v>0</v>
          </cell>
          <cell r="X35">
            <v>0</v>
          </cell>
          <cell r="AO35">
            <v>0</v>
          </cell>
        </row>
        <row r="36">
          <cell r="A36">
            <v>540039</v>
          </cell>
          <cell r="B36" t="str">
            <v>Closed</v>
          </cell>
          <cell r="C36" t="str">
            <v>Apex</v>
          </cell>
          <cell r="I36" t="str">
            <v>Pharmaceuticals</v>
          </cell>
          <cell r="L36" t="str">
            <v>CSE</v>
          </cell>
          <cell r="N36" t="str">
            <v>1</v>
          </cell>
          <cell r="O36">
            <v>36526</v>
          </cell>
          <cell r="Q36">
            <v>37225</v>
          </cell>
          <cell r="V36">
            <v>0</v>
          </cell>
          <cell r="X36">
            <v>0</v>
          </cell>
          <cell r="AO36">
            <v>0</v>
          </cell>
        </row>
        <row r="37">
          <cell r="A37">
            <v>540036</v>
          </cell>
          <cell r="B37" t="str">
            <v>Closed</v>
          </cell>
          <cell r="C37" t="str">
            <v>Apex</v>
          </cell>
          <cell r="I37" t="str">
            <v>Elect. &amp; Comm.</v>
          </cell>
          <cell r="L37" t="str">
            <v>CSE</v>
          </cell>
          <cell r="N37" t="str">
            <v>1</v>
          </cell>
          <cell r="O37">
            <v>36526</v>
          </cell>
          <cell r="Q37">
            <v>37257</v>
          </cell>
          <cell r="V37">
            <v>0</v>
          </cell>
          <cell r="X37">
            <v>0</v>
          </cell>
          <cell r="AO37">
            <v>0</v>
          </cell>
        </row>
        <row r="38">
          <cell r="A38">
            <v>530007</v>
          </cell>
          <cell r="B38" t="str">
            <v>Closed</v>
          </cell>
          <cell r="C38" t="str">
            <v>Apex</v>
          </cell>
          <cell r="I38" t="str">
            <v>Coatings &amp; Color</v>
          </cell>
          <cell r="L38" t="str">
            <v>CSE</v>
          </cell>
          <cell r="N38" t="str">
            <v>1</v>
          </cell>
          <cell r="O38">
            <v>36220</v>
          </cell>
          <cell r="Q38">
            <v>37956</v>
          </cell>
          <cell r="V38">
            <v>0</v>
          </cell>
          <cell r="X38">
            <v>0</v>
          </cell>
          <cell r="AD38">
            <v>0.5</v>
          </cell>
          <cell r="AO38">
            <v>0</v>
          </cell>
        </row>
        <row r="39">
          <cell r="A39">
            <v>530041</v>
          </cell>
          <cell r="B39" t="str">
            <v>Closed</v>
          </cell>
          <cell r="C39" t="str">
            <v>Collaboration</v>
          </cell>
          <cell r="I39" t="str">
            <v>Elect. &amp; Comm.</v>
          </cell>
          <cell r="L39" t="str">
            <v>CSE</v>
          </cell>
          <cell r="N39" t="str">
            <v>Collaboration</v>
          </cell>
          <cell r="O39">
            <v>37712</v>
          </cell>
          <cell r="Q39">
            <v>37926</v>
          </cell>
          <cell r="V39">
            <v>0</v>
          </cell>
          <cell r="X39">
            <v>0</v>
          </cell>
          <cell r="AD39">
            <v>14</v>
          </cell>
          <cell r="AO39">
            <v>0</v>
          </cell>
        </row>
        <row r="40">
          <cell r="A40">
            <v>520033</v>
          </cell>
          <cell r="B40" t="str">
            <v>Closed</v>
          </cell>
          <cell r="C40" t="str">
            <v>Discovery</v>
          </cell>
          <cell r="L40" t="str">
            <v>MSE</v>
          </cell>
          <cell r="N40" t="str">
            <v>Discovery</v>
          </cell>
          <cell r="O40">
            <v>37530</v>
          </cell>
          <cell r="Q40">
            <v>37895</v>
          </cell>
          <cell r="V40">
            <v>0</v>
          </cell>
          <cell r="X40">
            <v>0</v>
          </cell>
          <cell r="AO40">
            <v>0</v>
          </cell>
        </row>
        <row r="41">
          <cell r="A41">
            <v>530055</v>
          </cell>
          <cell r="B41" t="str">
            <v>Closed</v>
          </cell>
          <cell r="C41" t="str">
            <v>Discovery</v>
          </cell>
          <cell r="L41" t="str">
            <v>CSE</v>
          </cell>
          <cell r="N41" t="str">
            <v>Discovery</v>
          </cell>
          <cell r="O41">
            <v>37865</v>
          </cell>
          <cell r="Q41">
            <v>38384</v>
          </cell>
          <cell r="V41">
            <v>0</v>
          </cell>
          <cell r="X41">
            <v>0</v>
          </cell>
          <cell r="AO41">
            <v>0</v>
          </cell>
        </row>
        <row r="42">
          <cell r="A42">
            <v>549002</v>
          </cell>
          <cell r="B42" t="str">
            <v>Closed</v>
          </cell>
          <cell r="C42" t="str">
            <v>Collaboration</v>
          </cell>
          <cell r="N42" t="str">
            <v>Collaboration</v>
          </cell>
          <cell r="Q42">
            <v>36891</v>
          </cell>
          <cell r="V42">
            <v>0</v>
          </cell>
          <cell r="X42">
            <v>0</v>
          </cell>
          <cell r="AO42">
            <v>0</v>
          </cell>
        </row>
        <row r="43">
          <cell r="A43">
            <v>530025</v>
          </cell>
          <cell r="B43" t="str">
            <v>Closed</v>
          </cell>
          <cell r="C43" t="str">
            <v>Apex</v>
          </cell>
          <cell r="I43" t="str">
            <v>Coatings &amp; Color</v>
          </cell>
          <cell r="L43" t="str">
            <v>CSE</v>
          </cell>
          <cell r="N43" t="str">
            <v>1</v>
          </cell>
          <cell r="O43">
            <v>37408</v>
          </cell>
          <cell r="Q43">
            <v>38200</v>
          </cell>
          <cell r="V43">
            <v>0</v>
          </cell>
          <cell r="X43">
            <v>0</v>
          </cell>
          <cell r="AD43">
            <v>4.8</v>
          </cell>
          <cell r="AO43">
            <v>0</v>
          </cell>
        </row>
        <row r="44">
          <cell r="A44">
            <v>540041</v>
          </cell>
          <cell r="B44" t="str">
            <v>Closed</v>
          </cell>
          <cell r="C44" t="str">
            <v>Apex</v>
          </cell>
          <cell r="I44" t="str">
            <v>Bio-Based Matls</v>
          </cell>
          <cell r="L44" t="str">
            <v>BCSE</v>
          </cell>
          <cell r="N44" t="str">
            <v>1</v>
          </cell>
          <cell r="O44">
            <v>36586</v>
          </cell>
          <cell r="Q44">
            <v>37376</v>
          </cell>
          <cell r="V44">
            <v>0</v>
          </cell>
          <cell r="X44">
            <v>0</v>
          </cell>
          <cell r="AO44">
            <v>0</v>
          </cell>
        </row>
        <row r="45">
          <cell r="A45">
            <v>539011</v>
          </cell>
          <cell r="B45" t="str">
            <v>Closed</v>
          </cell>
          <cell r="C45" t="str">
            <v>Collaboration</v>
          </cell>
          <cell r="N45" t="str">
            <v>Collaboration</v>
          </cell>
          <cell r="Q45">
            <v>36891</v>
          </cell>
          <cell r="V45">
            <v>0</v>
          </cell>
          <cell r="X45">
            <v>0</v>
          </cell>
          <cell r="AO45">
            <v>0</v>
          </cell>
        </row>
        <row r="46">
          <cell r="A46">
            <v>530037</v>
          </cell>
          <cell r="B46" t="str">
            <v>Closed</v>
          </cell>
          <cell r="C46" t="str">
            <v>Discovery</v>
          </cell>
          <cell r="L46" t="str">
            <v>CSE</v>
          </cell>
          <cell r="N46" t="str">
            <v>Discovery</v>
          </cell>
          <cell r="O46">
            <v>37591</v>
          </cell>
          <cell r="Q46">
            <v>38018</v>
          </cell>
          <cell r="V46">
            <v>0</v>
          </cell>
          <cell r="X46">
            <v>0</v>
          </cell>
          <cell r="AO46">
            <v>0</v>
          </cell>
        </row>
        <row r="47">
          <cell r="A47">
            <v>540001</v>
          </cell>
          <cell r="B47" t="str">
            <v>Closed</v>
          </cell>
          <cell r="C47" t="str">
            <v>Apex</v>
          </cell>
          <cell r="I47" t="str">
            <v>Textile &amp; Int.</v>
          </cell>
          <cell r="L47" t="str">
            <v>BCSE</v>
          </cell>
          <cell r="N47" t="str">
            <v>1</v>
          </cell>
          <cell r="O47">
            <v>36161</v>
          </cell>
          <cell r="Q47">
            <v>36891</v>
          </cell>
          <cell r="V47">
            <v>0</v>
          </cell>
          <cell r="X47">
            <v>0</v>
          </cell>
          <cell r="AO47">
            <v>0</v>
          </cell>
        </row>
        <row r="48">
          <cell r="A48">
            <v>539005</v>
          </cell>
          <cell r="B48" t="str">
            <v>Closed</v>
          </cell>
          <cell r="C48" t="str">
            <v>Six Sigma</v>
          </cell>
          <cell r="N48" t="str">
            <v>Six Sigma</v>
          </cell>
          <cell r="Q48">
            <v>36891</v>
          </cell>
          <cell r="V48">
            <v>0</v>
          </cell>
          <cell r="X48">
            <v>0</v>
          </cell>
          <cell r="AO48">
            <v>0</v>
          </cell>
        </row>
        <row r="49">
          <cell r="A49">
            <v>530039</v>
          </cell>
          <cell r="B49" t="str">
            <v>Closed</v>
          </cell>
          <cell r="C49" t="str">
            <v>Discovery</v>
          </cell>
          <cell r="L49" t="str">
            <v>CSE</v>
          </cell>
          <cell r="N49" t="str">
            <v>Discovery</v>
          </cell>
          <cell r="O49">
            <v>37712</v>
          </cell>
          <cell r="Q49">
            <v>38504</v>
          </cell>
          <cell r="V49">
            <v>0</v>
          </cell>
          <cell r="X49">
            <v>0</v>
          </cell>
          <cell r="AO49">
            <v>0</v>
          </cell>
        </row>
        <row r="50">
          <cell r="A50">
            <v>540003</v>
          </cell>
          <cell r="B50" t="str">
            <v>Closed</v>
          </cell>
          <cell r="C50" t="str">
            <v>Apex</v>
          </cell>
          <cell r="I50" t="str">
            <v>Textile &amp; Int.</v>
          </cell>
          <cell r="L50" t="str">
            <v>BCSE</v>
          </cell>
          <cell r="N50" t="str">
            <v>1</v>
          </cell>
          <cell r="O50">
            <v>36526</v>
          </cell>
          <cell r="Q50">
            <v>36891</v>
          </cell>
          <cell r="V50">
            <v>0</v>
          </cell>
          <cell r="X50">
            <v>0</v>
          </cell>
          <cell r="AO50">
            <v>0</v>
          </cell>
        </row>
        <row r="51">
          <cell r="A51">
            <v>549021</v>
          </cell>
          <cell r="B51" t="str">
            <v>Graduate</v>
          </cell>
          <cell r="C51" t="str">
            <v>Collaboration</v>
          </cell>
          <cell r="I51" t="str">
            <v>Performance Matls</v>
          </cell>
          <cell r="L51" t="str">
            <v>ELT</v>
          </cell>
          <cell r="N51" t="str">
            <v>Collaboration</v>
          </cell>
          <cell r="O51">
            <v>37865</v>
          </cell>
          <cell r="Q51">
            <v>38372</v>
          </cell>
          <cell r="V51">
            <v>0</v>
          </cell>
          <cell r="X51">
            <v>0</v>
          </cell>
          <cell r="AD51">
            <v>0.2</v>
          </cell>
          <cell r="AO51">
            <v>0</v>
          </cell>
        </row>
        <row r="52">
          <cell r="A52">
            <v>520012</v>
          </cell>
          <cell r="B52" t="str">
            <v>Closed</v>
          </cell>
          <cell r="C52" t="str">
            <v>Apex</v>
          </cell>
          <cell r="I52" t="str">
            <v>Safety &amp; Protect</v>
          </cell>
          <cell r="L52" t="str">
            <v>MSE</v>
          </cell>
          <cell r="N52" t="str">
            <v>1</v>
          </cell>
          <cell r="O52">
            <v>36526</v>
          </cell>
          <cell r="Q52">
            <v>37391</v>
          </cell>
          <cell r="V52">
            <v>0</v>
          </cell>
          <cell r="X52">
            <v>0</v>
          </cell>
          <cell r="AD52">
            <v>6</v>
          </cell>
          <cell r="AO52">
            <v>0</v>
          </cell>
        </row>
        <row r="53">
          <cell r="A53">
            <v>530034</v>
          </cell>
          <cell r="B53" t="str">
            <v>Closed</v>
          </cell>
          <cell r="C53" t="str">
            <v>Apex</v>
          </cell>
          <cell r="I53" t="str">
            <v>Safety &amp; Protect</v>
          </cell>
          <cell r="L53" t="str">
            <v>CSE</v>
          </cell>
          <cell r="N53" t="str">
            <v>1</v>
          </cell>
          <cell r="O53">
            <v>37530</v>
          </cell>
          <cell r="Q53">
            <v>37987</v>
          </cell>
          <cell r="V53">
            <v>0</v>
          </cell>
          <cell r="X53">
            <v>0</v>
          </cell>
          <cell r="AD53">
            <v>2.763206512757967</v>
          </cell>
          <cell r="AO53">
            <v>0</v>
          </cell>
        </row>
        <row r="54">
          <cell r="B54" t="str">
            <v>Closed</v>
          </cell>
          <cell r="C54" t="str">
            <v>Apex</v>
          </cell>
          <cell r="I54" t="str">
            <v>Performance Matls</v>
          </cell>
          <cell r="L54" t="str">
            <v>MSE</v>
          </cell>
          <cell r="N54" t="str">
            <v>1</v>
          </cell>
          <cell r="O54">
            <v>36161</v>
          </cell>
          <cell r="Q54">
            <v>37469</v>
          </cell>
          <cell r="V54">
            <v>0</v>
          </cell>
          <cell r="X54">
            <v>0</v>
          </cell>
          <cell r="AO54">
            <v>0</v>
          </cell>
        </row>
        <row r="55">
          <cell r="A55">
            <v>549009</v>
          </cell>
          <cell r="B55" t="str">
            <v>Closed</v>
          </cell>
          <cell r="C55" t="str">
            <v>Collaboration</v>
          </cell>
          <cell r="I55" t="str">
            <v>Performance Matls</v>
          </cell>
          <cell r="L55" t="str">
            <v>MSE</v>
          </cell>
          <cell r="N55" t="str">
            <v>Collaboration</v>
          </cell>
          <cell r="O55">
            <v>37073</v>
          </cell>
          <cell r="Q55">
            <v>37210</v>
          </cell>
          <cell r="V55">
            <v>0</v>
          </cell>
          <cell r="X55">
            <v>0</v>
          </cell>
          <cell r="AO55">
            <v>0</v>
          </cell>
        </row>
        <row r="56">
          <cell r="A56">
            <v>520090</v>
          </cell>
          <cell r="B56" t="str">
            <v>Closed</v>
          </cell>
          <cell r="C56" t="str">
            <v>Apex</v>
          </cell>
          <cell r="I56" t="str">
            <v>Performance Matls</v>
          </cell>
          <cell r="L56" t="str">
            <v>MSE</v>
          </cell>
          <cell r="N56" t="str">
            <v>1</v>
          </cell>
          <cell r="O56">
            <v>37803</v>
          </cell>
          <cell r="Q56">
            <v>38565</v>
          </cell>
          <cell r="V56">
            <v>0</v>
          </cell>
          <cell r="X56">
            <v>0</v>
          </cell>
          <cell r="AD56">
            <v>8.5545653210770727</v>
          </cell>
          <cell r="AO56">
            <v>0</v>
          </cell>
        </row>
        <row r="57">
          <cell r="A57">
            <v>520035</v>
          </cell>
          <cell r="B57" t="str">
            <v>Closed</v>
          </cell>
          <cell r="C57" t="str">
            <v>Discovery</v>
          </cell>
          <cell r="L57" t="str">
            <v>MSE</v>
          </cell>
          <cell r="N57" t="str">
            <v>Discovery</v>
          </cell>
          <cell r="O57">
            <v>37622</v>
          </cell>
          <cell r="Q57">
            <v>38108</v>
          </cell>
          <cell r="V57">
            <v>0</v>
          </cell>
          <cell r="X57">
            <v>0</v>
          </cell>
          <cell r="AO57">
            <v>0</v>
          </cell>
        </row>
        <row r="58">
          <cell r="A58">
            <v>520055</v>
          </cell>
          <cell r="B58" t="str">
            <v>Closed</v>
          </cell>
          <cell r="C58" t="str">
            <v>Discovery</v>
          </cell>
          <cell r="L58" t="str">
            <v>MSE</v>
          </cell>
          <cell r="N58" t="str">
            <v>Discovery</v>
          </cell>
          <cell r="O58">
            <v>37742</v>
          </cell>
          <cell r="Q58">
            <v>38169</v>
          </cell>
          <cell r="V58">
            <v>0</v>
          </cell>
          <cell r="X58">
            <v>0</v>
          </cell>
          <cell r="AO58">
            <v>0</v>
          </cell>
        </row>
        <row r="59">
          <cell r="A59">
            <v>530031</v>
          </cell>
          <cell r="B59" t="str">
            <v>Closed</v>
          </cell>
          <cell r="C59" t="str">
            <v>Discovery</v>
          </cell>
          <cell r="L59" t="str">
            <v>CSE</v>
          </cell>
          <cell r="N59" t="str">
            <v>Discovery</v>
          </cell>
          <cell r="O59">
            <v>37530</v>
          </cell>
          <cell r="Q59">
            <v>37956</v>
          </cell>
          <cell r="V59">
            <v>0</v>
          </cell>
          <cell r="X59">
            <v>0</v>
          </cell>
          <cell r="AO59">
            <v>0</v>
          </cell>
        </row>
        <row r="60">
          <cell r="A60">
            <v>540023</v>
          </cell>
          <cell r="B60" t="str">
            <v>Graduate</v>
          </cell>
          <cell r="C60" t="str">
            <v>Collaboration</v>
          </cell>
          <cell r="I60" t="str">
            <v>Ag &amp; Nutrition</v>
          </cell>
          <cell r="L60" t="str">
            <v>BCSE</v>
          </cell>
          <cell r="N60" t="str">
            <v>Collaboration</v>
          </cell>
          <cell r="O60">
            <v>37408</v>
          </cell>
          <cell r="Q60">
            <v>38122</v>
          </cell>
          <cell r="V60">
            <v>0</v>
          </cell>
          <cell r="X60">
            <v>0</v>
          </cell>
          <cell r="AD60">
            <v>85</v>
          </cell>
          <cell r="AO60">
            <v>0</v>
          </cell>
        </row>
        <row r="61">
          <cell r="A61">
            <v>540053</v>
          </cell>
          <cell r="B61" t="str">
            <v>Graduate</v>
          </cell>
          <cell r="C61" t="str">
            <v>Collaboration</v>
          </cell>
          <cell r="I61" t="str">
            <v>Safety &amp; Protect</v>
          </cell>
          <cell r="L61" t="str">
            <v>BCSE</v>
          </cell>
          <cell r="N61" t="str">
            <v>Collaboration</v>
          </cell>
          <cell r="O61">
            <v>37956</v>
          </cell>
          <cell r="Q61">
            <v>38352</v>
          </cell>
          <cell r="V61">
            <v>0</v>
          </cell>
          <cell r="X61">
            <v>0</v>
          </cell>
          <cell r="AD61">
            <v>0</v>
          </cell>
          <cell r="AO61">
            <v>0</v>
          </cell>
        </row>
        <row r="62">
          <cell r="A62">
            <v>540014</v>
          </cell>
          <cell r="B62" t="str">
            <v>Closed</v>
          </cell>
          <cell r="C62" t="str">
            <v>Apex</v>
          </cell>
          <cell r="I62" t="str">
            <v>Elect. &amp; Comm.</v>
          </cell>
          <cell r="L62" t="str">
            <v>MSE</v>
          </cell>
          <cell r="N62" t="str">
            <v>1</v>
          </cell>
          <cell r="O62">
            <v>36161</v>
          </cell>
          <cell r="Q62">
            <v>37817</v>
          </cell>
          <cell r="V62">
            <v>0</v>
          </cell>
          <cell r="X62">
            <v>0</v>
          </cell>
          <cell r="AD62">
            <v>7.5</v>
          </cell>
          <cell r="AO62">
            <v>0</v>
          </cell>
        </row>
        <row r="63">
          <cell r="A63">
            <v>549006</v>
          </cell>
          <cell r="B63" t="str">
            <v>Closed</v>
          </cell>
          <cell r="C63" t="str">
            <v>Apex</v>
          </cell>
          <cell r="I63" t="str">
            <v>Bio-Based Matls</v>
          </cell>
          <cell r="L63" t="str">
            <v>BCSE</v>
          </cell>
          <cell r="N63" t="str">
            <v>1</v>
          </cell>
          <cell r="O63">
            <v>37012</v>
          </cell>
          <cell r="Q63">
            <v>37895</v>
          </cell>
          <cell r="V63">
            <v>0</v>
          </cell>
          <cell r="X63">
            <v>0</v>
          </cell>
          <cell r="AO63">
            <v>0</v>
          </cell>
        </row>
        <row r="64">
          <cell r="A64">
            <v>520051</v>
          </cell>
          <cell r="B64" t="str">
            <v>Closed</v>
          </cell>
          <cell r="C64" t="str">
            <v>Apex</v>
          </cell>
          <cell r="I64" t="str">
            <v>Elect. &amp; Comm.</v>
          </cell>
          <cell r="L64" t="str">
            <v>MSE</v>
          </cell>
          <cell r="N64" t="str">
            <v>1</v>
          </cell>
          <cell r="O64">
            <v>37803</v>
          </cell>
          <cell r="Q64">
            <v>38504</v>
          </cell>
          <cell r="V64">
            <v>0</v>
          </cell>
          <cell r="X64">
            <v>0</v>
          </cell>
          <cell r="AD64">
            <v>16.336064700061879</v>
          </cell>
          <cell r="AO64">
            <v>0</v>
          </cell>
        </row>
        <row r="65">
          <cell r="A65">
            <v>520007</v>
          </cell>
          <cell r="B65" t="str">
            <v>Closed</v>
          </cell>
          <cell r="C65" t="str">
            <v>Apex</v>
          </cell>
          <cell r="I65" t="str">
            <v>Performance Matls</v>
          </cell>
          <cell r="L65" t="str">
            <v>MSE</v>
          </cell>
          <cell r="N65" t="str">
            <v>1</v>
          </cell>
          <cell r="O65">
            <v>34790</v>
          </cell>
          <cell r="Q65">
            <v>37488</v>
          </cell>
          <cell r="V65">
            <v>0</v>
          </cell>
          <cell r="X65">
            <v>0</v>
          </cell>
          <cell r="AO65">
            <v>0</v>
          </cell>
        </row>
        <row r="66">
          <cell r="A66">
            <v>550001</v>
          </cell>
          <cell r="B66" t="str">
            <v>Closed</v>
          </cell>
          <cell r="C66" t="str">
            <v>Discovery</v>
          </cell>
          <cell r="L66" t="str">
            <v>Other</v>
          </cell>
          <cell r="N66" t="str">
            <v>Discovery</v>
          </cell>
          <cell r="O66">
            <v>37469</v>
          </cell>
          <cell r="Q66">
            <v>37561</v>
          </cell>
          <cell r="V66">
            <v>0</v>
          </cell>
          <cell r="X66">
            <v>0</v>
          </cell>
          <cell r="AO66">
            <v>0</v>
          </cell>
        </row>
        <row r="67">
          <cell r="A67">
            <v>520029</v>
          </cell>
          <cell r="B67" t="str">
            <v>Closed</v>
          </cell>
          <cell r="C67" t="str">
            <v>Discovery</v>
          </cell>
          <cell r="I67" t="str">
            <v>Safety &amp; Protect</v>
          </cell>
          <cell r="L67" t="str">
            <v>MSE</v>
          </cell>
          <cell r="N67" t="str">
            <v>Discovery</v>
          </cell>
          <cell r="O67">
            <v>37347</v>
          </cell>
          <cell r="Q67">
            <v>37773</v>
          </cell>
          <cell r="V67">
            <v>0</v>
          </cell>
          <cell r="X67">
            <v>0</v>
          </cell>
          <cell r="AO67">
            <v>0</v>
          </cell>
        </row>
        <row r="68">
          <cell r="A68">
            <v>520031</v>
          </cell>
          <cell r="B68" t="str">
            <v>Closed</v>
          </cell>
          <cell r="C68" t="str">
            <v>Apex</v>
          </cell>
          <cell r="I68" t="str">
            <v>Elect. &amp; Comm.</v>
          </cell>
          <cell r="L68" t="str">
            <v>MSE</v>
          </cell>
          <cell r="N68" t="str">
            <v>1</v>
          </cell>
          <cell r="O68">
            <v>37377</v>
          </cell>
          <cell r="Q68">
            <v>38292</v>
          </cell>
          <cell r="V68">
            <v>0</v>
          </cell>
          <cell r="X68">
            <v>0</v>
          </cell>
          <cell r="AD68">
            <v>2.4</v>
          </cell>
          <cell r="AO68">
            <v>0</v>
          </cell>
        </row>
        <row r="69">
          <cell r="A69">
            <v>539004</v>
          </cell>
          <cell r="B69" t="str">
            <v>Closed</v>
          </cell>
          <cell r="C69" t="str">
            <v>Apex</v>
          </cell>
          <cell r="N69" t="str">
            <v>1</v>
          </cell>
          <cell r="Q69">
            <v>37073</v>
          </cell>
          <cell r="V69">
            <v>0</v>
          </cell>
          <cell r="X69">
            <v>0</v>
          </cell>
          <cell r="AO69">
            <v>0</v>
          </cell>
        </row>
        <row r="70">
          <cell r="A70">
            <v>540034</v>
          </cell>
          <cell r="B70" t="str">
            <v>Closed</v>
          </cell>
          <cell r="C70" t="str">
            <v>Apex</v>
          </cell>
          <cell r="I70" t="str">
            <v>Bio-Based Matls</v>
          </cell>
          <cell r="L70" t="str">
            <v>BCSE</v>
          </cell>
          <cell r="N70" t="str">
            <v>1</v>
          </cell>
          <cell r="O70">
            <v>36892</v>
          </cell>
          <cell r="Q70">
            <v>37621</v>
          </cell>
          <cell r="V70">
            <v>0</v>
          </cell>
          <cell r="X70">
            <v>0</v>
          </cell>
          <cell r="AO70">
            <v>0</v>
          </cell>
        </row>
        <row r="71">
          <cell r="A71">
            <v>530026</v>
          </cell>
          <cell r="B71" t="str">
            <v>Closed</v>
          </cell>
          <cell r="C71" t="str">
            <v>Discovery</v>
          </cell>
          <cell r="L71" t="str">
            <v>CSE</v>
          </cell>
          <cell r="N71" t="str">
            <v>Discovery</v>
          </cell>
          <cell r="O71">
            <v>37438</v>
          </cell>
          <cell r="Q71">
            <v>38047</v>
          </cell>
          <cell r="V71">
            <v>0</v>
          </cell>
          <cell r="X71">
            <v>0</v>
          </cell>
          <cell r="AO71">
            <v>0</v>
          </cell>
        </row>
        <row r="72">
          <cell r="A72">
            <v>549026</v>
          </cell>
          <cell r="B72" t="str">
            <v>Closed</v>
          </cell>
          <cell r="C72" t="str">
            <v>Collaboration</v>
          </cell>
          <cell r="I72" t="str">
            <v>Safety &amp; Protect</v>
          </cell>
          <cell r="L72" t="str">
            <v>ELT</v>
          </cell>
          <cell r="N72" t="str">
            <v>Collaboration</v>
          </cell>
          <cell r="O72">
            <v>37257</v>
          </cell>
          <cell r="Q72">
            <v>37834</v>
          </cell>
          <cell r="V72">
            <v>0</v>
          </cell>
          <cell r="X72">
            <v>0</v>
          </cell>
          <cell r="AD72">
            <v>84</v>
          </cell>
          <cell r="AO72">
            <v>0</v>
          </cell>
        </row>
        <row r="73">
          <cell r="A73">
            <v>520027</v>
          </cell>
          <cell r="B73" t="str">
            <v>Graduate</v>
          </cell>
          <cell r="C73" t="str">
            <v>Collaboration</v>
          </cell>
          <cell r="I73" t="str">
            <v>Performance Matls</v>
          </cell>
          <cell r="L73" t="str">
            <v>MSE</v>
          </cell>
          <cell r="N73" t="str">
            <v>Collaboration</v>
          </cell>
          <cell r="O73">
            <v>37316</v>
          </cell>
          <cell r="Q73">
            <v>37987</v>
          </cell>
          <cell r="V73">
            <v>0</v>
          </cell>
          <cell r="X73">
            <v>0</v>
          </cell>
          <cell r="AD73">
            <v>8.3125</v>
          </cell>
          <cell r="AO73">
            <v>0</v>
          </cell>
        </row>
        <row r="74">
          <cell r="A74">
            <v>540020</v>
          </cell>
          <cell r="B74" t="str">
            <v>Closed</v>
          </cell>
          <cell r="C74" t="str">
            <v>Apex</v>
          </cell>
          <cell r="I74" t="str">
            <v>Ag &amp; Nutrition</v>
          </cell>
          <cell r="L74" t="str">
            <v>BCSE</v>
          </cell>
          <cell r="N74" t="str">
            <v>1</v>
          </cell>
          <cell r="O74">
            <v>37377</v>
          </cell>
          <cell r="Q74">
            <v>38352</v>
          </cell>
          <cell r="V74">
            <v>0</v>
          </cell>
          <cell r="X74">
            <v>0</v>
          </cell>
          <cell r="AD74">
            <v>4.8</v>
          </cell>
          <cell r="AO74">
            <v>0</v>
          </cell>
        </row>
        <row r="75">
          <cell r="A75">
            <v>520060</v>
          </cell>
          <cell r="B75" t="str">
            <v>Graduate</v>
          </cell>
          <cell r="C75" t="str">
            <v>Apex</v>
          </cell>
          <cell r="I75" t="str">
            <v>Elect. &amp; Comm.</v>
          </cell>
          <cell r="L75" t="str">
            <v>MSE</v>
          </cell>
          <cell r="N75" t="str">
            <v>1</v>
          </cell>
          <cell r="O75">
            <v>37316</v>
          </cell>
          <cell r="Q75">
            <v>37895</v>
          </cell>
          <cell r="V75">
            <v>0</v>
          </cell>
          <cell r="X75">
            <v>0</v>
          </cell>
          <cell r="AD75">
            <v>5</v>
          </cell>
          <cell r="AO75">
            <v>0</v>
          </cell>
        </row>
        <row r="76">
          <cell r="A76">
            <v>540037</v>
          </cell>
          <cell r="B76" t="str">
            <v>Closed</v>
          </cell>
          <cell r="C76" t="str">
            <v>Apex</v>
          </cell>
          <cell r="I76" t="str">
            <v>Bio-Based Matls</v>
          </cell>
          <cell r="L76" t="str">
            <v>BCSE</v>
          </cell>
          <cell r="N76" t="str">
            <v>1</v>
          </cell>
          <cell r="O76">
            <v>36220</v>
          </cell>
          <cell r="Q76">
            <v>37346</v>
          </cell>
          <cell r="V76">
            <v>0</v>
          </cell>
          <cell r="X76">
            <v>0</v>
          </cell>
          <cell r="AO76">
            <v>0</v>
          </cell>
        </row>
        <row r="77">
          <cell r="A77">
            <v>530010</v>
          </cell>
          <cell r="B77" t="str">
            <v>Closed</v>
          </cell>
          <cell r="C77" t="str">
            <v>Apex</v>
          </cell>
          <cell r="I77" t="str">
            <v>Pharmaceuticals</v>
          </cell>
          <cell r="L77" t="str">
            <v>CSE</v>
          </cell>
          <cell r="N77" t="str">
            <v>1</v>
          </cell>
          <cell r="O77">
            <v>36161</v>
          </cell>
          <cell r="Q77">
            <v>36861</v>
          </cell>
          <cell r="V77">
            <v>0</v>
          </cell>
          <cell r="X77">
            <v>0</v>
          </cell>
          <cell r="AO77">
            <v>0</v>
          </cell>
        </row>
        <row r="78">
          <cell r="A78">
            <v>530008</v>
          </cell>
          <cell r="B78" t="str">
            <v>Graduate</v>
          </cell>
          <cell r="C78" t="str">
            <v>Apex</v>
          </cell>
          <cell r="I78" t="str">
            <v>Safety &amp; Protect</v>
          </cell>
          <cell r="L78" t="str">
            <v>CSE</v>
          </cell>
          <cell r="N78" t="str">
            <v>1</v>
          </cell>
          <cell r="O78">
            <v>36161</v>
          </cell>
          <cell r="Q78">
            <v>36800</v>
          </cell>
          <cell r="V78">
            <v>0</v>
          </cell>
          <cell r="X78">
            <v>0</v>
          </cell>
          <cell r="AO78">
            <v>0</v>
          </cell>
        </row>
        <row r="79">
          <cell r="B79" t="str">
            <v>Closed</v>
          </cell>
          <cell r="C79" t="str">
            <v>Apex</v>
          </cell>
          <cell r="I79" t="str">
            <v>Textile &amp; Int.</v>
          </cell>
          <cell r="L79" t="str">
            <v>CSE</v>
          </cell>
          <cell r="N79" t="str">
            <v>1</v>
          </cell>
          <cell r="O79">
            <v>36161</v>
          </cell>
          <cell r="Q79">
            <v>36495</v>
          </cell>
          <cell r="V79">
            <v>0</v>
          </cell>
          <cell r="X79">
            <v>0</v>
          </cell>
          <cell r="AO79">
            <v>0</v>
          </cell>
        </row>
        <row r="80">
          <cell r="A80">
            <v>520006</v>
          </cell>
          <cell r="B80" t="str">
            <v>Graduate</v>
          </cell>
          <cell r="C80" t="str">
            <v>Apex</v>
          </cell>
          <cell r="I80" t="str">
            <v>Textile &amp; Int.</v>
          </cell>
          <cell r="L80" t="str">
            <v>MSE</v>
          </cell>
          <cell r="N80" t="str">
            <v>1</v>
          </cell>
          <cell r="O80">
            <v>36161</v>
          </cell>
          <cell r="Q80">
            <v>36891</v>
          </cell>
          <cell r="V80">
            <v>0</v>
          </cell>
          <cell r="X80">
            <v>0</v>
          </cell>
          <cell r="AO80">
            <v>0</v>
          </cell>
        </row>
        <row r="81">
          <cell r="A81">
            <v>530044</v>
          </cell>
          <cell r="B81" t="str">
            <v>Closed</v>
          </cell>
          <cell r="C81" t="str">
            <v>Collaboration</v>
          </cell>
          <cell r="I81" t="str">
            <v>Performance Matls</v>
          </cell>
          <cell r="L81" t="str">
            <v>CSE</v>
          </cell>
          <cell r="N81" t="str">
            <v>Collaboration</v>
          </cell>
          <cell r="O81">
            <v>37773</v>
          </cell>
          <cell r="Q81">
            <v>38443</v>
          </cell>
          <cell r="V81">
            <v>0</v>
          </cell>
          <cell r="X81">
            <v>0</v>
          </cell>
          <cell r="AD81">
            <v>155</v>
          </cell>
          <cell r="AO81">
            <v>0</v>
          </cell>
        </row>
        <row r="82">
          <cell r="A82">
            <v>520011</v>
          </cell>
          <cell r="B82" t="str">
            <v>Closed</v>
          </cell>
          <cell r="C82" t="str">
            <v>Apex</v>
          </cell>
          <cell r="I82" t="str">
            <v>Textile &amp; Int.</v>
          </cell>
          <cell r="L82" t="str">
            <v>CSE</v>
          </cell>
          <cell r="N82" t="str">
            <v>1</v>
          </cell>
          <cell r="O82">
            <v>36161</v>
          </cell>
          <cell r="Q82">
            <v>36586</v>
          </cell>
          <cell r="V82">
            <v>0</v>
          </cell>
          <cell r="X82">
            <v>0</v>
          </cell>
          <cell r="AO82">
            <v>0</v>
          </cell>
        </row>
        <row r="83">
          <cell r="B83" t="str">
            <v>Closed</v>
          </cell>
          <cell r="C83" t="str">
            <v>Apex</v>
          </cell>
          <cell r="I83" t="str">
            <v>Textile &amp; Int.</v>
          </cell>
          <cell r="L83" t="str">
            <v>MSE</v>
          </cell>
          <cell r="N83" t="str">
            <v>1</v>
          </cell>
          <cell r="O83">
            <v>36161</v>
          </cell>
          <cell r="Q83">
            <v>36495</v>
          </cell>
          <cell r="V83">
            <v>0</v>
          </cell>
          <cell r="X83">
            <v>0</v>
          </cell>
          <cell r="AO83">
            <v>0</v>
          </cell>
        </row>
        <row r="84">
          <cell r="A84">
            <v>530002</v>
          </cell>
          <cell r="B84" t="str">
            <v>Closed</v>
          </cell>
          <cell r="C84" t="str">
            <v>Apex</v>
          </cell>
          <cell r="I84" t="str">
            <v>Elect. &amp; Comm.</v>
          </cell>
          <cell r="L84" t="str">
            <v>CSE</v>
          </cell>
          <cell r="N84" t="str">
            <v>1</v>
          </cell>
          <cell r="O84">
            <v>37196</v>
          </cell>
          <cell r="Q84">
            <v>37987</v>
          </cell>
          <cell r="V84">
            <v>0</v>
          </cell>
          <cell r="X84">
            <v>0</v>
          </cell>
          <cell r="AD84">
            <v>0.6</v>
          </cell>
          <cell r="AO84">
            <v>0</v>
          </cell>
        </row>
        <row r="85">
          <cell r="A85">
            <v>540027</v>
          </cell>
          <cell r="B85" t="str">
            <v>Closed</v>
          </cell>
          <cell r="C85" t="str">
            <v>Discovery</v>
          </cell>
          <cell r="I85" t="str">
            <v>Bio-Based Matls</v>
          </cell>
          <cell r="L85" t="str">
            <v>BCSE</v>
          </cell>
          <cell r="N85" t="str">
            <v>Discovery</v>
          </cell>
          <cell r="O85">
            <v>37377</v>
          </cell>
          <cell r="Q85">
            <v>37802</v>
          </cell>
          <cell r="V85">
            <v>0</v>
          </cell>
          <cell r="X85">
            <v>0</v>
          </cell>
          <cell r="AO85">
            <v>0</v>
          </cell>
        </row>
        <row r="86">
          <cell r="A86">
            <v>520013</v>
          </cell>
          <cell r="B86" t="str">
            <v>Closed</v>
          </cell>
          <cell r="C86" t="str">
            <v>Discovery</v>
          </cell>
          <cell r="I86" t="str">
            <v>Elect. &amp; Comm.</v>
          </cell>
          <cell r="L86" t="str">
            <v>MSE</v>
          </cell>
          <cell r="N86" t="str">
            <v>Discovery</v>
          </cell>
          <cell r="O86">
            <v>37288</v>
          </cell>
          <cell r="Q86">
            <v>37711</v>
          </cell>
          <cell r="V86">
            <v>0</v>
          </cell>
          <cell r="X86">
            <v>0</v>
          </cell>
          <cell r="AO86">
            <v>0</v>
          </cell>
        </row>
        <row r="87">
          <cell r="A87">
            <v>530028</v>
          </cell>
          <cell r="B87" t="str">
            <v>Closed</v>
          </cell>
          <cell r="C87" t="str">
            <v>Discovery</v>
          </cell>
          <cell r="L87" t="str">
            <v>CSE</v>
          </cell>
          <cell r="N87" t="str">
            <v>Discovery</v>
          </cell>
          <cell r="O87">
            <v>37500</v>
          </cell>
          <cell r="Q87">
            <v>37895</v>
          </cell>
          <cell r="V87">
            <v>0</v>
          </cell>
          <cell r="X87">
            <v>0</v>
          </cell>
          <cell r="AO87">
            <v>0</v>
          </cell>
        </row>
        <row r="88">
          <cell r="A88">
            <v>530053</v>
          </cell>
          <cell r="B88" t="str">
            <v>Graduate</v>
          </cell>
          <cell r="C88" t="str">
            <v>Collaboration</v>
          </cell>
          <cell r="I88" t="str">
            <v>Ag &amp; Nutrition</v>
          </cell>
          <cell r="L88" t="str">
            <v>CSE</v>
          </cell>
          <cell r="N88" t="str">
            <v>Collaboration</v>
          </cell>
          <cell r="O88">
            <v>38108</v>
          </cell>
          <cell r="Q88">
            <v>38384</v>
          </cell>
          <cell r="V88">
            <v>0</v>
          </cell>
          <cell r="X88">
            <v>0</v>
          </cell>
          <cell r="AD88">
            <v>65</v>
          </cell>
          <cell r="AO88">
            <v>0</v>
          </cell>
        </row>
        <row r="89">
          <cell r="A89">
            <v>520042</v>
          </cell>
          <cell r="B89" t="str">
            <v>Closed</v>
          </cell>
          <cell r="C89" t="str">
            <v>Collaboration</v>
          </cell>
          <cell r="I89" t="str">
            <v>Elect. &amp; Comm.</v>
          </cell>
          <cell r="L89" t="str">
            <v>MSE</v>
          </cell>
          <cell r="N89" t="str">
            <v>Collaboration</v>
          </cell>
          <cell r="O89">
            <v>37681</v>
          </cell>
          <cell r="Q89">
            <v>38047</v>
          </cell>
          <cell r="V89">
            <v>0</v>
          </cell>
          <cell r="X89">
            <v>0</v>
          </cell>
          <cell r="AD89">
            <v>23.125</v>
          </cell>
          <cell r="AO89">
            <v>0</v>
          </cell>
        </row>
        <row r="90">
          <cell r="A90">
            <v>520085</v>
          </cell>
          <cell r="B90" t="str">
            <v>Closed</v>
          </cell>
          <cell r="C90" t="str">
            <v>Collaboration</v>
          </cell>
          <cell r="I90" t="str">
            <v>Coatings &amp; Color</v>
          </cell>
          <cell r="L90" t="str">
            <v>MSE</v>
          </cell>
          <cell r="N90" t="str">
            <v>Collaboration</v>
          </cell>
          <cell r="O90">
            <v>37803</v>
          </cell>
          <cell r="Q90">
            <v>38443</v>
          </cell>
          <cell r="V90">
            <v>0</v>
          </cell>
          <cell r="X90">
            <v>0</v>
          </cell>
          <cell r="AD90">
            <v>200</v>
          </cell>
          <cell r="AO90">
            <v>0</v>
          </cell>
        </row>
        <row r="91">
          <cell r="A91">
            <v>540032</v>
          </cell>
          <cell r="B91" t="str">
            <v>Closed</v>
          </cell>
          <cell r="C91" t="str">
            <v>Apex</v>
          </cell>
          <cell r="I91" t="str">
            <v>Ag &amp; Nutrition</v>
          </cell>
          <cell r="L91" t="str">
            <v>BCSE</v>
          </cell>
          <cell r="N91" t="str">
            <v>1</v>
          </cell>
          <cell r="O91">
            <v>36161</v>
          </cell>
          <cell r="Q91">
            <v>36950</v>
          </cell>
          <cell r="V91">
            <v>0</v>
          </cell>
          <cell r="X91">
            <v>0</v>
          </cell>
          <cell r="AO91">
            <v>0</v>
          </cell>
        </row>
        <row r="92">
          <cell r="A92">
            <v>520018</v>
          </cell>
          <cell r="B92" t="str">
            <v>Closed</v>
          </cell>
          <cell r="C92" t="str">
            <v>Apex</v>
          </cell>
          <cell r="I92" t="str">
            <v>Performance Matls</v>
          </cell>
          <cell r="L92" t="str">
            <v>MSE</v>
          </cell>
          <cell r="N92" t="str">
            <v>1</v>
          </cell>
          <cell r="O92">
            <v>36526</v>
          </cell>
          <cell r="Q92">
            <v>37257</v>
          </cell>
          <cell r="V92">
            <v>0</v>
          </cell>
          <cell r="X92">
            <v>0</v>
          </cell>
          <cell r="AO92">
            <v>0</v>
          </cell>
        </row>
        <row r="93">
          <cell r="A93">
            <v>520038</v>
          </cell>
          <cell r="B93" t="str">
            <v>Closed</v>
          </cell>
          <cell r="C93" t="str">
            <v>Collaboration</v>
          </cell>
          <cell r="I93" t="str">
            <v>Performance Matls</v>
          </cell>
          <cell r="L93" t="str">
            <v>MSE</v>
          </cell>
          <cell r="N93" t="str">
            <v>Collaboration</v>
          </cell>
          <cell r="O93">
            <v>37653</v>
          </cell>
          <cell r="Q93">
            <v>37956</v>
          </cell>
          <cell r="V93">
            <v>0</v>
          </cell>
          <cell r="X93">
            <v>0</v>
          </cell>
          <cell r="AD93">
            <v>5.92</v>
          </cell>
          <cell r="AO93">
            <v>0</v>
          </cell>
        </row>
        <row r="94">
          <cell r="A94">
            <v>520014</v>
          </cell>
          <cell r="B94" t="str">
            <v>Closed</v>
          </cell>
          <cell r="C94" t="str">
            <v>Apex</v>
          </cell>
          <cell r="I94" t="str">
            <v>Elect. &amp; Comm.</v>
          </cell>
          <cell r="L94" t="str">
            <v>MSE</v>
          </cell>
          <cell r="N94" t="str">
            <v>1</v>
          </cell>
          <cell r="O94">
            <v>35431</v>
          </cell>
          <cell r="Q94">
            <v>37043</v>
          </cell>
          <cell r="V94">
            <v>0</v>
          </cell>
          <cell r="X94">
            <v>0</v>
          </cell>
          <cell r="AO94">
            <v>0</v>
          </cell>
        </row>
        <row r="95">
          <cell r="B95" t="str">
            <v>Closed</v>
          </cell>
          <cell r="C95" t="str">
            <v>Apex</v>
          </cell>
          <cell r="I95" t="str">
            <v>Performance Matls</v>
          </cell>
          <cell r="L95" t="str">
            <v>MSE</v>
          </cell>
          <cell r="N95" t="str">
            <v>1</v>
          </cell>
          <cell r="O95">
            <v>36161</v>
          </cell>
          <cell r="Q95">
            <v>37469</v>
          </cell>
          <cell r="V95">
            <v>0</v>
          </cell>
          <cell r="X95">
            <v>0</v>
          </cell>
          <cell r="AO95">
            <v>0</v>
          </cell>
        </row>
        <row r="96">
          <cell r="A96">
            <v>520026</v>
          </cell>
          <cell r="B96" t="str">
            <v>Closed</v>
          </cell>
          <cell r="C96" t="str">
            <v>Collaboration</v>
          </cell>
          <cell r="I96" t="str">
            <v>Coatings &amp; Color</v>
          </cell>
          <cell r="L96" t="str">
            <v>MSE</v>
          </cell>
          <cell r="N96" t="str">
            <v>Collaboration</v>
          </cell>
          <cell r="O96">
            <v>37316</v>
          </cell>
          <cell r="Q96">
            <v>38047</v>
          </cell>
          <cell r="V96">
            <v>0</v>
          </cell>
          <cell r="X96">
            <v>0</v>
          </cell>
          <cell r="AD96">
            <v>25</v>
          </cell>
          <cell r="AO96">
            <v>0</v>
          </cell>
        </row>
        <row r="97">
          <cell r="A97">
            <v>530043</v>
          </cell>
          <cell r="B97" t="str">
            <v>Closed</v>
          </cell>
          <cell r="C97" t="str">
            <v>Collaboration</v>
          </cell>
          <cell r="I97" t="str">
            <v>Performance Matls</v>
          </cell>
          <cell r="L97" t="str">
            <v>CSE</v>
          </cell>
          <cell r="N97" t="str">
            <v>Collaboration</v>
          </cell>
          <cell r="O97">
            <v>37742</v>
          </cell>
          <cell r="Q97">
            <v>38169</v>
          </cell>
          <cell r="V97">
            <v>0</v>
          </cell>
          <cell r="X97">
            <v>0</v>
          </cell>
          <cell r="AD97">
            <v>100</v>
          </cell>
          <cell r="AO97">
            <v>0</v>
          </cell>
        </row>
        <row r="98">
          <cell r="A98">
            <v>530021</v>
          </cell>
          <cell r="B98" t="str">
            <v>Closed</v>
          </cell>
          <cell r="C98" t="str">
            <v>Discovery</v>
          </cell>
          <cell r="I98" t="str">
            <v>Performance Matls</v>
          </cell>
          <cell r="L98" t="str">
            <v>CSE</v>
          </cell>
          <cell r="N98" t="str">
            <v>Discovery</v>
          </cell>
          <cell r="O98">
            <v>37347</v>
          </cell>
          <cell r="Q98">
            <v>37742</v>
          </cell>
          <cell r="V98">
            <v>0</v>
          </cell>
          <cell r="X98">
            <v>0</v>
          </cell>
          <cell r="AO98">
            <v>0</v>
          </cell>
        </row>
        <row r="99">
          <cell r="A99">
            <v>530014</v>
          </cell>
          <cell r="B99" t="str">
            <v>Closed</v>
          </cell>
          <cell r="C99" t="str">
            <v>Apex</v>
          </cell>
          <cell r="I99" t="str">
            <v>Textile &amp; Int.</v>
          </cell>
          <cell r="L99" t="str">
            <v>CSE</v>
          </cell>
          <cell r="N99" t="str">
            <v>1</v>
          </cell>
          <cell r="O99">
            <v>36161</v>
          </cell>
          <cell r="Q99">
            <v>37561</v>
          </cell>
          <cell r="V99">
            <v>0</v>
          </cell>
          <cell r="X99">
            <v>0</v>
          </cell>
          <cell r="AD99">
            <v>10.487426796854693</v>
          </cell>
          <cell r="AO99">
            <v>0</v>
          </cell>
        </row>
        <row r="100">
          <cell r="A100">
            <v>540007</v>
          </cell>
          <cell r="B100" t="str">
            <v>Closed</v>
          </cell>
          <cell r="C100" t="str">
            <v>Apex</v>
          </cell>
          <cell r="I100" t="str">
            <v>Bio-Based Matls</v>
          </cell>
          <cell r="L100" t="str">
            <v>BCSE</v>
          </cell>
          <cell r="N100" t="str">
            <v>1</v>
          </cell>
          <cell r="O100">
            <v>35796</v>
          </cell>
          <cell r="Q100">
            <v>38077</v>
          </cell>
          <cell r="V100">
            <v>0</v>
          </cell>
          <cell r="X100">
            <v>0</v>
          </cell>
          <cell r="AD100">
            <v>1.016</v>
          </cell>
          <cell r="AO100">
            <v>0</v>
          </cell>
        </row>
        <row r="101">
          <cell r="A101">
            <v>540040</v>
          </cell>
          <cell r="B101" t="str">
            <v>Closed</v>
          </cell>
          <cell r="C101" t="str">
            <v>Apex</v>
          </cell>
          <cell r="I101" t="str">
            <v>Bio-Based Matls</v>
          </cell>
          <cell r="L101" t="str">
            <v>BCSE</v>
          </cell>
          <cell r="N101" t="str">
            <v>1</v>
          </cell>
          <cell r="O101">
            <v>36586</v>
          </cell>
          <cell r="Q101">
            <v>38168</v>
          </cell>
          <cell r="V101">
            <v>0</v>
          </cell>
          <cell r="X101">
            <v>0</v>
          </cell>
          <cell r="AO101">
            <v>0</v>
          </cell>
        </row>
        <row r="102">
          <cell r="A102">
            <v>540011</v>
          </cell>
          <cell r="B102" t="str">
            <v>Closed</v>
          </cell>
          <cell r="C102" t="str">
            <v>Apex</v>
          </cell>
          <cell r="I102" t="str">
            <v>Bio-Based Matls</v>
          </cell>
          <cell r="L102" t="str">
            <v>BCSE</v>
          </cell>
          <cell r="N102" t="str">
            <v>1</v>
          </cell>
          <cell r="O102">
            <v>36161</v>
          </cell>
          <cell r="Q102">
            <v>37408</v>
          </cell>
          <cell r="V102">
            <v>0</v>
          </cell>
          <cell r="X102">
            <v>0</v>
          </cell>
          <cell r="AO102">
            <v>0</v>
          </cell>
        </row>
        <row r="103">
          <cell r="A103">
            <v>540029</v>
          </cell>
          <cell r="B103" t="str">
            <v>Closed</v>
          </cell>
          <cell r="C103" t="str">
            <v>Apex</v>
          </cell>
          <cell r="I103" t="str">
            <v>Bio-Based Matls</v>
          </cell>
          <cell r="L103" t="str">
            <v>BCSE</v>
          </cell>
          <cell r="N103" t="str">
            <v>1</v>
          </cell>
          <cell r="O103">
            <v>37408</v>
          </cell>
          <cell r="Q103">
            <v>37711</v>
          </cell>
          <cell r="V103">
            <v>0</v>
          </cell>
          <cell r="X103">
            <v>0</v>
          </cell>
          <cell r="AO103">
            <v>0</v>
          </cell>
        </row>
        <row r="104">
          <cell r="A104">
            <v>540012</v>
          </cell>
          <cell r="B104" t="str">
            <v>Closed</v>
          </cell>
          <cell r="C104" t="str">
            <v>Apex</v>
          </cell>
          <cell r="I104" t="str">
            <v>Bio-Based Matls</v>
          </cell>
          <cell r="L104" t="str">
            <v>BCSE</v>
          </cell>
          <cell r="N104" t="str">
            <v>1</v>
          </cell>
          <cell r="O104">
            <v>36161</v>
          </cell>
          <cell r="Q104">
            <v>38291</v>
          </cell>
          <cell r="V104">
            <v>0</v>
          </cell>
          <cell r="X104">
            <v>0</v>
          </cell>
          <cell r="AD104">
            <v>0.4</v>
          </cell>
          <cell r="AO104">
            <v>0</v>
          </cell>
        </row>
        <row r="105">
          <cell r="A105">
            <v>530012</v>
          </cell>
          <cell r="B105" t="str">
            <v>Graduate</v>
          </cell>
          <cell r="C105" t="str">
            <v>Apex</v>
          </cell>
          <cell r="I105" t="str">
            <v>Elect. &amp; Comm.</v>
          </cell>
          <cell r="L105" t="str">
            <v>CSE</v>
          </cell>
          <cell r="N105" t="str">
            <v>1</v>
          </cell>
          <cell r="O105">
            <v>36161</v>
          </cell>
          <cell r="Q105">
            <v>36891</v>
          </cell>
          <cell r="V105">
            <v>0</v>
          </cell>
          <cell r="X105">
            <v>0</v>
          </cell>
          <cell r="AO105">
            <v>0</v>
          </cell>
        </row>
        <row r="106">
          <cell r="B106" t="str">
            <v>Closed</v>
          </cell>
          <cell r="C106" t="str">
            <v>Apex</v>
          </cell>
          <cell r="I106" t="str">
            <v>Textile &amp; Int.</v>
          </cell>
          <cell r="L106" t="str">
            <v>CSE</v>
          </cell>
          <cell r="N106" t="str">
            <v>1</v>
          </cell>
          <cell r="O106">
            <v>36161</v>
          </cell>
          <cell r="Q106">
            <v>36495</v>
          </cell>
          <cell r="V106">
            <v>0</v>
          </cell>
          <cell r="X106">
            <v>0</v>
          </cell>
          <cell r="AO106">
            <v>0</v>
          </cell>
        </row>
        <row r="107">
          <cell r="A107">
            <v>530001</v>
          </cell>
          <cell r="B107" t="str">
            <v>Closed</v>
          </cell>
          <cell r="C107" t="str">
            <v>Apex</v>
          </cell>
          <cell r="I107" t="str">
            <v>Textile &amp; Int.</v>
          </cell>
          <cell r="L107" t="str">
            <v>CSE</v>
          </cell>
          <cell r="N107" t="str">
            <v>1</v>
          </cell>
          <cell r="O107">
            <v>36161</v>
          </cell>
          <cell r="Q107">
            <v>36647</v>
          </cell>
          <cell r="V107">
            <v>0</v>
          </cell>
          <cell r="X107">
            <v>0</v>
          </cell>
          <cell r="AO107">
            <v>0</v>
          </cell>
        </row>
        <row r="108">
          <cell r="A108">
            <v>520039</v>
          </cell>
          <cell r="B108" t="str">
            <v>Closed</v>
          </cell>
          <cell r="C108" t="str">
            <v>Discovery</v>
          </cell>
          <cell r="L108" t="str">
            <v>MSE</v>
          </cell>
          <cell r="N108" t="str">
            <v>Discovery</v>
          </cell>
          <cell r="O108">
            <v>37653</v>
          </cell>
          <cell r="Q108">
            <v>38018</v>
          </cell>
          <cell r="V108">
            <v>0</v>
          </cell>
          <cell r="X108">
            <v>0</v>
          </cell>
          <cell r="AO108">
            <v>0</v>
          </cell>
        </row>
        <row r="109">
          <cell r="A109">
            <v>530033</v>
          </cell>
          <cell r="B109" t="str">
            <v>Closed</v>
          </cell>
          <cell r="C109" t="str">
            <v>Discovery</v>
          </cell>
          <cell r="L109" t="str">
            <v>CSE</v>
          </cell>
          <cell r="N109" t="str">
            <v>Discovery</v>
          </cell>
          <cell r="O109">
            <v>37530</v>
          </cell>
          <cell r="Q109">
            <v>38139</v>
          </cell>
          <cell r="V109">
            <v>0</v>
          </cell>
          <cell r="X109">
            <v>0</v>
          </cell>
          <cell r="AO109">
            <v>0</v>
          </cell>
        </row>
        <row r="110">
          <cell r="A110">
            <v>530027</v>
          </cell>
          <cell r="B110" t="str">
            <v>Closed</v>
          </cell>
          <cell r="C110" t="str">
            <v>Discovery</v>
          </cell>
          <cell r="L110" t="str">
            <v>CSE</v>
          </cell>
          <cell r="N110" t="str">
            <v>Discovery</v>
          </cell>
          <cell r="O110">
            <v>37469</v>
          </cell>
          <cell r="Q110">
            <v>37895</v>
          </cell>
          <cell r="V110">
            <v>0</v>
          </cell>
          <cell r="X110">
            <v>0</v>
          </cell>
          <cell r="AO110">
            <v>0</v>
          </cell>
        </row>
        <row r="111">
          <cell r="A111">
            <v>540021</v>
          </cell>
          <cell r="B111" t="str">
            <v>Closed</v>
          </cell>
          <cell r="C111" t="str">
            <v>Apex</v>
          </cell>
          <cell r="I111" t="str">
            <v>Pharmaceuticals</v>
          </cell>
          <cell r="L111" t="str">
            <v>BCSE</v>
          </cell>
          <cell r="N111" t="str">
            <v>1</v>
          </cell>
          <cell r="O111">
            <v>36161</v>
          </cell>
          <cell r="Q111">
            <v>36891</v>
          </cell>
          <cell r="V111">
            <v>0</v>
          </cell>
          <cell r="X111">
            <v>0</v>
          </cell>
          <cell r="AO111">
            <v>0</v>
          </cell>
        </row>
        <row r="112">
          <cell r="B112" t="str">
            <v>Closed</v>
          </cell>
          <cell r="C112" t="str">
            <v>Apex</v>
          </cell>
          <cell r="I112" t="str">
            <v>Performance Matls</v>
          </cell>
          <cell r="L112" t="str">
            <v>MSE</v>
          </cell>
          <cell r="N112" t="str">
            <v>1</v>
          </cell>
          <cell r="O112">
            <v>36161</v>
          </cell>
          <cell r="Q112">
            <v>37469</v>
          </cell>
          <cell r="V112">
            <v>0</v>
          </cell>
          <cell r="X112">
            <v>0</v>
          </cell>
          <cell r="AO112">
            <v>0</v>
          </cell>
        </row>
        <row r="113">
          <cell r="A113">
            <v>520008</v>
          </cell>
          <cell r="B113" t="str">
            <v>Closed</v>
          </cell>
          <cell r="C113" t="str">
            <v>Apex</v>
          </cell>
          <cell r="I113" t="str">
            <v>Safety &amp; Protect</v>
          </cell>
          <cell r="L113" t="str">
            <v>CSE</v>
          </cell>
          <cell r="N113" t="str">
            <v>1</v>
          </cell>
          <cell r="O113">
            <v>36161</v>
          </cell>
          <cell r="Q113">
            <v>38018</v>
          </cell>
          <cell r="V113">
            <v>0</v>
          </cell>
          <cell r="X113">
            <v>0</v>
          </cell>
          <cell r="AD113">
            <v>1.75</v>
          </cell>
          <cell r="AO113">
            <v>0</v>
          </cell>
        </row>
        <row r="114">
          <cell r="A114">
            <v>530051</v>
          </cell>
          <cell r="B114" t="str">
            <v>Closed</v>
          </cell>
          <cell r="C114" t="str">
            <v>Discovery</v>
          </cell>
          <cell r="L114" t="str">
            <v>CSE</v>
          </cell>
          <cell r="N114" t="str">
            <v>Discovery</v>
          </cell>
          <cell r="O114">
            <v>37895</v>
          </cell>
          <cell r="Q114">
            <v>38169</v>
          </cell>
          <cell r="V114">
            <v>0</v>
          </cell>
          <cell r="X114">
            <v>0</v>
          </cell>
          <cell r="AO114">
            <v>0</v>
          </cell>
        </row>
        <row r="115">
          <cell r="B115" t="str">
            <v>Closed</v>
          </cell>
          <cell r="C115" t="str">
            <v>Apex</v>
          </cell>
          <cell r="I115" t="str">
            <v>Performance Matls</v>
          </cell>
          <cell r="L115" t="str">
            <v>MSE</v>
          </cell>
          <cell r="N115" t="str">
            <v>1</v>
          </cell>
          <cell r="O115">
            <v>36161</v>
          </cell>
          <cell r="Q115">
            <v>37469</v>
          </cell>
          <cell r="V115">
            <v>0</v>
          </cell>
          <cell r="X115">
            <v>0</v>
          </cell>
          <cell r="AO115">
            <v>0</v>
          </cell>
        </row>
        <row r="116">
          <cell r="A116">
            <v>520032</v>
          </cell>
          <cell r="B116" t="str">
            <v>Closed</v>
          </cell>
          <cell r="C116" t="str">
            <v>Discovery</v>
          </cell>
          <cell r="L116" t="str">
            <v>MSE</v>
          </cell>
          <cell r="N116" t="str">
            <v>Discovery</v>
          </cell>
          <cell r="O116">
            <v>37408</v>
          </cell>
          <cell r="Q116">
            <v>37834</v>
          </cell>
          <cell r="V116">
            <v>0</v>
          </cell>
          <cell r="X116">
            <v>0</v>
          </cell>
          <cell r="AO116">
            <v>0</v>
          </cell>
        </row>
        <row r="117">
          <cell r="B117" t="str">
            <v>Closed</v>
          </cell>
          <cell r="C117" t="str">
            <v>Apex</v>
          </cell>
          <cell r="L117" t="str">
            <v>MSE</v>
          </cell>
          <cell r="N117" t="str">
            <v>1</v>
          </cell>
          <cell r="O117">
            <v>36161</v>
          </cell>
          <cell r="Q117">
            <v>36495</v>
          </cell>
          <cell r="V117">
            <v>0</v>
          </cell>
          <cell r="X117">
            <v>0</v>
          </cell>
          <cell r="AO117">
            <v>0</v>
          </cell>
        </row>
        <row r="118">
          <cell r="A118">
            <v>520005</v>
          </cell>
          <cell r="B118" t="str">
            <v>Closed</v>
          </cell>
          <cell r="C118" t="str">
            <v>Apex</v>
          </cell>
          <cell r="I118" t="str">
            <v>Performance Matls</v>
          </cell>
          <cell r="L118" t="str">
            <v>MSE</v>
          </cell>
          <cell r="N118" t="str">
            <v>1</v>
          </cell>
          <cell r="O118">
            <v>36161</v>
          </cell>
          <cell r="Q118">
            <v>36891</v>
          </cell>
          <cell r="V118">
            <v>0</v>
          </cell>
          <cell r="X118">
            <v>0</v>
          </cell>
          <cell r="AO118">
            <v>0</v>
          </cell>
        </row>
        <row r="119">
          <cell r="A119">
            <v>549035</v>
          </cell>
          <cell r="B119" t="str">
            <v>Closed</v>
          </cell>
          <cell r="C119" t="str">
            <v>Apex</v>
          </cell>
          <cell r="I119" t="str">
            <v>Elect. &amp; Comm.</v>
          </cell>
          <cell r="L119" t="str">
            <v>MSE</v>
          </cell>
          <cell r="N119" t="str">
            <v>1</v>
          </cell>
          <cell r="O119">
            <v>36162</v>
          </cell>
          <cell r="Q119">
            <v>37561</v>
          </cell>
          <cell r="V119">
            <v>0</v>
          </cell>
          <cell r="X119">
            <v>0</v>
          </cell>
          <cell r="AO119">
            <v>0</v>
          </cell>
        </row>
        <row r="120">
          <cell r="A120">
            <v>520046</v>
          </cell>
          <cell r="B120" t="str">
            <v>Closed</v>
          </cell>
          <cell r="C120" t="str">
            <v>Discovery</v>
          </cell>
          <cell r="L120" t="str">
            <v>MSE</v>
          </cell>
          <cell r="N120" t="str">
            <v>Discovery</v>
          </cell>
          <cell r="O120">
            <v>37742</v>
          </cell>
          <cell r="Q120">
            <v>38169</v>
          </cell>
          <cell r="V120">
            <v>0</v>
          </cell>
          <cell r="X120">
            <v>0</v>
          </cell>
          <cell r="AO120">
            <v>0</v>
          </cell>
        </row>
        <row r="121">
          <cell r="A121">
            <v>549001</v>
          </cell>
          <cell r="B121" t="str">
            <v>Closed</v>
          </cell>
          <cell r="C121" t="str">
            <v>Collaboration</v>
          </cell>
          <cell r="N121" t="str">
            <v>Collaboration</v>
          </cell>
          <cell r="O121">
            <v>36162</v>
          </cell>
          <cell r="Q121">
            <v>36892</v>
          </cell>
          <cell r="V121">
            <v>0</v>
          </cell>
          <cell r="X121">
            <v>0</v>
          </cell>
          <cell r="AO121">
            <v>0</v>
          </cell>
        </row>
        <row r="122">
          <cell r="A122">
            <v>549004</v>
          </cell>
          <cell r="B122" t="str">
            <v>Closed</v>
          </cell>
          <cell r="C122" t="str">
            <v>Collaboration</v>
          </cell>
          <cell r="N122" t="str">
            <v>Collaboration</v>
          </cell>
          <cell r="O122">
            <v>36162</v>
          </cell>
          <cell r="Q122">
            <v>36892</v>
          </cell>
          <cell r="V122">
            <v>0</v>
          </cell>
          <cell r="X122">
            <v>0</v>
          </cell>
          <cell r="AO122">
            <v>0</v>
          </cell>
        </row>
        <row r="123">
          <cell r="A123">
            <v>540026</v>
          </cell>
          <cell r="B123" t="str">
            <v>Closed</v>
          </cell>
          <cell r="C123" t="str">
            <v>Apex</v>
          </cell>
          <cell r="I123" t="str">
            <v>Bio-Based Matls</v>
          </cell>
          <cell r="L123" t="str">
            <v>BCSE</v>
          </cell>
          <cell r="N123" t="str">
            <v>1</v>
          </cell>
          <cell r="O123">
            <v>35855</v>
          </cell>
          <cell r="Q123">
            <v>37681</v>
          </cell>
          <cell r="V123">
            <v>0</v>
          </cell>
          <cell r="X123">
            <v>0</v>
          </cell>
          <cell r="AD123">
            <v>0.8</v>
          </cell>
          <cell r="AO123">
            <v>0</v>
          </cell>
        </row>
        <row r="124">
          <cell r="B124" t="str">
            <v>Closed</v>
          </cell>
          <cell r="C124" t="str">
            <v>Apex</v>
          </cell>
          <cell r="I124" t="str">
            <v>Elect. &amp; Comm.</v>
          </cell>
          <cell r="L124" t="str">
            <v>CSE</v>
          </cell>
          <cell r="N124" t="str">
            <v>1</v>
          </cell>
          <cell r="O124">
            <v>36161</v>
          </cell>
          <cell r="Q124">
            <v>36495</v>
          </cell>
          <cell r="V124">
            <v>0</v>
          </cell>
          <cell r="X124">
            <v>0</v>
          </cell>
          <cell r="AO124">
            <v>0</v>
          </cell>
        </row>
        <row r="125">
          <cell r="A125">
            <v>530005</v>
          </cell>
          <cell r="B125" t="str">
            <v>Closed</v>
          </cell>
          <cell r="C125" t="str">
            <v>Apex</v>
          </cell>
          <cell r="I125" t="str">
            <v>Elect. &amp; Comm.</v>
          </cell>
          <cell r="L125" t="str">
            <v>MSE</v>
          </cell>
          <cell r="N125" t="str">
            <v>1</v>
          </cell>
          <cell r="O125">
            <v>35431</v>
          </cell>
          <cell r="Q125">
            <v>37865</v>
          </cell>
          <cell r="V125">
            <v>0</v>
          </cell>
          <cell r="X125">
            <v>0</v>
          </cell>
          <cell r="AD125">
            <v>6.2</v>
          </cell>
          <cell r="AO125">
            <v>0</v>
          </cell>
        </row>
        <row r="126">
          <cell r="A126">
            <v>520017</v>
          </cell>
          <cell r="B126" t="str">
            <v>Closed</v>
          </cell>
          <cell r="C126" t="str">
            <v>Apex</v>
          </cell>
          <cell r="I126" t="str">
            <v>Elect. &amp; Comm.</v>
          </cell>
          <cell r="L126" t="str">
            <v>MSE</v>
          </cell>
          <cell r="N126" t="str">
            <v>1</v>
          </cell>
          <cell r="O126">
            <v>36342</v>
          </cell>
          <cell r="Q126">
            <v>37817</v>
          </cell>
          <cell r="V126">
            <v>0</v>
          </cell>
          <cell r="X126">
            <v>0</v>
          </cell>
          <cell r="AD126">
            <v>10.875849161342565</v>
          </cell>
          <cell r="AO126">
            <v>0</v>
          </cell>
        </row>
        <row r="127">
          <cell r="A127">
            <v>540006</v>
          </cell>
          <cell r="B127" t="str">
            <v>Closed</v>
          </cell>
          <cell r="C127" t="str">
            <v>Apex</v>
          </cell>
          <cell r="I127" t="str">
            <v>Bio-Based Matls</v>
          </cell>
          <cell r="L127" t="str">
            <v>BCSE</v>
          </cell>
          <cell r="N127" t="str">
            <v>1</v>
          </cell>
          <cell r="O127">
            <v>35796</v>
          </cell>
          <cell r="Q127">
            <v>37376</v>
          </cell>
          <cell r="V127">
            <v>0</v>
          </cell>
          <cell r="X127">
            <v>0</v>
          </cell>
          <cell r="AO127">
            <v>0</v>
          </cell>
        </row>
        <row r="128">
          <cell r="A128">
            <v>520020</v>
          </cell>
          <cell r="B128" t="str">
            <v>Closed</v>
          </cell>
          <cell r="C128" t="str">
            <v>Discovery</v>
          </cell>
          <cell r="I128" t="str">
            <v>Elect. &amp; Comm.</v>
          </cell>
          <cell r="L128" t="str">
            <v>MSE</v>
          </cell>
          <cell r="N128" t="str">
            <v>Discovery</v>
          </cell>
          <cell r="O128">
            <v>37316</v>
          </cell>
          <cell r="Q128">
            <v>37681</v>
          </cell>
          <cell r="V128">
            <v>0</v>
          </cell>
          <cell r="X128">
            <v>0</v>
          </cell>
          <cell r="AO128">
            <v>0</v>
          </cell>
        </row>
        <row r="129">
          <cell r="B129" t="str">
            <v>Closed</v>
          </cell>
          <cell r="C129" t="str">
            <v>Apex</v>
          </cell>
          <cell r="I129" t="str">
            <v>Performance Matls</v>
          </cell>
          <cell r="L129" t="str">
            <v>MSE</v>
          </cell>
          <cell r="N129" t="str">
            <v>1</v>
          </cell>
          <cell r="O129">
            <v>36161</v>
          </cell>
          <cell r="Q129">
            <v>37469</v>
          </cell>
          <cell r="V129">
            <v>0</v>
          </cell>
          <cell r="X129">
            <v>0</v>
          </cell>
          <cell r="AO129">
            <v>0</v>
          </cell>
        </row>
        <row r="130">
          <cell r="A130">
            <v>520001</v>
          </cell>
          <cell r="B130" t="str">
            <v>Graduate</v>
          </cell>
          <cell r="C130" t="str">
            <v>Apex</v>
          </cell>
          <cell r="I130" t="str">
            <v>Elect. &amp; Comm.</v>
          </cell>
          <cell r="L130" t="str">
            <v>MSE</v>
          </cell>
          <cell r="N130" t="str">
            <v>1</v>
          </cell>
          <cell r="O130">
            <v>36161</v>
          </cell>
          <cell r="Q130">
            <v>37257</v>
          </cell>
          <cell r="V130">
            <v>0</v>
          </cell>
          <cell r="X130">
            <v>0</v>
          </cell>
          <cell r="AO130">
            <v>0</v>
          </cell>
        </row>
        <row r="131">
          <cell r="A131">
            <v>520015</v>
          </cell>
          <cell r="B131" t="str">
            <v>Closed</v>
          </cell>
          <cell r="C131" t="str">
            <v>Apex</v>
          </cell>
          <cell r="I131" t="str">
            <v>Textile &amp; Int.</v>
          </cell>
          <cell r="L131" t="str">
            <v>CSE</v>
          </cell>
          <cell r="N131" t="str">
            <v>1</v>
          </cell>
          <cell r="O131">
            <v>35947</v>
          </cell>
          <cell r="Q131">
            <v>37072</v>
          </cell>
          <cell r="V131">
            <v>0</v>
          </cell>
          <cell r="X131">
            <v>0</v>
          </cell>
          <cell r="AO131">
            <v>0</v>
          </cell>
        </row>
        <row r="132">
          <cell r="A132">
            <v>530024</v>
          </cell>
          <cell r="B132" t="str">
            <v>Closed</v>
          </cell>
          <cell r="C132" t="str">
            <v>Discovery</v>
          </cell>
          <cell r="I132" t="str">
            <v>Performance Matls</v>
          </cell>
          <cell r="L132" t="str">
            <v>CSE</v>
          </cell>
          <cell r="N132" t="str">
            <v>Discovery</v>
          </cell>
          <cell r="O132">
            <v>37377</v>
          </cell>
          <cell r="Q132">
            <v>37817</v>
          </cell>
          <cell r="V132">
            <v>0</v>
          </cell>
          <cell r="X132">
            <v>0</v>
          </cell>
          <cell r="AO132">
            <v>0</v>
          </cell>
        </row>
        <row r="133">
          <cell r="A133">
            <v>530061</v>
          </cell>
          <cell r="B133" t="str">
            <v>Closed</v>
          </cell>
          <cell r="C133" t="str">
            <v>Collaboration</v>
          </cell>
          <cell r="I133" t="str">
            <v>Bio-Based Matls</v>
          </cell>
          <cell r="L133" t="str">
            <v>CSE</v>
          </cell>
          <cell r="N133" t="str">
            <v>Collaboration</v>
          </cell>
          <cell r="O133">
            <v>38047</v>
          </cell>
          <cell r="Q133">
            <v>38565</v>
          </cell>
          <cell r="V133">
            <v>0</v>
          </cell>
          <cell r="X133">
            <v>0</v>
          </cell>
          <cell r="AO133">
            <v>0</v>
          </cell>
        </row>
        <row r="134">
          <cell r="A134">
            <v>520016</v>
          </cell>
          <cell r="B134" t="str">
            <v>Closed</v>
          </cell>
          <cell r="C134" t="str">
            <v>Apex</v>
          </cell>
          <cell r="I134" t="str">
            <v>Textile &amp; Int.</v>
          </cell>
          <cell r="L134" t="str">
            <v>MSE</v>
          </cell>
          <cell r="N134" t="str">
            <v>1</v>
          </cell>
          <cell r="O134">
            <v>36161</v>
          </cell>
          <cell r="Q134">
            <v>36586</v>
          </cell>
          <cell r="V134">
            <v>0</v>
          </cell>
          <cell r="X134">
            <v>0</v>
          </cell>
          <cell r="AO134">
            <v>0</v>
          </cell>
        </row>
        <row r="135">
          <cell r="A135">
            <v>706384</v>
          </cell>
          <cell r="B135" t="str">
            <v>Closed</v>
          </cell>
          <cell r="C135" t="str">
            <v>Apex</v>
          </cell>
          <cell r="I135" t="str">
            <v>Performance Matls</v>
          </cell>
          <cell r="L135" t="str">
            <v>IAB</v>
          </cell>
          <cell r="N135" t="str">
            <v>1</v>
          </cell>
          <cell r="O135">
            <v>36526</v>
          </cell>
          <cell r="Q135">
            <v>36861</v>
          </cell>
          <cell r="V135">
            <v>0</v>
          </cell>
          <cell r="X135">
            <v>0</v>
          </cell>
          <cell r="AO135">
            <v>0</v>
          </cell>
        </row>
        <row r="136">
          <cell r="A136">
            <v>520022</v>
          </cell>
          <cell r="B136" t="str">
            <v>Closed</v>
          </cell>
          <cell r="C136" t="str">
            <v>Apex</v>
          </cell>
          <cell r="I136" t="str">
            <v>Elect. &amp; Comm.</v>
          </cell>
          <cell r="L136" t="str">
            <v>MSE</v>
          </cell>
          <cell r="N136" t="str">
            <v>1</v>
          </cell>
          <cell r="O136">
            <v>36861</v>
          </cell>
          <cell r="Q136">
            <v>37803</v>
          </cell>
          <cell r="V136">
            <v>0</v>
          </cell>
          <cell r="X136">
            <v>0</v>
          </cell>
          <cell r="AD136">
            <v>9.6</v>
          </cell>
          <cell r="AO136">
            <v>0</v>
          </cell>
        </row>
        <row r="137">
          <cell r="A137">
            <v>520096</v>
          </cell>
          <cell r="B137" t="str">
            <v>Closed</v>
          </cell>
          <cell r="C137" t="str">
            <v>Apex</v>
          </cell>
          <cell r="I137" t="str">
            <v>Elect. &amp; Comm.</v>
          </cell>
          <cell r="L137" t="str">
            <v>MSE</v>
          </cell>
          <cell r="N137" t="str">
            <v>1</v>
          </cell>
          <cell r="O137">
            <v>37889</v>
          </cell>
          <cell r="Q137">
            <v>38443</v>
          </cell>
          <cell r="V137">
            <v>0</v>
          </cell>
          <cell r="X137">
            <v>0</v>
          </cell>
          <cell r="AD137">
            <v>0</v>
          </cell>
          <cell r="AO137">
            <v>0</v>
          </cell>
        </row>
        <row r="138">
          <cell r="A138">
            <v>520057</v>
          </cell>
          <cell r="B138" t="str">
            <v>Closed</v>
          </cell>
          <cell r="C138" t="str">
            <v>Apex</v>
          </cell>
          <cell r="I138" t="str">
            <v>Elect. &amp; Comm.</v>
          </cell>
          <cell r="L138" t="str">
            <v>MSE</v>
          </cell>
          <cell r="N138" t="str">
            <v>1</v>
          </cell>
          <cell r="O138">
            <v>38047</v>
          </cell>
          <cell r="Q138">
            <v>38473</v>
          </cell>
          <cell r="V138">
            <v>0</v>
          </cell>
          <cell r="X138">
            <v>0</v>
          </cell>
          <cell r="AD138">
            <v>2.6</v>
          </cell>
          <cell r="AO138">
            <v>0</v>
          </cell>
        </row>
        <row r="139">
          <cell r="A139">
            <v>540045</v>
          </cell>
          <cell r="B139" t="str">
            <v>Closed</v>
          </cell>
          <cell r="C139" t="str">
            <v>Discovery</v>
          </cell>
          <cell r="L139" t="str">
            <v>BCSE</v>
          </cell>
          <cell r="N139" t="str">
            <v>Discovery</v>
          </cell>
          <cell r="O139">
            <v>37803</v>
          </cell>
          <cell r="Q139">
            <v>38199</v>
          </cell>
          <cell r="V139">
            <v>0</v>
          </cell>
          <cell r="X139">
            <v>0</v>
          </cell>
          <cell r="AO139">
            <v>0</v>
          </cell>
        </row>
        <row r="140">
          <cell r="A140">
            <v>539001</v>
          </cell>
          <cell r="B140" t="str">
            <v>Closed</v>
          </cell>
          <cell r="C140" t="str">
            <v>Collaboration</v>
          </cell>
          <cell r="N140" t="str">
            <v>Collaboration</v>
          </cell>
          <cell r="O140">
            <v>37257</v>
          </cell>
          <cell r="Q140">
            <v>37621</v>
          </cell>
          <cell r="V140">
            <v>0</v>
          </cell>
          <cell r="X140">
            <v>0</v>
          </cell>
          <cell r="AO140">
            <v>0</v>
          </cell>
        </row>
        <row r="141">
          <cell r="A141">
            <v>540055</v>
          </cell>
          <cell r="B141" t="str">
            <v>Graduate</v>
          </cell>
          <cell r="C141" t="str">
            <v>Collaboration</v>
          </cell>
          <cell r="I141" t="str">
            <v>Ag &amp; Nutrition</v>
          </cell>
          <cell r="L141" t="str">
            <v>BCSE</v>
          </cell>
          <cell r="N141" t="str">
            <v>Collaboration</v>
          </cell>
          <cell r="O141">
            <v>37970</v>
          </cell>
          <cell r="Q141">
            <v>38200</v>
          </cell>
          <cell r="V141">
            <v>0</v>
          </cell>
          <cell r="X141">
            <v>0</v>
          </cell>
          <cell r="AD141">
            <v>3.5</v>
          </cell>
          <cell r="AO141">
            <v>0</v>
          </cell>
        </row>
        <row r="142">
          <cell r="A142">
            <v>530040</v>
          </cell>
          <cell r="B142" t="str">
            <v>Closed</v>
          </cell>
          <cell r="C142" t="str">
            <v>Discovery</v>
          </cell>
          <cell r="L142" t="str">
            <v>CSE</v>
          </cell>
          <cell r="N142" t="str">
            <v>Discovery</v>
          </cell>
          <cell r="O142">
            <v>37712</v>
          </cell>
          <cell r="Q142">
            <v>38169</v>
          </cell>
          <cell r="V142">
            <v>0</v>
          </cell>
          <cell r="X142">
            <v>0</v>
          </cell>
          <cell r="AO142">
            <v>0</v>
          </cell>
        </row>
        <row r="143">
          <cell r="A143">
            <v>540051</v>
          </cell>
          <cell r="B143" t="str">
            <v>Closed</v>
          </cell>
          <cell r="C143" t="str">
            <v>Apex</v>
          </cell>
          <cell r="I143" t="str">
            <v>Bio-Based Matls</v>
          </cell>
          <cell r="L143" t="str">
            <v>BCSE</v>
          </cell>
          <cell r="N143" t="str">
            <v>1</v>
          </cell>
          <cell r="O143">
            <v>37895</v>
          </cell>
          <cell r="Q143">
            <v>38352</v>
          </cell>
          <cell r="V143">
            <v>0</v>
          </cell>
          <cell r="X143">
            <v>0</v>
          </cell>
          <cell r="AD143">
            <v>5</v>
          </cell>
          <cell r="AO143">
            <v>0</v>
          </cell>
        </row>
        <row r="144">
          <cell r="A144">
            <v>530011</v>
          </cell>
          <cell r="B144" t="str">
            <v>Closed</v>
          </cell>
          <cell r="C144" t="str">
            <v>Apex</v>
          </cell>
          <cell r="I144" t="str">
            <v>Elect. &amp; Comm.</v>
          </cell>
          <cell r="L144" t="str">
            <v>CSE</v>
          </cell>
          <cell r="N144" t="str">
            <v>1</v>
          </cell>
          <cell r="O144">
            <v>36130</v>
          </cell>
          <cell r="Q144">
            <v>37347</v>
          </cell>
          <cell r="V144">
            <v>0</v>
          </cell>
          <cell r="X144">
            <v>0</v>
          </cell>
          <cell r="AO144">
            <v>0</v>
          </cell>
        </row>
        <row r="145">
          <cell r="A145">
            <v>539010</v>
          </cell>
          <cell r="B145" t="str">
            <v>Closed</v>
          </cell>
          <cell r="C145" t="str">
            <v>Collaboration</v>
          </cell>
          <cell r="N145" t="str">
            <v>Collaboration</v>
          </cell>
          <cell r="O145">
            <v>36526</v>
          </cell>
          <cell r="Q145">
            <v>36891</v>
          </cell>
          <cell r="V145">
            <v>0</v>
          </cell>
          <cell r="X145">
            <v>0</v>
          </cell>
          <cell r="AO145">
            <v>0</v>
          </cell>
        </row>
        <row r="146">
          <cell r="A146">
            <v>530054</v>
          </cell>
          <cell r="B146" t="str">
            <v>Closed</v>
          </cell>
          <cell r="C146" t="str">
            <v>Discovery</v>
          </cell>
          <cell r="I146" t="str">
            <v>Performance Matls</v>
          </cell>
          <cell r="L146" t="str">
            <v>CSE</v>
          </cell>
          <cell r="N146" t="str">
            <v>Discovery</v>
          </cell>
          <cell r="O146">
            <v>38139</v>
          </cell>
          <cell r="Q146">
            <v>38473</v>
          </cell>
          <cell r="V146">
            <v>0</v>
          </cell>
          <cell r="X146">
            <v>0</v>
          </cell>
          <cell r="AO146">
            <v>0</v>
          </cell>
        </row>
        <row r="147">
          <cell r="A147">
            <v>520025</v>
          </cell>
          <cell r="B147" t="str">
            <v>Closed</v>
          </cell>
          <cell r="C147" t="str">
            <v>Apex</v>
          </cell>
          <cell r="I147" t="str">
            <v>Elect. &amp; Comm.</v>
          </cell>
          <cell r="L147" t="str">
            <v>MSE</v>
          </cell>
          <cell r="N147" t="str">
            <v>1</v>
          </cell>
          <cell r="O147">
            <v>37316</v>
          </cell>
          <cell r="Q147">
            <v>37926</v>
          </cell>
          <cell r="V147">
            <v>0</v>
          </cell>
          <cell r="X147">
            <v>0</v>
          </cell>
          <cell r="AD147">
            <v>0.8</v>
          </cell>
          <cell r="AO147">
            <v>0</v>
          </cell>
        </row>
        <row r="148">
          <cell r="A148">
            <v>540022</v>
          </cell>
          <cell r="B148" t="str">
            <v>Closed</v>
          </cell>
          <cell r="C148" t="str">
            <v>Apex</v>
          </cell>
          <cell r="I148" t="str">
            <v>Bio-Based Matls</v>
          </cell>
          <cell r="L148" t="str">
            <v>BCSE</v>
          </cell>
          <cell r="N148" t="str">
            <v>1</v>
          </cell>
          <cell r="O148">
            <v>36161</v>
          </cell>
          <cell r="Q148">
            <v>37195</v>
          </cell>
          <cell r="V148">
            <v>0</v>
          </cell>
          <cell r="X148">
            <v>0</v>
          </cell>
          <cell r="AO148">
            <v>0</v>
          </cell>
        </row>
        <row r="149">
          <cell r="A149">
            <v>539009</v>
          </cell>
          <cell r="B149" t="str">
            <v>Closed</v>
          </cell>
          <cell r="C149" t="str">
            <v>Apex</v>
          </cell>
          <cell r="I149" t="str">
            <v>Safety &amp; Protect</v>
          </cell>
          <cell r="L149" t="str">
            <v>CSE</v>
          </cell>
          <cell r="N149" t="str">
            <v>1</v>
          </cell>
          <cell r="O149">
            <v>38139</v>
          </cell>
          <cell r="Q149">
            <v>38565</v>
          </cell>
          <cell r="V149">
            <v>0</v>
          </cell>
          <cell r="X149">
            <v>0</v>
          </cell>
          <cell r="AD149">
            <v>1</v>
          </cell>
          <cell r="AO149">
            <v>0</v>
          </cell>
        </row>
        <row r="150">
          <cell r="B150" t="str">
            <v>Closed</v>
          </cell>
          <cell r="C150" t="str">
            <v>Apex</v>
          </cell>
          <cell r="I150" t="str">
            <v>Textile &amp; Int.</v>
          </cell>
          <cell r="L150" t="str">
            <v>MSE</v>
          </cell>
          <cell r="N150" t="str">
            <v>1</v>
          </cell>
          <cell r="O150">
            <v>36161</v>
          </cell>
          <cell r="Q150">
            <v>36495</v>
          </cell>
          <cell r="V150">
            <v>0</v>
          </cell>
          <cell r="X150">
            <v>0</v>
          </cell>
          <cell r="AO150">
            <v>0</v>
          </cell>
        </row>
        <row r="151">
          <cell r="A151">
            <v>540042</v>
          </cell>
          <cell r="B151" t="str">
            <v>Closed</v>
          </cell>
          <cell r="C151" t="str">
            <v>Apex</v>
          </cell>
          <cell r="I151" t="str">
            <v>Ag &amp; Nutrition</v>
          </cell>
          <cell r="L151" t="str">
            <v>BCSE</v>
          </cell>
          <cell r="N151" t="str">
            <v>1</v>
          </cell>
          <cell r="O151">
            <v>37500</v>
          </cell>
          <cell r="Q151">
            <v>38384</v>
          </cell>
          <cell r="V151">
            <v>0</v>
          </cell>
          <cell r="X151">
            <v>0</v>
          </cell>
          <cell r="AD151">
            <v>4.5580436200121</v>
          </cell>
          <cell r="AO151">
            <v>0</v>
          </cell>
        </row>
        <row r="152">
          <cell r="A152">
            <v>530017</v>
          </cell>
          <cell r="B152" t="str">
            <v>Closed</v>
          </cell>
          <cell r="C152" t="str">
            <v>Apex</v>
          </cell>
          <cell r="I152" t="str">
            <v>Textile &amp; Int.</v>
          </cell>
          <cell r="L152" t="str">
            <v>CSE</v>
          </cell>
          <cell r="N152" t="str">
            <v>1</v>
          </cell>
          <cell r="O152">
            <v>36892</v>
          </cell>
          <cell r="Q152">
            <v>37315</v>
          </cell>
          <cell r="V152">
            <v>0</v>
          </cell>
          <cell r="X152">
            <v>0</v>
          </cell>
          <cell r="AD152">
            <v>20</v>
          </cell>
          <cell r="AO152">
            <v>0</v>
          </cell>
        </row>
        <row r="153">
          <cell r="A153">
            <v>530015</v>
          </cell>
          <cell r="B153" t="str">
            <v>Closed</v>
          </cell>
          <cell r="C153" t="str">
            <v>Apex</v>
          </cell>
          <cell r="I153" t="str">
            <v>Other</v>
          </cell>
          <cell r="L153" t="str">
            <v>CSE</v>
          </cell>
          <cell r="N153" t="str">
            <v>1</v>
          </cell>
          <cell r="O153">
            <v>36312</v>
          </cell>
          <cell r="Q153">
            <v>38018</v>
          </cell>
          <cell r="V153">
            <v>0</v>
          </cell>
          <cell r="X153">
            <v>0</v>
          </cell>
          <cell r="AD153">
            <v>1.5</v>
          </cell>
          <cell r="AO153">
            <v>0</v>
          </cell>
        </row>
        <row r="154">
          <cell r="B154" t="str">
            <v>Closed</v>
          </cell>
          <cell r="C154" t="str">
            <v>Apex</v>
          </cell>
          <cell r="I154" t="str">
            <v>Bio-Based Matls</v>
          </cell>
          <cell r="L154" t="str">
            <v>BCSE</v>
          </cell>
          <cell r="N154" t="str">
            <v>1</v>
          </cell>
          <cell r="O154">
            <v>36161</v>
          </cell>
          <cell r="Q154">
            <v>36495</v>
          </cell>
          <cell r="V154">
            <v>0</v>
          </cell>
          <cell r="X154">
            <v>0</v>
          </cell>
          <cell r="AO154">
            <v>0</v>
          </cell>
        </row>
        <row r="155">
          <cell r="A155">
            <v>549007</v>
          </cell>
          <cell r="B155" t="str">
            <v>Closed</v>
          </cell>
          <cell r="C155" t="str">
            <v>Collaboration</v>
          </cell>
          <cell r="I155" t="str">
            <v>Performance Matls</v>
          </cell>
          <cell r="L155" t="str">
            <v>CSE</v>
          </cell>
          <cell r="N155" t="str">
            <v>Collaboration</v>
          </cell>
          <cell r="O155">
            <v>37043</v>
          </cell>
          <cell r="Q155">
            <v>37652</v>
          </cell>
          <cell r="V155">
            <v>0</v>
          </cell>
          <cell r="X155">
            <v>0</v>
          </cell>
          <cell r="AD155">
            <v>10</v>
          </cell>
          <cell r="AO155">
            <v>0</v>
          </cell>
        </row>
        <row r="156">
          <cell r="A156">
            <v>540017</v>
          </cell>
          <cell r="B156" t="str">
            <v>Closed</v>
          </cell>
          <cell r="C156" t="str">
            <v>Apex</v>
          </cell>
          <cell r="I156" t="str">
            <v>Bio-Based Matls</v>
          </cell>
          <cell r="L156" t="str">
            <v>BCSE</v>
          </cell>
          <cell r="N156" t="str">
            <v>1</v>
          </cell>
          <cell r="O156">
            <v>36161</v>
          </cell>
          <cell r="Q156">
            <v>37833</v>
          </cell>
          <cell r="V156">
            <v>0</v>
          </cell>
          <cell r="X156">
            <v>0</v>
          </cell>
          <cell r="AO156">
            <v>0</v>
          </cell>
        </row>
        <row r="157">
          <cell r="A157">
            <v>530018</v>
          </cell>
          <cell r="B157" t="str">
            <v>Closed</v>
          </cell>
          <cell r="C157" t="str">
            <v>Apex</v>
          </cell>
          <cell r="I157" t="str">
            <v>Textile &amp; Int.</v>
          </cell>
          <cell r="L157" t="str">
            <v>CSE</v>
          </cell>
          <cell r="N157" t="str">
            <v>1</v>
          </cell>
          <cell r="O157">
            <v>37257</v>
          </cell>
          <cell r="Q157">
            <v>37315</v>
          </cell>
          <cell r="V157">
            <v>0</v>
          </cell>
          <cell r="X157">
            <v>0</v>
          </cell>
          <cell r="AO157">
            <v>0</v>
          </cell>
        </row>
        <row r="158">
          <cell r="A158">
            <v>530004</v>
          </cell>
          <cell r="B158" t="str">
            <v>Closed</v>
          </cell>
          <cell r="C158" t="str">
            <v>Apex</v>
          </cell>
          <cell r="I158" t="str">
            <v>Elect. &amp; Comm.</v>
          </cell>
          <cell r="L158" t="str">
            <v>CSE</v>
          </cell>
          <cell r="N158" t="str">
            <v>1</v>
          </cell>
          <cell r="O158">
            <v>36220</v>
          </cell>
          <cell r="Q158">
            <v>38565</v>
          </cell>
          <cell r="V158">
            <v>0</v>
          </cell>
          <cell r="X158">
            <v>0</v>
          </cell>
          <cell r="AD158">
            <v>1.2</v>
          </cell>
          <cell r="AO158">
            <v>0</v>
          </cell>
        </row>
        <row r="159">
          <cell r="A159">
            <v>540009</v>
          </cell>
          <cell r="B159" t="str">
            <v>Closed</v>
          </cell>
          <cell r="C159" t="str">
            <v>Apex</v>
          </cell>
          <cell r="I159" t="str">
            <v>Bio-Based Matls</v>
          </cell>
          <cell r="L159" t="str">
            <v>BCSE</v>
          </cell>
          <cell r="N159" t="str">
            <v>1</v>
          </cell>
          <cell r="O159">
            <v>36161</v>
          </cell>
          <cell r="Q159">
            <v>36891</v>
          </cell>
          <cell r="V159">
            <v>0</v>
          </cell>
          <cell r="X159">
            <v>0</v>
          </cell>
          <cell r="AO159">
            <v>0</v>
          </cell>
        </row>
        <row r="160">
          <cell r="A160">
            <v>520041</v>
          </cell>
          <cell r="B160" t="str">
            <v>Closed</v>
          </cell>
          <cell r="C160" t="str">
            <v>Collaboration</v>
          </cell>
          <cell r="I160" t="str">
            <v>Coatings &amp; Color</v>
          </cell>
          <cell r="L160" t="str">
            <v>MSE</v>
          </cell>
          <cell r="N160" t="str">
            <v>Collaboration</v>
          </cell>
          <cell r="O160">
            <v>37653</v>
          </cell>
          <cell r="Q160">
            <v>38384</v>
          </cell>
          <cell r="V160">
            <v>0</v>
          </cell>
          <cell r="X160">
            <v>0</v>
          </cell>
          <cell r="AD160">
            <v>63.8</v>
          </cell>
          <cell r="AO160">
            <v>0</v>
          </cell>
        </row>
        <row r="161">
          <cell r="A161">
            <v>520030</v>
          </cell>
          <cell r="B161" t="str">
            <v>Closed</v>
          </cell>
          <cell r="C161" t="str">
            <v>Collaboration</v>
          </cell>
          <cell r="I161" t="str">
            <v>Other</v>
          </cell>
          <cell r="L161" t="str">
            <v>MSE</v>
          </cell>
          <cell r="N161" t="str">
            <v>Collaboration</v>
          </cell>
          <cell r="O161">
            <v>37347</v>
          </cell>
          <cell r="Q161">
            <v>37621</v>
          </cell>
          <cell r="V161">
            <v>0</v>
          </cell>
          <cell r="X161">
            <v>0</v>
          </cell>
          <cell r="AO161">
            <v>0</v>
          </cell>
        </row>
        <row r="162">
          <cell r="A162">
            <v>540000</v>
          </cell>
          <cell r="B162" t="str">
            <v>Graduate</v>
          </cell>
          <cell r="C162" t="str">
            <v>Apex</v>
          </cell>
          <cell r="I162" t="str">
            <v>Bio-Based Matls</v>
          </cell>
          <cell r="L162" t="str">
            <v>BCSE</v>
          </cell>
          <cell r="N162" t="str">
            <v>1</v>
          </cell>
          <cell r="O162">
            <v>34335</v>
          </cell>
          <cell r="Q162">
            <v>38199</v>
          </cell>
          <cell r="V162">
            <v>0</v>
          </cell>
          <cell r="X162">
            <v>0</v>
          </cell>
          <cell r="AD162">
            <v>1.96</v>
          </cell>
          <cell r="AO162">
            <v>0</v>
          </cell>
        </row>
        <row r="163">
          <cell r="A163">
            <v>549020</v>
          </cell>
          <cell r="B163" t="str">
            <v>Graduate</v>
          </cell>
          <cell r="C163" t="str">
            <v>Collaboration</v>
          </cell>
          <cell r="I163" t="str">
            <v>Ag &amp; Nutrition</v>
          </cell>
          <cell r="L163" t="str">
            <v>ELT</v>
          </cell>
          <cell r="N163" t="str">
            <v>Collaboration</v>
          </cell>
          <cell r="O163">
            <v>37135</v>
          </cell>
          <cell r="Q163">
            <v>37864</v>
          </cell>
          <cell r="V163">
            <v>0</v>
          </cell>
          <cell r="X163">
            <v>0</v>
          </cell>
          <cell r="AD163">
            <v>30</v>
          </cell>
          <cell r="AO163">
            <v>0</v>
          </cell>
        </row>
        <row r="164">
          <cell r="A164">
            <v>1</v>
          </cell>
          <cell r="B164" t="str">
            <v>Graduate</v>
          </cell>
          <cell r="C164" t="str">
            <v>Apex</v>
          </cell>
          <cell r="I164" t="str">
            <v>Elect. &amp; Comm.</v>
          </cell>
          <cell r="L164" t="str">
            <v>MSE</v>
          </cell>
          <cell r="N164" t="str">
            <v>1</v>
          </cell>
          <cell r="O164">
            <v>35796</v>
          </cell>
          <cell r="Q164">
            <v>37256</v>
          </cell>
          <cell r="V164">
            <v>0</v>
          </cell>
          <cell r="X164">
            <v>0</v>
          </cell>
          <cell r="AD164">
            <v>1.4757785318603625</v>
          </cell>
          <cell r="AO164">
            <v>0</v>
          </cell>
        </row>
        <row r="165">
          <cell r="A165">
            <v>549025</v>
          </cell>
          <cell r="B165" t="str">
            <v>Graduate</v>
          </cell>
          <cell r="C165" t="str">
            <v>Collaboration</v>
          </cell>
          <cell r="I165" t="str">
            <v>Elect. &amp; Comm.</v>
          </cell>
          <cell r="L165" t="str">
            <v>ELT</v>
          </cell>
          <cell r="N165" t="str">
            <v>Collaboration</v>
          </cell>
          <cell r="O165">
            <v>37288</v>
          </cell>
          <cell r="Q165">
            <v>37918</v>
          </cell>
          <cell r="V165">
            <v>0</v>
          </cell>
          <cell r="X165">
            <v>0</v>
          </cell>
          <cell r="AD165">
            <v>4.5</v>
          </cell>
          <cell r="AO165">
            <v>0</v>
          </cell>
        </row>
        <row r="166">
          <cell r="A166">
            <v>520000</v>
          </cell>
          <cell r="B166" t="str">
            <v>Graduate</v>
          </cell>
          <cell r="C166" t="str">
            <v>Apex</v>
          </cell>
          <cell r="I166" t="str">
            <v>Elect. &amp; Comm.</v>
          </cell>
          <cell r="L166" t="str">
            <v>MSE</v>
          </cell>
          <cell r="N166" t="str">
            <v>1</v>
          </cell>
          <cell r="O166">
            <v>35796</v>
          </cell>
          <cell r="Q166">
            <v>37347</v>
          </cell>
          <cell r="V166">
            <v>0</v>
          </cell>
          <cell r="X166">
            <v>0</v>
          </cell>
          <cell r="AD166">
            <v>2.5861111111111001</v>
          </cell>
          <cell r="AO166">
            <v>0</v>
          </cell>
        </row>
        <row r="167">
          <cell r="A167">
            <v>549008</v>
          </cell>
          <cell r="B167" t="str">
            <v>Graduate</v>
          </cell>
          <cell r="C167" t="str">
            <v>Collaboration</v>
          </cell>
          <cell r="I167" t="str">
            <v>Safety &amp; Protect</v>
          </cell>
          <cell r="L167" t="str">
            <v>MSE</v>
          </cell>
          <cell r="N167" t="str">
            <v>Collaboration</v>
          </cell>
          <cell r="O167">
            <v>37043</v>
          </cell>
          <cell r="Q167">
            <v>37711</v>
          </cell>
          <cell r="V167">
            <v>0</v>
          </cell>
          <cell r="X167">
            <v>0</v>
          </cell>
          <cell r="AD167">
            <v>1.5</v>
          </cell>
          <cell r="AO167">
            <v>0</v>
          </cell>
        </row>
        <row r="168">
          <cell r="A168">
            <v>530080</v>
          </cell>
          <cell r="B168" t="str">
            <v>Closed</v>
          </cell>
          <cell r="C168" t="str">
            <v>Collaboration</v>
          </cell>
          <cell r="I168" t="str">
            <v>Bio-Based Matls</v>
          </cell>
          <cell r="L168" t="str">
            <v>CSE</v>
          </cell>
          <cell r="N168" t="str">
            <v>Collaboration</v>
          </cell>
          <cell r="O168">
            <v>38139</v>
          </cell>
          <cell r="Q168">
            <v>38838</v>
          </cell>
          <cell r="V168">
            <v>0</v>
          </cell>
          <cell r="X168">
            <v>0</v>
          </cell>
          <cell r="AD168">
            <v>0</v>
          </cell>
          <cell r="AO168">
            <v>0.35826400000000003</v>
          </cell>
        </row>
        <row r="169">
          <cell r="A169">
            <v>530059</v>
          </cell>
          <cell r="B169" t="str">
            <v>Closed</v>
          </cell>
          <cell r="C169" t="str">
            <v>Discovery</v>
          </cell>
          <cell r="L169" t="str">
            <v>CSE</v>
          </cell>
          <cell r="N169" t="str">
            <v>Discovery</v>
          </cell>
          <cell r="O169">
            <v>38139</v>
          </cell>
          <cell r="Q169">
            <v>38749</v>
          </cell>
          <cell r="V169">
            <v>0</v>
          </cell>
          <cell r="X169">
            <v>0</v>
          </cell>
          <cell r="AO169">
            <v>8.1155000000000005E-2</v>
          </cell>
        </row>
        <row r="170">
          <cell r="A170">
            <v>540044</v>
          </cell>
          <cell r="B170" t="str">
            <v>Closed</v>
          </cell>
          <cell r="C170" t="str">
            <v>Apex</v>
          </cell>
          <cell r="I170" t="str">
            <v>Bio-Based Matls</v>
          </cell>
          <cell r="L170" t="str">
            <v>BCSE</v>
          </cell>
          <cell r="N170" t="str">
            <v>2</v>
          </cell>
          <cell r="O170">
            <v>37681</v>
          </cell>
          <cell r="Q170">
            <v>39203</v>
          </cell>
          <cell r="T170">
            <v>37666</v>
          </cell>
          <cell r="V170">
            <v>0.25614499999999996</v>
          </cell>
          <cell r="X170">
            <v>0.24640999999999999</v>
          </cell>
          <cell r="AD170">
            <v>0</v>
          </cell>
          <cell r="AO170">
            <v>2.4374119999999997</v>
          </cell>
        </row>
        <row r="171">
          <cell r="A171">
            <v>530035</v>
          </cell>
          <cell r="B171" t="str">
            <v>Open</v>
          </cell>
          <cell r="C171" t="str">
            <v>Apex</v>
          </cell>
          <cell r="I171" t="str">
            <v>Safety &amp; Protect</v>
          </cell>
          <cell r="L171" t="str">
            <v>CSE</v>
          </cell>
          <cell r="N171" t="str">
            <v>2</v>
          </cell>
          <cell r="O171">
            <v>37561</v>
          </cell>
          <cell r="T171">
            <v>38411</v>
          </cell>
          <cell r="V171">
            <v>1.855551</v>
          </cell>
          <cell r="X171">
            <v>2.2999999999999998</v>
          </cell>
          <cell r="AD171">
            <v>6</v>
          </cell>
          <cell r="AO171">
            <v>2.0876069999999998</v>
          </cell>
        </row>
        <row r="172">
          <cell r="A172">
            <v>530036</v>
          </cell>
          <cell r="B172" t="str">
            <v>Closed</v>
          </cell>
          <cell r="C172" t="str">
            <v>Apex</v>
          </cell>
          <cell r="I172" t="str">
            <v>Safety &amp; Protect</v>
          </cell>
          <cell r="L172" t="str">
            <v>CSE</v>
          </cell>
          <cell r="N172" t="str">
            <v>1</v>
          </cell>
          <cell r="O172">
            <v>37561</v>
          </cell>
          <cell r="Q172">
            <v>38626</v>
          </cell>
          <cell r="V172">
            <v>0</v>
          </cell>
          <cell r="X172">
            <v>0</v>
          </cell>
          <cell r="AD172">
            <v>3.2</v>
          </cell>
          <cell r="AO172">
            <v>-2.6600000000000001E-4</v>
          </cell>
        </row>
        <row r="173">
          <cell r="A173">
            <v>520023</v>
          </cell>
          <cell r="B173" t="str">
            <v>Closed</v>
          </cell>
          <cell r="C173" t="str">
            <v>Apex</v>
          </cell>
          <cell r="I173" t="str">
            <v>Elect. &amp; Comm.</v>
          </cell>
          <cell r="L173" t="str">
            <v>MSE</v>
          </cell>
          <cell r="N173" t="str">
            <v>2</v>
          </cell>
          <cell r="O173">
            <v>36892</v>
          </cell>
          <cell r="Q173">
            <v>38930</v>
          </cell>
          <cell r="T173">
            <v>37711</v>
          </cell>
          <cell r="V173">
            <v>0</v>
          </cell>
          <cell r="X173">
            <v>0</v>
          </cell>
          <cell r="AD173">
            <v>5</v>
          </cell>
          <cell r="AO173">
            <v>1.6189149999999999</v>
          </cell>
        </row>
        <row r="174">
          <cell r="A174">
            <v>529005</v>
          </cell>
          <cell r="B174" t="str">
            <v>Open</v>
          </cell>
          <cell r="C174" t="str">
            <v>Collaboration</v>
          </cell>
          <cell r="L174" t="str">
            <v>MSE</v>
          </cell>
          <cell r="N174" t="str">
            <v>Collaboration</v>
          </cell>
          <cell r="O174">
            <v>38443</v>
          </cell>
          <cell r="V174">
            <v>0</v>
          </cell>
          <cell r="X174">
            <v>0</v>
          </cell>
          <cell r="AD174">
            <v>0</v>
          </cell>
          <cell r="AO174">
            <v>0.36669099999999999</v>
          </cell>
        </row>
        <row r="175">
          <cell r="A175">
            <v>520058</v>
          </cell>
          <cell r="B175" t="str">
            <v>Open</v>
          </cell>
          <cell r="C175" t="str">
            <v>Apex</v>
          </cell>
          <cell r="I175" t="str">
            <v>Elect. &amp; Comm.</v>
          </cell>
          <cell r="L175" t="str">
            <v>MSE</v>
          </cell>
          <cell r="N175" t="str">
            <v>2</v>
          </cell>
          <cell r="O175">
            <v>38292</v>
          </cell>
          <cell r="T175">
            <v>38895</v>
          </cell>
          <cell r="V175">
            <v>1.891899</v>
          </cell>
          <cell r="X175">
            <v>2.1022319999999999</v>
          </cell>
          <cell r="AD175">
            <v>10</v>
          </cell>
          <cell r="AO175">
            <v>2.2397550000000002</v>
          </cell>
        </row>
        <row r="176">
          <cell r="A176">
            <v>540057</v>
          </cell>
          <cell r="B176" t="str">
            <v>Closed</v>
          </cell>
          <cell r="C176" t="str">
            <v>Apex</v>
          </cell>
          <cell r="I176" t="str">
            <v>Elect. &amp; Comm.</v>
          </cell>
          <cell r="L176" t="str">
            <v>BCSE</v>
          </cell>
          <cell r="N176" t="str">
            <v>2</v>
          </cell>
          <cell r="O176">
            <v>38353</v>
          </cell>
          <cell r="Q176">
            <v>38961</v>
          </cell>
          <cell r="T176">
            <v>37967</v>
          </cell>
          <cell r="V176">
            <v>0</v>
          </cell>
          <cell r="X176">
            <v>0</v>
          </cell>
          <cell r="AD176">
            <v>13</v>
          </cell>
          <cell r="AO176">
            <v>1.9498499999999999</v>
          </cell>
        </row>
        <row r="177">
          <cell r="A177">
            <v>540046</v>
          </cell>
          <cell r="B177" t="str">
            <v>Closed</v>
          </cell>
          <cell r="C177" t="str">
            <v>Collaboration</v>
          </cell>
          <cell r="I177" t="str">
            <v>Bio-Based Matls</v>
          </cell>
          <cell r="L177" t="str">
            <v>BCSE</v>
          </cell>
          <cell r="N177" t="str">
            <v>Collaboration</v>
          </cell>
          <cell r="O177">
            <v>38047</v>
          </cell>
          <cell r="Q177">
            <v>38991</v>
          </cell>
          <cell r="V177">
            <v>0</v>
          </cell>
          <cell r="X177">
            <v>0</v>
          </cell>
          <cell r="AO177">
            <v>7.5100000000000002E-3</v>
          </cell>
        </row>
        <row r="178">
          <cell r="A178">
            <v>540043</v>
          </cell>
          <cell r="B178" t="str">
            <v>Open</v>
          </cell>
          <cell r="C178" t="str">
            <v>Apex</v>
          </cell>
          <cell r="I178" t="str">
            <v>Bio-Based Matls</v>
          </cell>
          <cell r="L178" t="str">
            <v>BCSE</v>
          </cell>
          <cell r="N178" t="str">
            <v>1</v>
          </cell>
          <cell r="O178">
            <v>37653</v>
          </cell>
          <cell r="V178">
            <v>5.1662179999999998</v>
          </cell>
          <cell r="X178">
            <v>7.6713399999999998</v>
          </cell>
          <cell r="AD178">
            <v>0</v>
          </cell>
          <cell r="AO178">
            <v>7.1968450000000006</v>
          </cell>
        </row>
        <row r="179">
          <cell r="A179">
            <v>549010</v>
          </cell>
          <cell r="B179" t="str">
            <v>Open</v>
          </cell>
          <cell r="C179" t="str">
            <v>Apex</v>
          </cell>
          <cell r="I179" t="str">
            <v>Bio-Based Matls</v>
          </cell>
          <cell r="L179" t="str">
            <v>BCSE</v>
          </cell>
          <cell r="N179" t="str">
            <v>2</v>
          </cell>
          <cell r="O179">
            <v>37073</v>
          </cell>
          <cell r="T179">
            <v>38139</v>
          </cell>
          <cell r="V179">
            <v>2.745304</v>
          </cell>
          <cell r="X179">
            <v>4.2854899999999994</v>
          </cell>
          <cell r="AO179">
            <v>3.6338589999999997</v>
          </cell>
        </row>
        <row r="180">
          <cell r="A180">
            <v>530056</v>
          </cell>
          <cell r="B180" t="str">
            <v>Closed</v>
          </cell>
          <cell r="C180" t="str">
            <v>Apex</v>
          </cell>
          <cell r="I180" t="str">
            <v>Safety &amp; Protect</v>
          </cell>
          <cell r="L180" t="str">
            <v>CSE</v>
          </cell>
          <cell r="N180" t="str">
            <v>1</v>
          </cell>
          <cell r="O180">
            <v>37956</v>
          </cell>
          <cell r="Q180">
            <v>38808</v>
          </cell>
          <cell r="V180">
            <v>0</v>
          </cell>
          <cell r="X180">
            <v>0</v>
          </cell>
          <cell r="AD180">
            <v>2</v>
          </cell>
          <cell r="AO180">
            <v>0.30805200000000005</v>
          </cell>
        </row>
        <row r="181">
          <cell r="A181">
            <v>540033</v>
          </cell>
          <cell r="B181" t="str">
            <v>Open</v>
          </cell>
          <cell r="C181" t="str">
            <v>Apex</v>
          </cell>
          <cell r="I181" t="str">
            <v>Bio-Based Matls</v>
          </cell>
          <cell r="L181" t="str">
            <v>BCSE</v>
          </cell>
          <cell r="N181" t="str">
            <v>1</v>
          </cell>
          <cell r="O181">
            <v>37408</v>
          </cell>
          <cell r="V181">
            <v>1.1182030000000001</v>
          </cell>
          <cell r="X181">
            <v>1.8792770000000001</v>
          </cell>
          <cell r="AO181">
            <v>1.6117980000000001</v>
          </cell>
        </row>
        <row r="182">
          <cell r="A182">
            <v>540010</v>
          </cell>
          <cell r="B182" t="str">
            <v>Closed</v>
          </cell>
          <cell r="C182" t="str">
            <v>Apex</v>
          </cell>
          <cell r="I182" t="str">
            <v>Bio-Based Matls</v>
          </cell>
          <cell r="L182" t="str">
            <v>CSE</v>
          </cell>
          <cell r="N182" t="str">
            <v>1</v>
          </cell>
          <cell r="O182">
            <v>37257</v>
          </cell>
          <cell r="Q182">
            <v>38657</v>
          </cell>
          <cell r="V182">
            <v>0</v>
          </cell>
          <cell r="X182">
            <v>0</v>
          </cell>
          <cell r="AD182">
            <v>0.8</v>
          </cell>
          <cell r="AO182">
            <v>6.0800000000000003E-4</v>
          </cell>
        </row>
        <row r="183">
          <cell r="A183">
            <v>530048</v>
          </cell>
          <cell r="B183" t="str">
            <v>Graduate</v>
          </cell>
          <cell r="C183" t="str">
            <v>Collaboration</v>
          </cell>
          <cell r="I183" t="str">
            <v>Coatings &amp; Color</v>
          </cell>
          <cell r="L183" t="str">
            <v>CSE</v>
          </cell>
          <cell r="N183" t="str">
            <v>Collaboration</v>
          </cell>
          <cell r="O183">
            <v>38108</v>
          </cell>
          <cell r="Q183">
            <v>38899</v>
          </cell>
          <cell r="V183">
            <v>0</v>
          </cell>
          <cell r="X183">
            <v>0</v>
          </cell>
          <cell r="AD183">
            <v>18.612760000000002</v>
          </cell>
          <cell r="AO183">
            <v>0.17448</v>
          </cell>
        </row>
        <row r="184">
          <cell r="A184">
            <v>530071</v>
          </cell>
          <cell r="B184" t="str">
            <v>Closed</v>
          </cell>
          <cell r="C184" t="str">
            <v>Apex</v>
          </cell>
          <cell r="I184" t="str">
            <v>Safety &amp; Protect</v>
          </cell>
          <cell r="L184" t="str">
            <v>CSE</v>
          </cell>
          <cell r="N184" t="str">
            <v>1</v>
          </cell>
          <cell r="O184">
            <v>38139</v>
          </cell>
          <cell r="Q184">
            <v>39203</v>
          </cell>
          <cell r="V184">
            <v>0.74969299999999994</v>
          </cell>
          <cell r="X184">
            <v>0.7</v>
          </cell>
          <cell r="AD184">
            <v>9</v>
          </cell>
          <cell r="AO184">
            <v>2.7970900000000003</v>
          </cell>
        </row>
        <row r="185">
          <cell r="A185">
            <v>530078</v>
          </cell>
          <cell r="B185" t="str">
            <v>Graduate</v>
          </cell>
          <cell r="C185" t="str">
            <v>Collaboration</v>
          </cell>
          <cell r="I185" t="str">
            <v>Performance Matls</v>
          </cell>
          <cell r="L185" t="str">
            <v>CSE</v>
          </cell>
          <cell r="N185" t="str">
            <v>Collaboration</v>
          </cell>
          <cell r="O185">
            <v>38443</v>
          </cell>
          <cell r="Q185">
            <v>39142</v>
          </cell>
          <cell r="V185">
            <v>7.1635000000000004E-2</v>
          </cell>
          <cell r="X185">
            <v>0.06</v>
          </cell>
          <cell r="AD185">
            <v>10</v>
          </cell>
          <cell r="AO185">
            <v>0.64228799999999997</v>
          </cell>
        </row>
        <row r="186">
          <cell r="A186">
            <v>530060</v>
          </cell>
          <cell r="B186" t="str">
            <v>Closed</v>
          </cell>
          <cell r="C186" t="str">
            <v>Collaboration</v>
          </cell>
          <cell r="I186" t="str">
            <v>Elect. &amp; Comm.</v>
          </cell>
          <cell r="L186" t="str">
            <v>CSE</v>
          </cell>
          <cell r="N186" t="str">
            <v>Collaboration</v>
          </cell>
          <cell r="O186">
            <v>37926</v>
          </cell>
          <cell r="Q186">
            <v>38596</v>
          </cell>
          <cell r="V186">
            <v>0</v>
          </cell>
          <cell r="X186">
            <v>0</v>
          </cell>
          <cell r="AD186">
            <v>128.16294258315989</v>
          </cell>
          <cell r="AO186">
            <v>0</v>
          </cell>
        </row>
        <row r="187">
          <cell r="A187">
            <v>540047</v>
          </cell>
          <cell r="B187" t="str">
            <v>Closed</v>
          </cell>
          <cell r="C187" t="str">
            <v>Apex</v>
          </cell>
          <cell r="I187" t="str">
            <v>Safety &amp; Protect</v>
          </cell>
          <cell r="L187" t="str">
            <v>BCSE</v>
          </cell>
          <cell r="N187" t="str">
            <v>2</v>
          </cell>
          <cell r="O187">
            <v>38152</v>
          </cell>
          <cell r="Q187">
            <v>39173</v>
          </cell>
          <cell r="T187">
            <v>38702</v>
          </cell>
          <cell r="V187">
            <v>0.62839099999999992</v>
          </cell>
          <cell r="X187">
            <v>0.620336</v>
          </cell>
          <cell r="AD187">
            <v>5.4</v>
          </cell>
          <cell r="AO187">
            <v>3.9373119999999999</v>
          </cell>
        </row>
        <row r="188">
          <cell r="A188">
            <v>520070</v>
          </cell>
          <cell r="B188" t="str">
            <v>Open</v>
          </cell>
          <cell r="C188" t="str">
            <v>Collaboration</v>
          </cell>
          <cell r="I188" t="str">
            <v>Elect. &amp; Comm.</v>
          </cell>
          <cell r="L188" t="str">
            <v>MSE</v>
          </cell>
          <cell r="N188" t="str">
            <v>Collaboration</v>
          </cell>
          <cell r="O188">
            <v>37712</v>
          </cell>
          <cell r="V188">
            <v>1.3724190000000001</v>
          </cell>
          <cell r="X188">
            <v>1.758899</v>
          </cell>
          <cell r="AD188">
            <v>60</v>
          </cell>
          <cell r="AO188">
            <v>2.1719920000000004</v>
          </cell>
        </row>
        <row r="189">
          <cell r="A189">
            <v>530046</v>
          </cell>
          <cell r="B189" t="str">
            <v>Graduate</v>
          </cell>
          <cell r="C189" t="str">
            <v>Collaboration</v>
          </cell>
          <cell r="I189" t="str">
            <v>Coatings &amp; Color</v>
          </cell>
          <cell r="L189" t="str">
            <v>CSE</v>
          </cell>
          <cell r="N189" t="str">
            <v>Collaboration</v>
          </cell>
          <cell r="O189">
            <v>38018</v>
          </cell>
          <cell r="Q189">
            <v>38808</v>
          </cell>
          <cell r="V189">
            <v>0</v>
          </cell>
          <cell r="X189">
            <v>0</v>
          </cell>
          <cell r="AD189">
            <v>10</v>
          </cell>
          <cell r="AO189">
            <v>0.33956000000000003</v>
          </cell>
        </row>
        <row r="190">
          <cell r="A190">
            <v>520003</v>
          </cell>
          <cell r="B190" t="str">
            <v>Open</v>
          </cell>
          <cell r="C190" t="str">
            <v>Apex</v>
          </cell>
          <cell r="I190" t="str">
            <v>Elect. &amp; Comm.</v>
          </cell>
          <cell r="L190" t="str">
            <v>MSE</v>
          </cell>
          <cell r="N190" t="str">
            <v>3</v>
          </cell>
          <cell r="O190">
            <v>35796</v>
          </cell>
          <cell r="U190">
            <v>37260</v>
          </cell>
          <cell r="V190">
            <v>4.1316689999999996</v>
          </cell>
          <cell r="X190">
            <v>6.6570429999999998</v>
          </cell>
          <cell r="AD190">
            <v>76</v>
          </cell>
          <cell r="AO190">
            <v>6.5359549999999995</v>
          </cell>
        </row>
        <row r="191">
          <cell r="A191">
            <v>520069</v>
          </cell>
          <cell r="B191" t="str">
            <v>Open</v>
          </cell>
          <cell r="C191" t="str">
            <v>Collaboration</v>
          </cell>
          <cell r="I191" t="str">
            <v>Performance Matls</v>
          </cell>
          <cell r="L191" t="str">
            <v>MSE</v>
          </cell>
          <cell r="N191" t="str">
            <v>Collaboration</v>
          </cell>
          <cell r="O191">
            <v>38108</v>
          </cell>
          <cell r="V191">
            <v>0.54416900000000001</v>
          </cell>
          <cell r="X191">
            <v>0.42898399999999998</v>
          </cell>
          <cell r="AD191">
            <v>40</v>
          </cell>
          <cell r="AO191">
            <v>1.0887929999999999</v>
          </cell>
        </row>
        <row r="192">
          <cell r="A192">
            <v>520050</v>
          </cell>
          <cell r="B192" t="str">
            <v>Graduate</v>
          </cell>
          <cell r="C192" t="str">
            <v>Apex</v>
          </cell>
          <cell r="I192" t="str">
            <v>Elect. &amp; Comm.</v>
          </cell>
          <cell r="L192" t="str">
            <v>MSE</v>
          </cell>
          <cell r="N192" t="str">
            <v>2</v>
          </cell>
          <cell r="O192">
            <v>37316</v>
          </cell>
          <cell r="Q192">
            <v>39203</v>
          </cell>
          <cell r="T192">
            <v>38384</v>
          </cell>
          <cell r="V192">
            <v>0.96803499999999998</v>
          </cell>
          <cell r="X192">
            <v>0</v>
          </cell>
          <cell r="AD192">
            <v>13</v>
          </cell>
          <cell r="AO192">
            <v>3.5749940000000002</v>
          </cell>
        </row>
        <row r="193">
          <cell r="A193">
            <v>530052</v>
          </cell>
          <cell r="B193" t="str">
            <v>Graduate</v>
          </cell>
          <cell r="C193" t="str">
            <v>Collaboration</v>
          </cell>
          <cell r="I193" t="str">
            <v>Safety &amp; Protect</v>
          </cell>
          <cell r="L193" t="str">
            <v>CSE</v>
          </cell>
          <cell r="N193" t="str">
            <v>Collaboration</v>
          </cell>
          <cell r="O193">
            <v>38047</v>
          </cell>
          <cell r="Q193">
            <v>38596</v>
          </cell>
          <cell r="V193">
            <v>0</v>
          </cell>
          <cell r="X193">
            <v>0</v>
          </cell>
          <cell r="AO193">
            <v>0</v>
          </cell>
        </row>
        <row r="194">
          <cell r="A194">
            <v>549030</v>
          </cell>
          <cell r="B194" t="str">
            <v>Closed</v>
          </cell>
          <cell r="C194" t="str">
            <v>Apex</v>
          </cell>
          <cell r="I194" t="str">
            <v>Elect. &amp; Comm.</v>
          </cell>
          <cell r="L194" t="str">
            <v>MSE</v>
          </cell>
          <cell r="N194" t="str">
            <v>1</v>
          </cell>
          <cell r="O194">
            <v>37165</v>
          </cell>
          <cell r="Q194">
            <v>38687</v>
          </cell>
          <cell r="V194">
            <v>0</v>
          </cell>
          <cell r="X194">
            <v>0</v>
          </cell>
          <cell r="AD194">
            <v>0</v>
          </cell>
          <cell r="AO194">
            <v>7.7200000000000001E-4</v>
          </cell>
        </row>
        <row r="195">
          <cell r="A195">
            <v>530057</v>
          </cell>
          <cell r="B195" t="str">
            <v>Closed</v>
          </cell>
          <cell r="C195" t="str">
            <v>Apex</v>
          </cell>
          <cell r="I195" t="str">
            <v>Coatings &amp; Color</v>
          </cell>
          <cell r="L195" t="str">
            <v>CSE</v>
          </cell>
          <cell r="N195" t="str">
            <v>1</v>
          </cell>
          <cell r="O195">
            <v>38047</v>
          </cell>
          <cell r="Q195">
            <v>38838</v>
          </cell>
          <cell r="V195">
            <v>0</v>
          </cell>
          <cell r="X195">
            <v>0</v>
          </cell>
          <cell r="AD195">
            <v>4.5999999999999996</v>
          </cell>
          <cell r="AO195">
            <v>0.43118599999999996</v>
          </cell>
        </row>
        <row r="196">
          <cell r="A196">
            <v>520053</v>
          </cell>
          <cell r="B196" t="str">
            <v>Open</v>
          </cell>
          <cell r="C196" t="str">
            <v>Apex</v>
          </cell>
          <cell r="I196" t="str">
            <v>Elect. &amp; Comm.</v>
          </cell>
          <cell r="L196" t="str">
            <v>MSE</v>
          </cell>
          <cell r="N196" t="str">
            <v>1</v>
          </cell>
          <cell r="O196">
            <v>38169</v>
          </cell>
          <cell r="V196">
            <v>2.649823</v>
          </cell>
          <cell r="X196">
            <v>3.2861759999999998</v>
          </cell>
          <cell r="AD196">
            <v>6.8</v>
          </cell>
          <cell r="AO196">
            <v>3.3054109999999999</v>
          </cell>
        </row>
        <row r="197">
          <cell r="A197">
            <v>530075</v>
          </cell>
          <cell r="B197" t="str">
            <v>Closed</v>
          </cell>
          <cell r="C197" t="str">
            <v>Apex</v>
          </cell>
          <cell r="I197" t="str">
            <v>Safety &amp; Protect</v>
          </cell>
          <cell r="L197" t="str">
            <v>CSE</v>
          </cell>
          <cell r="N197" t="str">
            <v>1</v>
          </cell>
          <cell r="O197">
            <v>38139</v>
          </cell>
          <cell r="Q197">
            <v>38869</v>
          </cell>
          <cell r="V197">
            <v>0</v>
          </cell>
          <cell r="X197">
            <v>0</v>
          </cell>
          <cell r="AD197">
            <v>37</v>
          </cell>
          <cell r="AO197">
            <v>0.36623700000000003</v>
          </cell>
        </row>
        <row r="198">
          <cell r="A198">
            <v>520004</v>
          </cell>
          <cell r="B198" t="str">
            <v>Open</v>
          </cell>
          <cell r="C198" t="str">
            <v>Apex</v>
          </cell>
          <cell r="I198" t="str">
            <v>Elect. &amp; Comm.</v>
          </cell>
          <cell r="L198" t="str">
            <v>MSE</v>
          </cell>
          <cell r="N198" t="str">
            <v>3</v>
          </cell>
          <cell r="O198">
            <v>33970</v>
          </cell>
          <cell r="U198">
            <v>38104</v>
          </cell>
          <cell r="V198">
            <v>3.48244</v>
          </cell>
          <cell r="X198">
            <v>5.7706800000000005</v>
          </cell>
          <cell r="AD198">
            <v>42</v>
          </cell>
          <cell r="AO198">
            <v>5.7131020000000001</v>
          </cell>
        </row>
        <row r="199">
          <cell r="A199">
            <v>540052</v>
          </cell>
          <cell r="B199" t="str">
            <v>Open</v>
          </cell>
          <cell r="C199" t="str">
            <v>Apex</v>
          </cell>
          <cell r="I199" t="str">
            <v>Bio-Based Matls</v>
          </cell>
          <cell r="L199" t="str">
            <v>BCSE</v>
          </cell>
          <cell r="N199" t="str">
            <v>1</v>
          </cell>
          <cell r="O199">
            <v>37949</v>
          </cell>
          <cell r="V199">
            <v>3.311744</v>
          </cell>
          <cell r="X199">
            <v>5.0605219999999997</v>
          </cell>
          <cell r="AO199">
            <v>3.8066979999999999</v>
          </cell>
        </row>
        <row r="200">
          <cell r="A200">
            <v>530038</v>
          </cell>
          <cell r="B200" t="str">
            <v>Graduate</v>
          </cell>
          <cell r="C200" t="str">
            <v>Collaboration</v>
          </cell>
          <cell r="I200" t="str">
            <v>Safety &amp; Protect</v>
          </cell>
          <cell r="L200" t="str">
            <v>CSE</v>
          </cell>
          <cell r="N200" t="str">
            <v>Collaboration</v>
          </cell>
          <cell r="O200">
            <v>37681</v>
          </cell>
          <cell r="Q200">
            <v>38565</v>
          </cell>
          <cell r="V200">
            <v>0</v>
          </cell>
          <cell r="X200">
            <v>0</v>
          </cell>
          <cell r="AD200">
            <v>205.83333333333337</v>
          </cell>
          <cell r="AO200">
            <v>0</v>
          </cell>
        </row>
        <row r="201">
          <cell r="A201">
            <v>520021</v>
          </cell>
          <cell r="B201" t="str">
            <v>Closed</v>
          </cell>
          <cell r="C201" t="str">
            <v>Apex</v>
          </cell>
          <cell r="I201" t="str">
            <v>Bio-Based Matls</v>
          </cell>
          <cell r="L201" t="str">
            <v>MSE</v>
          </cell>
          <cell r="N201" t="str">
            <v>2</v>
          </cell>
          <cell r="O201">
            <v>36708</v>
          </cell>
          <cell r="Q201">
            <v>38991</v>
          </cell>
          <cell r="T201">
            <v>37742</v>
          </cell>
          <cell r="V201">
            <v>0</v>
          </cell>
          <cell r="X201">
            <v>0</v>
          </cell>
          <cell r="AD201">
            <v>8</v>
          </cell>
          <cell r="AO201">
            <v>2.0503649999999998</v>
          </cell>
        </row>
        <row r="202">
          <cell r="A202">
            <v>530089</v>
          </cell>
          <cell r="B202" t="str">
            <v>Graduate</v>
          </cell>
          <cell r="C202" t="str">
            <v>Collaboration</v>
          </cell>
          <cell r="I202" t="str">
            <v>Coatings &amp; Color</v>
          </cell>
          <cell r="L202" t="str">
            <v>CSE</v>
          </cell>
          <cell r="N202" t="str">
            <v>Collaboration</v>
          </cell>
          <cell r="O202">
            <v>38443</v>
          </cell>
          <cell r="Q202">
            <v>38808</v>
          </cell>
          <cell r="V202">
            <v>0</v>
          </cell>
          <cell r="X202">
            <v>0</v>
          </cell>
          <cell r="AD202">
            <v>9</v>
          </cell>
          <cell r="AO202">
            <v>0.15389699999999998</v>
          </cell>
        </row>
        <row r="203">
          <cell r="A203">
            <v>520056</v>
          </cell>
          <cell r="B203" t="str">
            <v>Closed</v>
          </cell>
          <cell r="C203" t="str">
            <v>Collaboration</v>
          </cell>
          <cell r="I203" t="str">
            <v>Safety &amp; Protect</v>
          </cell>
          <cell r="L203" t="str">
            <v>MSE</v>
          </cell>
          <cell r="N203" t="str">
            <v>Collaboration</v>
          </cell>
          <cell r="O203">
            <v>38231</v>
          </cell>
          <cell r="Q203">
            <v>38961</v>
          </cell>
          <cell r="V203">
            <v>0</v>
          </cell>
          <cell r="X203">
            <v>0</v>
          </cell>
          <cell r="AD203">
            <v>13.5</v>
          </cell>
          <cell r="AO203">
            <v>0.121992</v>
          </cell>
        </row>
        <row r="204">
          <cell r="A204">
            <v>530087</v>
          </cell>
          <cell r="B204" t="str">
            <v>Closed</v>
          </cell>
          <cell r="C204" t="str">
            <v>Collaboration</v>
          </cell>
          <cell r="I204" t="str">
            <v>Performance Matls</v>
          </cell>
          <cell r="L204" t="str">
            <v>CSE</v>
          </cell>
          <cell r="N204" t="str">
            <v>Collaboration</v>
          </cell>
          <cell r="O204">
            <v>38473</v>
          </cell>
          <cell r="Q204">
            <v>38749</v>
          </cell>
          <cell r="V204">
            <v>0</v>
          </cell>
          <cell r="X204">
            <v>0</v>
          </cell>
          <cell r="AD204">
            <v>180</v>
          </cell>
          <cell r="AO204">
            <v>0.14582699999999998</v>
          </cell>
        </row>
        <row r="205">
          <cell r="A205">
            <v>540005</v>
          </cell>
          <cell r="B205" t="str">
            <v>Closed</v>
          </cell>
          <cell r="C205" t="str">
            <v>Apex</v>
          </cell>
          <cell r="I205" t="str">
            <v>Bio-Based Matls</v>
          </cell>
          <cell r="L205" t="str">
            <v>BCSE</v>
          </cell>
          <cell r="N205" t="str">
            <v>2</v>
          </cell>
          <cell r="O205">
            <v>36557</v>
          </cell>
          <cell r="Q205">
            <v>38961</v>
          </cell>
          <cell r="T205">
            <v>37967</v>
          </cell>
          <cell r="V205">
            <v>0</v>
          </cell>
          <cell r="X205">
            <v>0</v>
          </cell>
          <cell r="AD205">
            <v>7</v>
          </cell>
          <cell r="AO205">
            <v>1.6087929999999999</v>
          </cell>
        </row>
        <row r="206">
          <cell r="A206">
            <v>520040</v>
          </cell>
          <cell r="B206" t="str">
            <v>Open</v>
          </cell>
          <cell r="C206" t="str">
            <v>Apex</v>
          </cell>
          <cell r="I206" t="str">
            <v>Elect. &amp; Comm.</v>
          </cell>
          <cell r="L206" t="str">
            <v>MSE</v>
          </cell>
          <cell r="N206" t="str">
            <v>1</v>
          </cell>
          <cell r="O206">
            <v>37316</v>
          </cell>
          <cell r="V206">
            <v>1.45384</v>
          </cell>
          <cell r="X206">
            <v>1.6978260000000001</v>
          </cell>
          <cell r="AD206">
            <v>0.4</v>
          </cell>
          <cell r="AO206">
            <v>1.8640779999999999</v>
          </cell>
        </row>
        <row r="207">
          <cell r="A207">
            <v>530093</v>
          </cell>
          <cell r="B207" t="str">
            <v>Closed</v>
          </cell>
          <cell r="C207" t="str">
            <v>Discovery</v>
          </cell>
          <cell r="I207" t="str">
            <v>Performance Matls</v>
          </cell>
          <cell r="L207" t="str">
            <v>CSE</v>
          </cell>
          <cell r="N207" t="str">
            <v>Discovery</v>
          </cell>
          <cell r="O207">
            <v>38534</v>
          </cell>
          <cell r="Q207">
            <v>38749</v>
          </cell>
          <cell r="V207">
            <v>0</v>
          </cell>
          <cell r="X207">
            <v>0</v>
          </cell>
          <cell r="AD207">
            <v>0</v>
          </cell>
          <cell r="AO207">
            <v>1.4731999999999999E-2</v>
          </cell>
        </row>
        <row r="208">
          <cell r="A208">
            <v>530077</v>
          </cell>
          <cell r="B208" t="str">
            <v>Closed</v>
          </cell>
          <cell r="C208" t="str">
            <v>Discovery</v>
          </cell>
          <cell r="I208" t="str">
            <v>Coatings &amp; Color</v>
          </cell>
          <cell r="L208" t="str">
            <v>CSE</v>
          </cell>
          <cell r="N208" t="str">
            <v>Discovery</v>
          </cell>
          <cell r="O208">
            <v>38412</v>
          </cell>
          <cell r="Q208">
            <v>38991</v>
          </cell>
          <cell r="V208">
            <v>0</v>
          </cell>
          <cell r="X208">
            <v>0</v>
          </cell>
          <cell r="AD208">
            <v>0</v>
          </cell>
          <cell r="AO208">
            <v>7.0823999999999998E-2</v>
          </cell>
        </row>
        <row r="209">
          <cell r="A209">
            <v>540049</v>
          </cell>
          <cell r="B209" t="str">
            <v>Open</v>
          </cell>
          <cell r="C209" t="str">
            <v>Apex</v>
          </cell>
          <cell r="I209" t="str">
            <v>Ag &amp; Nutrition</v>
          </cell>
          <cell r="L209" t="str">
            <v>BCSE</v>
          </cell>
          <cell r="N209" t="str">
            <v>1</v>
          </cell>
          <cell r="O209">
            <v>38353</v>
          </cell>
          <cell r="V209">
            <v>1.3135760000000001</v>
          </cell>
          <cell r="X209">
            <v>2.0740129999999999</v>
          </cell>
          <cell r="AD209">
            <v>5.6</v>
          </cell>
          <cell r="AO209">
            <v>2.0434429999999999</v>
          </cell>
        </row>
        <row r="210">
          <cell r="A210">
            <v>530062</v>
          </cell>
          <cell r="B210" t="str">
            <v>Closed</v>
          </cell>
          <cell r="C210" t="str">
            <v>Discovery</v>
          </cell>
          <cell r="L210" t="str">
            <v>CSE</v>
          </cell>
          <cell r="N210" t="str">
            <v>Discovery</v>
          </cell>
          <cell r="O210">
            <v>38139</v>
          </cell>
          <cell r="Q210">
            <v>38596</v>
          </cell>
          <cell r="V210">
            <v>0</v>
          </cell>
          <cell r="X210">
            <v>0</v>
          </cell>
          <cell r="AO210">
            <v>0</v>
          </cell>
        </row>
        <row r="211">
          <cell r="A211">
            <v>540056</v>
          </cell>
          <cell r="B211" t="str">
            <v>Open</v>
          </cell>
          <cell r="C211" t="str">
            <v>Apex</v>
          </cell>
          <cell r="I211" t="str">
            <v>Safety &amp; Protect</v>
          </cell>
          <cell r="L211" t="str">
            <v>BCSE</v>
          </cell>
          <cell r="N211" t="str">
            <v>2</v>
          </cell>
          <cell r="O211">
            <v>38078</v>
          </cell>
          <cell r="T211">
            <v>38860</v>
          </cell>
          <cell r="V211">
            <v>2.1311119999999999</v>
          </cell>
          <cell r="X211">
            <v>2.7682060000000002</v>
          </cell>
          <cell r="AD211">
            <v>13</v>
          </cell>
          <cell r="AO211">
            <v>1.6797819999999999</v>
          </cell>
        </row>
        <row r="212">
          <cell r="A212">
            <v>530045</v>
          </cell>
          <cell r="B212" t="str">
            <v>Open</v>
          </cell>
          <cell r="C212" t="str">
            <v>Apex</v>
          </cell>
          <cell r="I212" t="str">
            <v>Performance Matls</v>
          </cell>
          <cell r="L212" t="str">
            <v>CSE</v>
          </cell>
          <cell r="N212" t="str">
            <v>2</v>
          </cell>
          <cell r="O212">
            <v>37803</v>
          </cell>
          <cell r="T212">
            <v>38951</v>
          </cell>
          <cell r="V212">
            <v>2.0476489999999998</v>
          </cell>
          <cell r="X212">
            <v>2.8</v>
          </cell>
          <cell r="AD212">
            <v>22</v>
          </cell>
          <cell r="AO212">
            <v>2.5777579999999998</v>
          </cell>
        </row>
        <row r="213">
          <cell r="A213">
            <v>530076</v>
          </cell>
          <cell r="B213" t="str">
            <v>Open</v>
          </cell>
          <cell r="C213" t="str">
            <v>Apex</v>
          </cell>
          <cell r="I213" t="str">
            <v>Performance Matls</v>
          </cell>
          <cell r="L213" t="str">
            <v>CSE</v>
          </cell>
          <cell r="N213" t="str">
            <v>1</v>
          </cell>
          <cell r="O213">
            <v>38200</v>
          </cell>
          <cell r="V213">
            <v>0.34864299999999998</v>
          </cell>
          <cell r="X213">
            <v>0.45</v>
          </cell>
          <cell r="AD213">
            <v>0.6</v>
          </cell>
          <cell r="AO213">
            <v>0.35809299999999999</v>
          </cell>
        </row>
        <row r="214">
          <cell r="A214">
            <v>520047</v>
          </cell>
          <cell r="B214" t="str">
            <v>Closed</v>
          </cell>
          <cell r="C214" t="str">
            <v>Apex</v>
          </cell>
          <cell r="I214" t="str">
            <v>Coatings &amp; Color</v>
          </cell>
          <cell r="L214" t="str">
            <v>MSE</v>
          </cell>
          <cell r="N214" t="str">
            <v>1</v>
          </cell>
          <cell r="O214">
            <v>37803</v>
          </cell>
          <cell r="Q214">
            <v>38718</v>
          </cell>
          <cell r="V214">
            <v>0</v>
          </cell>
          <cell r="X214">
            <v>0</v>
          </cell>
          <cell r="AD214">
            <v>3.54</v>
          </cell>
          <cell r="AO214">
            <v>1.4067E-2</v>
          </cell>
        </row>
        <row r="215">
          <cell r="A215">
            <v>530065</v>
          </cell>
          <cell r="B215" t="str">
            <v>Closed</v>
          </cell>
          <cell r="C215" t="str">
            <v>Collaboration</v>
          </cell>
          <cell r="I215" t="str">
            <v>Other</v>
          </cell>
          <cell r="L215" t="str">
            <v>CSE</v>
          </cell>
          <cell r="N215" t="str">
            <v>Collaboration</v>
          </cell>
          <cell r="O215">
            <v>38018</v>
          </cell>
          <cell r="Q215">
            <v>38718</v>
          </cell>
          <cell r="V215">
            <v>0</v>
          </cell>
          <cell r="X215">
            <v>0</v>
          </cell>
          <cell r="AD215">
            <v>2.5</v>
          </cell>
          <cell r="AO215">
            <v>6.4900000000000001E-3</v>
          </cell>
        </row>
        <row r="216">
          <cell r="A216">
            <v>530090</v>
          </cell>
          <cell r="B216" t="str">
            <v>Graduate</v>
          </cell>
          <cell r="C216" t="str">
            <v>Collaboration</v>
          </cell>
          <cell r="I216" t="str">
            <v>Coatings &amp; Color</v>
          </cell>
          <cell r="L216" t="str">
            <v>CSE</v>
          </cell>
          <cell r="N216" t="str">
            <v>Collaboration</v>
          </cell>
          <cell r="O216">
            <v>38200</v>
          </cell>
          <cell r="Q216">
            <v>38565</v>
          </cell>
          <cell r="V216">
            <v>0</v>
          </cell>
          <cell r="X216">
            <v>0</v>
          </cell>
          <cell r="AD216">
            <v>8</v>
          </cell>
          <cell r="AO216">
            <v>0</v>
          </cell>
        </row>
        <row r="217">
          <cell r="A217">
            <v>540054</v>
          </cell>
          <cell r="B217" t="str">
            <v>Open</v>
          </cell>
          <cell r="C217" t="str">
            <v>Apex</v>
          </cell>
          <cell r="I217" t="str">
            <v>Bio-Based Matls</v>
          </cell>
          <cell r="L217" t="str">
            <v>BCSE</v>
          </cell>
          <cell r="N217" t="str">
            <v>1</v>
          </cell>
          <cell r="O217">
            <v>37970</v>
          </cell>
          <cell r="V217">
            <v>1.150245</v>
          </cell>
          <cell r="X217">
            <v>1.6989909999999999</v>
          </cell>
          <cell r="AD217">
            <v>8.6</v>
          </cell>
          <cell r="AO217">
            <v>1.7296479999999999</v>
          </cell>
        </row>
        <row r="218">
          <cell r="A218">
            <v>520002</v>
          </cell>
          <cell r="B218" t="str">
            <v>Closed</v>
          </cell>
          <cell r="C218" t="str">
            <v>Apex</v>
          </cell>
          <cell r="I218" t="str">
            <v>Elect. &amp; Comm.</v>
          </cell>
          <cell r="L218" t="str">
            <v>MSE</v>
          </cell>
          <cell r="N218" t="str">
            <v>3</v>
          </cell>
          <cell r="O218">
            <v>35431</v>
          </cell>
          <cell r="Q218">
            <v>38838</v>
          </cell>
          <cell r="U218">
            <v>37260</v>
          </cell>
          <cell r="V218">
            <v>0</v>
          </cell>
          <cell r="X218">
            <v>0</v>
          </cell>
          <cell r="AD218">
            <v>10.4</v>
          </cell>
          <cell r="AO218">
            <v>0.487259</v>
          </cell>
        </row>
        <row r="219">
          <cell r="A219">
            <v>520044</v>
          </cell>
          <cell r="B219" t="str">
            <v>Open</v>
          </cell>
          <cell r="C219" t="str">
            <v>Apex</v>
          </cell>
          <cell r="I219" t="str">
            <v>Elect. &amp; Comm.</v>
          </cell>
          <cell r="L219" t="str">
            <v>MSE</v>
          </cell>
          <cell r="N219" t="str">
            <v>2</v>
          </cell>
          <cell r="O219">
            <v>37712</v>
          </cell>
          <cell r="T219">
            <v>38923</v>
          </cell>
          <cell r="V219">
            <v>2.6556010000000003</v>
          </cell>
          <cell r="X219">
            <v>4.2463630000000006</v>
          </cell>
          <cell r="AD219">
            <v>23</v>
          </cell>
          <cell r="AO219">
            <v>3.7826849999999999</v>
          </cell>
        </row>
        <row r="220">
          <cell r="A220">
            <v>530064</v>
          </cell>
          <cell r="B220" t="str">
            <v>Closed</v>
          </cell>
          <cell r="C220" t="str">
            <v>Apex</v>
          </cell>
          <cell r="I220" t="str">
            <v>Safety &amp; Protect</v>
          </cell>
          <cell r="L220" t="str">
            <v>MSE</v>
          </cell>
          <cell r="N220" t="str">
            <v>1</v>
          </cell>
          <cell r="O220">
            <v>38322</v>
          </cell>
          <cell r="Q220">
            <v>38565</v>
          </cell>
          <cell r="V220">
            <v>0</v>
          </cell>
          <cell r="X220">
            <v>0</v>
          </cell>
          <cell r="AD220">
            <v>3.2</v>
          </cell>
          <cell r="AO220">
            <v>0</v>
          </cell>
        </row>
        <row r="221">
          <cell r="A221">
            <v>530092</v>
          </cell>
          <cell r="B221" t="str">
            <v>Open</v>
          </cell>
          <cell r="C221" t="str">
            <v>Apex</v>
          </cell>
          <cell r="I221" t="str">
            <v>Bio-Based Matls</v>
          </cell>
          <cell r="L221" t="str">
            <v>CSE</v>
          </cell>
          <cell r="N221" t="str">
            <v>2</v>
          </cell>
          <cell r="O221">
            <v>38504</v>
          </cell>
          <cell r="T221">
            <v>39323</v>
          </cell>
          <cell r="V221">
            <v>2.4206350000000003</v>
          </cell>
          <cell r="X221">
            <v>3.75</v>
          </cell>
          <cell r="AD221">
            <v>83.20477847078817</v>
          </cell>
          <cell r="AO221">
            <v>3.2856300000000003</v>
          </cell>
        </row>
        <row r="222">
          <cell r="A222">
            <v>520061</v>
          </cell>
          <cell r="B222" t="str">
            <v>Closed</v>
          </cell>
          <cell r="C222" t="str">
            <v>Apex</v>
          </cell>
          <cell r="I222" t="str">
            <v>Elect. &amp; Comm.</v>
          </cell>
          <cell r="L222" t="str">
            <v>MSE</v>
          </cell>
          <cell r="N222" t="str">
            <v>1</v>
          </cell>
          <cell r="O222">
            <v>37865</v>
          </cell>
          <cell r="Q222">
            <v>38626</v>
          </cell>
          <cell r="V222">
            <v>0</v>
          </cell>
          <cell r="X222">
            <v>0</v>
          </cell>
          <cell r="AD222">
            <v>0.8</v>
          </cell>
          <cell r="AO222">
            <v>0</v>
          </cell>
        </row>
        <row r="223">
          <cell r="A223">
            <v>540015</v>
          </cell>
          <cell r="B223" t="str">
            <v>Graduate</v>
          </cell>
          <cell r="C223" t="str">
            <v>Apex</v>
          </cell>
          <cell r="I223" t="str">
            <v>Bio-Based Matls</v>
          </cell>
          <cell r="L223" t="str">
            <v>BCSE</v>
          </cell>
          <cell r="N223" t="str">
            <v>2</v>
          </cell>
          <cell r="O223">
            <v>37316</v>
          </cell>
          <cell r="Q223">
            <v>39203</v>
          </cell>
          <cell r="T223">
            <v>38337</v>
          </cell>
          <cell r="V223">
            <v>0.30460899999999996</v>
          </cell>
          <cell r="X223">
            <v>0.29495699999999997</v>
          </cell>
          <cell r="AD223">
            <v>0</v>
          </cell>
          <cell r="AO223">
            <v>2.6202570000000001</v>
          </cell>
        </row>
        <row r="224">
          <cell r="A224">
            <v>530042</v>
          </cell>
          <cell r="B224" t="str">
            <v>Graduate</v>
          </cell>
          <cell r="C224" t="str">
            <v>Collaboration</v>
          </cell>
          <cell r="I224" t="str">
            <v>Coatings &amp; Color</v>
          </cell>
          <cell r="L224" t="str">
            <v>CSE</v>
          </cell>
          <cell r="N224" t="str">
            <v>Collaboration</v>
          </cell>
          <cell r="O224">
            <v>37742</v>
          </cell>
          <cell r="Q224">
            <v>38718</v>
          </cell>
          <cell r="V224">
            <v>0</v>
          </cell>
          <cell r="X224">
            <v>0</v>
          </cell>
          <cell r="AD224">
            <v>100</v>
          </cell>
          <cell r="AO224">
            <v>3.7789999999999998E-3</v>
          </cell>
        </row>
        <row r="225">
          <cell r="A225">
            <v>550004</v>
          </cell>
          <cell r="B225" t="str">
            <v>Open</v>
          </cell>
          <cell r="C225" t="str">
            <v>Apex</v>
          </cell>
          <cell r="I225" t="str">
            <v>Other</v>
          </cell>
          <cell r="L225" t="str">
            <v>CRD</v>
          </cell>
          <cell r="N225" t="str">
            <v>1</v>
          </cell>
          <cell r="O225">
            <v>38534</v>
          </cell>
          <cell r="V225">
            <v>0</v>
          </cell>
          <cell r="X225">
            <v>0</v>
          </cell>
          <cell r="AD225">
            <v>0</v>
          </cell>
          <cell r="AO225">
            <v>0</v>
          </cell>
        </row>
        <row r="226">
          <cell r="A226">
            <v>530066</v>
          </cell>
          <cell r="B226" t="str">
            <v>Closed</v>
          </cell>
          <cell r="C226" t="str">
            <v>Discovery</v>
          </cell>
          <cell r="L226" t="str">
            <v>CSE</v>
          </cell>
          <cell r="N226" t="str">
            <v>Discovery</v>
          </cell>
          <cell r="O226">
            <v>38078</v>
          </cell>
          <cell r="Q226">
            <v>38718</v>
          </cell>
          <cell r="V226">
            <v>0</v>
          </cell>
          <cell r="X226">
            <v>0</v>
          </cell>
          <cell r="AO226">
            <v>2.22E-4</v>
          </cell>
        </row>
        <row r="227">
          <cell r="A227">
            <v>530049</v>
          </cell>
          <cell r="B227" t="str">
            <v>Open</v>
          </cell>
          <cell r="C227" t="str">
            <v>Apex</v>
          </cell>
          <cell r="I227" t="str">
            <v>Safety &amp; Protect</v>
          </cell>
          <cell r="L227" t="str">
            <v>CSE</v>
          </cell>
          <cell r="N227" t="str">
            <v>2</v>
          </cell>
          <cell r="O227">
            <v>38139</v>
          </cell>
          <cell r="T227">
            <v>38309</v>
          </cell>
          <cell r="V227">
            <v>1.009188</v>
          </cell>
          <cell r="X227">
            <v>1</v>
          </cell>
          <cell r="AD227">
            <v>8</v>
          </cell>
          <cell r="AO227">
            <v>1.70722</v>
          </cell>
        </row>
        <row r="228">
          <cell r="A228">
            <v>540048</v>
          </cell>
          <cell r="B228" t="str">
            <v>Closed</v>
          </cell>
          <cell r="C228" t="str">
            <v>Apex</v>
          </cell>
          <cell r="I228" t="str">
            <v>Bio-Based Matls</v>
          </cell>
          <cell r="L228" t="str">
            <v>BCSE</v>
          </cell>
          <cell r="N228" t="str">
            <v>1</v>
          </cell>
          <cell r="O228">
            <v>38231</v>
          </cell>
          <cell r="Q228">
            <v>38626</v>
          </cell>
          <cell r="V228">
            <v>0</v>
          </cell>
          <cell r="X228">
            <v>0</v>
          </cell>
          <cell r="AD228">
            <v>0.41894965746549195</v>
          </cell>
          <cell r="AO228">
            <v>0</v>
          </cell>
        </row>
        <row r="229">
          <cell r="A229">
            <v>520076</v>
          </cell>
          <cell r="B229" t="str">
            <v>Closed</v>
          </cell>
          <cell r="C229" t="str">
            <v>Apex</v>
          </cell>
          <cell r="I229" t="str">
            <v>Coatings &amp; Color</v>
          </cell>
          <cell r="L229" t="str">
            <v>MSE</v>
          </cell>
          <cell r="N229" t="str">
            <v>2</v>
          </cell>
          <cell r="O229">
            <v>38018</v>
          </cell>
          <cell r="Q229">
            <v>39083</v>
          </cell>
          <cell r="T229">
            <v>38860</v>
          </cell>
          <cell r="V229">
            <v>1.2426999999999999E-2</v>
          </cell>
          <cell r="X229">
            <v>0</v>
          </cell>
          <cell r="AD229">
            <v>1.1000000000000001</v>
          </cell>
          <cell r="AO229">
            <v>1.0926830000000001</v>
          </cell>
        </row>
        <row r="230">
          <cell r="A230">
            <v>520063</v>
          </cell>
          <cell r="B230" t="str">
            <v>Closed</v>
          </cell>
          <cell r="C230" t="str">
            <v>Discovery</v>
          </cell>
          <cell r="L230" t="str">
            <v>MSE</v>
          </cell>
          <cell r="N230" t="str">
            <v>Discovery</v>
          </cell>
          <cell r="O230">
            <v>38443</v>
          </cell>
          <cell r="Q230">
            <v>38961</v>
          </cell>
          <cell r="V230">
            <v>0</v>
          </cell>
          <cell r="X230">
            <v>0</v>
          </cell>
          <cell r="AD230">
            <v>0</v>
          </cell>
          <cell r="AO230">
            <v>0.200156</v>
          </cell>
        </row>
        <row r="231">
          <cell r="A231">
            <v>530009</v>
          </cell>
          <cell r="B231" t="str">
            <v>Closed</v>
          </cell>
          <cell r="C231" t="str">
            <v>Apex</v>
          </cell>
          <cell r="I231" t="str">
            <v>Elect. &amp; Comm.</v>
          </cell>
          <cell r="L231" t="str">
            <v>CSE</v>
          </cell>
          <cell r="N231" t="str">
            <v>1</v>
          </cell>
          <cell r="O231">
            <v>37196</v>
          </cell>
          <cell r="Q231">
            <v>38838</v>
          </cell>
          <cell r="V231">
            <v>0</v>
          </cell>
          <cell r="X231">
            <v>0</v>
          </cell>
          <cell r="AD231">
            <v>24.8</v>
          </cell>
          <cell r="AO231">
            <v>6.3662999999999997E-2</v>
          </cell>
        </row>
        <row r="232">
          <cell r="A232">
            <v>530074</v>
          </cell>
          <cell r="B232" t="str">
            <v>Closed</v>
          </cell>
          <cell r="C232" t="str">
            <v>Collaboration</v>
          </cell>
          <cell r="I232" t="str">
            <v>Safety &amp; Protect</v>
          </cell>
          <cell r="L232" t="str">
            <v>CSE</v>
          </cell>
          <cell r="N232" t="str">
            <v>Collaboration</v>
          </cell>
          <cell r="O232">
            <v>38443</v>
          </cell>
          <cell r="Q232">
            <v>38777</v>
          </cell>
          <cell r="V232">
            <v>0</v>
          </cell>
          <cell r="X232">
            <v>0</v>
          </cell>
          <cell r="AD232">
            <v>40.5</v>
          </cell>
          <cell r="AO232">
            <v>0.21129300000000001</v>
          </cell>
        </row>
        <row r="233">
          <cell r="A233">
            <v>530082</v>
          </cell>
          <cell r="B233" t="str">
            <v>Graduate</v>
          </cell>
          <cell r="C233" t="str">
            <v>Collaboration</v>
          </cell>
          <cell r="I233" t="str">
            <v>Safety &amp; Protect</v>
          </cell>
          <cell r="L233" t="str">
            <v>CSE</v>
          </cell>
          <cell r="N233" t="str">
            <v>Collaboration</v>
          </cell>
          <cell r="O233">
            <v>38443</v>
          </cell>
          <cell r="Q233">
            <v>38808</v>
          </cell>
          <cell r="V233">
            <v>0</v>
          </cell>
          <cell r="X233">
            <v>0</v>
          </cell>
          <cell r="AD233">
            <v>125</v>
          </cell>
          <cell r="AO233">
            <v>9.0327000000000005E-2</v>
          </cell>
        </row>
        <row r="234">
          <cell r="A234">
            <v>520095</v>
          </cell>
          <cell r="B234" t="str">
            <v>Open</v>
          </cell>
          <cell r="C234" t="str">
            <v>Apex</v>
          </cell>
          <cell r="I234" t="str">
            <v>Elect. &amp; Comm.</v>
          </cell>
          <cell r="L234" t="str">
            <v>MSE</v>
          </cell>
          <cell r="N234" t="str">
            <v>2</v>
          </cell>
          <cell r="O234">
            <v>37865</v>
          </cell>
          <cell r="T234">
            <v>38708</v>
          </cell>
          <cell r="V234">
            <v>1.1516839999999999</v>
          </cell>
          <cell r="X234">
            <v>2.4489709999999998</v>
          </cell>
          <cell r="AD234">
            <v>12</v>
          </cell>
          <cell r="AO234">
            <v>2.2965709999999997</v>
          </cell>
        </row>
        <row r="235">
          <cell r="A235">
            <v>530081</v>
          </cell>
          <cell r="B235" t="str">
            <v>Graduate</v>
          </cell>
          <cell r="C235" t="str">
            <v>Collaboration</v>
          </cell>
          <cell r="I235" t="str">
            <v>Safety &amp; Protect</v>
          </cell>
          <cell r="L235" t="str">
            <v>CSE</v>
          </cell>
          <cell r="N235" t="str">
            <v>Collaboration</v>
          </cell>
          <cell r="O235">
            <v>38412</v>
          </cell>
          <cell r="Q235">
            <v>38930</v>
          </cell>
          <cell r="V235">
            <v>0</v>
          </cell>
          <cell r="X235">
            <v>0</v>
          </cell>
          <cell r="AD235">
            <v>70</v>
          </cell>
          <cell r="AO235">
            <v>0.34543400000000002</v>
          </cell>
        </row>
        <row r="236">
          <cell r="A236">
            <v>530006</v>
          </cell>
          <cell r="B236" t="str">
            <v>Closed</v>
          </cell>
          <cell r="C236" t="str">
            <v>Apex</v>
          </cell>
          <cell r="I236" t="str">
            <v>Coatings &amp; Color</v>
          </cell>
          <cell r="L236" t="str">
            <v>CSE</v>
          </cell>
          <cell r="N236" t="str">
            <v>2</v>
          </cell>
          <cell r="O236">
            <v>35309</v>
          </cell>
          <cell r="Q236">
            <v>38749</v>
          </cell>
          <cell r="T236">
            <v>37679</v>
          </cell>
          <cell r="V236">
            <v>0</v>
          </cell>
          <cell r="X236">
            <v>0</v>
          </cell>
          <cell r="AD236">
            <v>11</v>
          </cell>
          <cell r="AO236">
            <v>0.25252799999999997</v>
          </cell>
        </row>
        <row r="237">
          <cell r="A237">
            <v>530070</v>
          </cell>
          <cell r="B237" t="str">
            <v>Graduate</v>
          </cell>
          <cell r="C237" t="str">
            <v>Collaboration</v>
          </cell>
          <cell r="I237" t="str">
            <v>Elect. &amp; Comm.</v>
          </cell>
          <cell r="L237" t="str">
            <v>CSE</v>
          </cell>
          <cell r="N237" t="str">
            <v>Collaboration</v>
          </cell>
          <cell r="O237">
            <v>38108</v>
          </cell>
          <cell r="Q237">
            <v>38808</v>
          </cell>
          <cell r="V237">
            <v>0</v>
          </cell>
          <cell r="X237">
            <v>0</v>
          </cell>
          <cell r="AD237">
            <v>5.5</v>
          </cell>
          <cell r="AO237">
            <v>6.6239000000000006E-2</v>
          </cell>
        </row>
        <row r="238">
          <cell r="A238">
            <v>530067</v>
          </cell>
          <cell r="B238" t="str">
            <v>Closed</v>
          </cell>
          <cell r="C238" t="str">
            <v>Discovery</v>
          </cell>
          <cell r="I238" t="str">
            <v>Safety &amp; Protect</v>
          </cell>
          <cell r="L238" t="str">
            <v>CSE</v>
          </cell>
          <cell r="N238" t="str">
            <v>Discovery</v>
          </cell>
          <cell r="O238">
            <v>38139</v>
          </cell>
          <cell r="Q238">
            <v>39083</v>
          </cell>
          <cell r="V238">
            <v>4.5849999999999997E-3</v>
          </cell>
          <cell r="X238">
            <v>0</v>
          </cell>
          <cell r="AO238">
            <v>0.54058399999999995</v>
          </cell>
        </row>
        <row r="239">
          <cell r="A239">
            <v>520088</v>
          </cell>
          <cell r="B239" t="str">
            <v>Closed</v>
          </cell>
          <cell r="C239" t="str">
            <v>Apex</v>
          </cell>
          <cell r="I239" t="str">
            <v>Bio-Based Matls</v>
          </cell>
          <cell r="L239" t="str">
            <v>MSE</v>
          </cell>
          <cell r="N239" t="str">
            <v>1</v>
          </cell>
          <cell r="O239">
            <v>37926</v>
          </cell>
          <cell r="Q239">
            <v>38930</v>
          </cell>
          <cell r="V239">
            <v>0</v>
          </cell>
          <cell r="X239">
            <v>0</v>
          </cell>
          <cell r="AD239">
            <v>15.4</v>
          </cell>
          <cell r="AO239">
            <v>1.15327</v>
          </cell>
        </row>
        <row r="240">
          <cell r="A240">
            <v>530086</v>
          </cell>
          <cell r="B240" t="str">
            <v>Open</v>
          </cell>
          <cell r="C240" t="str">
            <v>Apex</v>
          </cell>
          <cell r="I240" t="str">
            <v>Safety &amp; Protect</v>
          </cell>
          <cell r="L240" t="str">
            <v>CSE</v>
          </cell>
          <cell r="N240" t="str">
            <v>2</v>
          </cell>
          <cell r="O240">
            <v>38412</v>
          </cell>
          <cell r="T240">
            <v>39217</v>
          </cell>
          <cell r="V240">
            <v>1.4604159999999999</v>
          </cell>
          <cell r="X240">
            <v>2.7</v>
          </cell>
          <cell r="AD240">
            <v>35</v>
          </cell>
          <cell r="AO240">
            <v>2.1921329999999997</v>
          </cell>
        </row>
        <row r="241">
          <cell r="A241">
            <v>520062</v>
          </cell>
          <cell r="B241" t="str">
            <v>Closed</v>
          </cell>
          <cell r="C241" t="str">
            <v>Discovery</v>
          </cell>
          <cell r="L241" t="str">
            <v>MSE</v>
          </cell>
          <cell r="N241" t="str">
            <v>Discovery</v>
          </cell>
          <cell r="O241">
            <v>38018</v>
          </cell>
          <cell r="Q241">
            <v>38626</v>
          </cell>
          <cell r="V241">
            <v>0</v>
          </cell>
          <cell r="X241">
            <v>0</v>
          </cell>
          <cell r="AO241">
            <v>0</v>
          </cell>
        </row>
        <row r="242">
          <cell r="A242">
            <v>530097</v>
          </cell>
          <cell r="B242" t="str">
            <v>Open</v>
          </cell>
          <cell r="C242" t="str">
            <v>Apex</v>
          </cell>
          <cell r="I242" t="str">
            <v>Safety &amp; Protect</v>
          </cell>
          <cell r="L242" t="str">
            <v>CSE</v>
          </cell>
          <cell r="N242" t="str">
            <v>1</v>
          </cell>
          <cell r="O242">
            <v>37895</v>
          </cell>
          <cell r="V242">
            <v>0.14429800000000001</v>
          </cell>
          <cell r="X242">
            <v>0.05</v>
          </cell>
          <cell r="AD242">
            <v>0</v>
          </cell>
          <cell r="AO242">
            <v>0.86927200000000004</v>
          </cell>
        </row>
        <row r="243">
          <cell r="A243">
            <v>540050</v>
          </cell>
          <cell r="B243" t="str">
            <v>Graduate</v>
          </cell>
          <cell r="C243" t="str">
            <v>Apex</v>
          </cell>
          <cell r="I243" t="str">
            <v>Ag &amp; Nutrition</v>
          </cell>
          <cell r="L243" t="str">
            <v>BCSE</v>
          </cell>
          <cell r="N243" t="str">
            <v>1</v>
          </cell>
          <cell r="O243">
            <v>37865</v>
          </cell>
          <cell r="Q243">
            <v>38749</v>
          </cell>
          <cell r="V243">
            <v>0</v>
          </cell>
          <cell r="X243">
            <v>0</v>
          </cell>
          <cell r="AD243">
            <v>1.4213211916683077</v>
          </cell>
          <cell r="AO243">
            <v>2.8667000000000002E-2</v>
          </cell>
        </row>
        <row r="244">
          <cell r="A244">
            <v>530072</v>
          </cell>
          <cell r="B244" t="str">
            <v>Open</v>
          </cell>
          <cell r="C244" t="str">
            <v>Apex</v>
          </cell>
          <cell r="I244" t="str">
            <v>Ag &amp; Nutrition</v>
          </cell>
          <cell r="L244" t="str">
            <v>CSE</v>
          </cell>
          <cell r="N244" t="str">
            <v>1</v>
          </cell>
          <cell r="O244">
            <v>38200</v>
          </cell>
          <cell r="V244">
            <v>0.559751</v>
          </cell>
          <cell r="X244">
            <v>1.05</v>
          </cell>
          <cell r="AD244">
            <v>6.8</v>
          </cell>
          <cell r="AO244">
            <v>0.94562599999999997</v>
          </cell>
        </row>
        <row r="245">
          <cell r="A245">
            <v>540018</v>
          </cell>
          <cell r="B245" t="str">
            <v>Open</v>
          </cell>
          <cell r="C245" t="str">
            <v>Apex</v>
          </cell>
          <cell r="I245" t="str">
            <v>Bio-Based Matls</v>
          </cell>
          <cell r="L245" t="str">
            <v>BCSE</v>
          </cell>
          <cell r="N245" t="str">
            <v>2</v>
          </cell>
          <cell r="O245">
            <v>37347</v>
          </cell>
          <cell r="T245">
            <v>38702</v>
          </cell>
          <cell r="V245">
            <v>4.1674899999999999</v>
          </cell>
          <cell r="X245">
            <v>7.3143419999999999</v>
          </cell>
          <cell r="AD245">
            <v>17</v>
          </cell>
          <cell r="AO245">
            <v>4.7150210000000001</v>
          </cell>
        </row>
        <row r="246">
          <cell r="A246">
            <v>520087</v>
          </cell>
          <cell r="B246" t="str">
            <v>Open</v>
          </cell>
          <cell r="C246" t="str">
            <v>Apex</v>
          </cell>
          <cell r="I246" t="str">
            <v>Performance Matls</v>
          </cell>
          <cell r="L246" t="str">
            <v>MSE</v>
          </cell>
          <cell r="N246" t="str">
            <v>3</v>
          </cell>
          <cell r="O246">
            <v>37895</v>
          </cell>
          <cell r="T246">
            <v>38987</v>
          </cell>
          <cell r="U246">
            <v>38987</v>
          </cell>
          <cell r="V246">
            <v>2.1185900000000002</v>
          </cell>
          <cell r="X246">
            <v>2.6547579999999997</v>
          </cell>
          <cell r="AD246">
            <v>44</v>
          </cell>
          <cell r="AO246">
            <v>2.518799</v>
          </cell>
        </row>
        <row r="247">
          <cell r="A247">
            <v>520089</v>
          </cell>
          <cell r="B247" t="str">
            <v>Closed</v>
          </cell>
          <cell r="C247" t="str">
            <v>Apex</v>
          </cell>
          <cell r="I247" t="str">
            <v>Elect. &amp; Comm.</v>
          </cell>
          <cell r="L247" t="str">
            <v>MSE</v>
          </cell>
          <cell r="N247" t="str">
            <v>1</v>
          </cell>
          <cell r="O247">
            <v>37895</v>
          </cell>
          <cell r="Q247">
            <v>38626</v>
          </cell>
          <cell r="V247">
            <v>0</v>
          </cell>
          <cell r="X247">
            <v>0</v>
          </cell>
          <cell r="AD247">
            <v>5.4</v>
          </cell>
          <cell r="AO247">
            <v>0</v>
          </cell>
        </row>
        <row r="248">
          <cell r="A248">
            <v>520054</v>
          </cell>
          <cell r="B248" t="str">
            <v>Open</v>
          </cell>
          <cell r="C248" t="str">
            <v>Collaboration</v>
          </cell>
          <cell r="I248" t="str">
            <v>Elect. &amp; Comm.</v>
          </cell>
          <cell r="L248" t="str">
            <v>MSE</v>
          </cell>
          <cell r="N248" t="str">
            <v>Collaboration</v>
          </cell>
          <cell r="O248">
            <v>38200</v>
          </cell>
          <cell r="V248">
            <v>0.71308199999999999</v>
          </cell>
          <cell r="X248">
            <v>1.1478389999999998</v>
          </cell>
          <cell r="AD248">
            <v>5</v>
          </cell>
          <cell r="AO248">
            <v>0.867421</v>
          </cell>
        </row>
        <row r="249">
          <cell r="A249">
            <v>520037</v>
          </cell>
          <cell r="B249" t="str">
            <v>Closed</v>
          </cell>
          <cell r="C249" t="str">
            <v>Apex</v>
          </cell>
          <cell r="I249" t="str">
            <v>Elect. &amp; Comm.</v>
          </cell>
          <cell r="L249" t="str">
            <v>MSE</v>
          </cell>
          <cell r="N249" t="str">
            <v>1</v>
          </cell>
          <cell r="O249">
            <v>37622</v>
          </cell>
          <cell r="Q249">
            <v>38657</v>
          </cell>
          <cell r="V249">
            <v>0</v>
          </cell>
          <cell r="X249">
            <v>0</v>
          </cell>
          <cell r="AD249">
            <v>0</v>
          </cell>
          <cell r="AO249">
            <v>0.20608699999999999</v>
          </cell>
        </row>
        <row r="250">
          <cell r="A250">
            <v>520048</v>
          </cell>
          <cell r="B250" t="str">
            <v>Closed</v>
          </cell>
          <cell r="C250" t="str">
            <v>Discovery</v>
          </cell>
          <cell r="I250" t="str">
            <v>Elect. &amp; Comm.</v>
          </cell>
          <cell r="L250" t="str">
            <v>MSE</v>
          </cell>
          <cell r="N250" t="str">
            <v>Discovery</v>
          </cell>
          <cell r="O250">
            <v>37987</v>
          </cell>
          <cell r="Q250">
            <v>38991</v>
          </cell>
          <cell r="V250">
            <v>0</v>
          </cell>
          <cell r="X250">
            <v>0</v>
          </cell>
          <cell r="AO250">
            <v>0.15556399999999998</v>
          </cell>
        </row>
        <row r="251">
          <cell r="A251">
            <v>520075</v>
          </cell>
          <cell r="B251" t="str">
            <v>Closed</v>
          </cell>
          <cell r="C251" t="str">
            <v>Apex</v>
          </cell>
          <cell r="I251" t="str">
            <v>Elect. &amp; Comm.</v>
          </cell>
          <cell r="L251" t="str">
            <v>MSE</v>
          </cell>
          <cell r="N251" t="str">
            <v>1</v>
          </cell>
          <cell r="O251">
            <v>37803</v>
          </cell>
          <cell r="Q251">
            <v>39234</v>
          </cell>
          <cell r="V251">
            <v>0.56731500000000001</v>
          </cell>
          <cell r="X251">
            <v>2.6</v>
          </cell>
          <cell r="AD251">
            <v>6.2</v>
          </cell>
          <cell r="AO251">
            <v>1.8689310000000001</v>
          </cell>
        </row>
        <row r="252">
          <cell r="A252">
            <v>520024</v>
          </cell>
          <cell r="B252" t="str">
            <v>Closed</v>
          </cell>
          <cell r="C252" t="str">
            <v>Apex</v>
          </cell>
          <cell r="I252" t="str">
            <v>Elect. &amp; Comm.</v>
          </cell>
          <cell r="L252" t="str">
            <v>MSE</v>
          </cell>
          <cell r="N252" t="str">
            <v>1</v>
          </cell>
          <cell r="O252">
            <v>37316</v>
          </cell>
          <cell r="Q252">
            <v>38687</v>
          </cell>
          <cell r="V252">
            <v>0</v>
          </cell>
          <cell r="X252">
            <v>0</v>
          </cell>
          <cell r="AD252">
            <v>3.8</v>
          </cell>
          <cell r="AO252">
            <v>1.8704000000000002E-2</v>
          </cell>
        </row>
        <row r="253">
          <cell r="A253">
            <v>530058</v>
          </cell>
          <cell r="B253" t="str">
            <v>Graduate</v>
          </cell>
          <cell r="C253" t="str">
            <v>Collaboration</v>
          </cell>
          <cell r="I253" t="str">
            <v>Performance Matls</v>
          </cell>
          <cell r="L253" t="str">
            <v>CSE</v>
          </cell>
          <cell r="N253" t="str">
            <v>Collaboration</v>
          </cell>
          <cell r="O253">
            <v>38078</v>
          </cell>
          <cell r="Q253">
            <v>38991</v>
          </cell>
          <cell r="V253">
            <v>0</v>
          </cell>
          <cell r="X253">
            <v>0</v>
          </cell>
          <cell r="AD253">
            <v>50</v>
          </cell>
          <cell r="AO253">
            <v>0.34789600000000004</v>
          </cell>
        </row>
        <row r="254">
          <cell r="A254">
            <v>530063</v>
          </cell>
          <cell r="B254" t="str">
            <v>Graduate</v>
          </cell>
          <cell r="C254" t="str">
            <v>Collaboration</v>
          </cell>
          <cell r="I254" t="str">
            <v>Safety &amp; Protect</v>
          </cell>
          <cell r="L254" t="str">
            <v>CSE</v>
          </cell>
          <cell r="N254" t="str">
            <v>Collaboration</v>
          </cell>
          <cell r="O254">
            <v>38200</v>
          </cell>
          <cell r="Q254">
            <v>38991</v>
          </cell>
          <cell r="V254">
            <v>0</v>
          </cell>
          <cell r="X254">
            <v>0</v>
          </cell>
          <cell r="AD254">
            <v>50</v>
          </cell>
          <cell r="AO254">
            <v>0.77343700000000004</v>
          </cell>
        </row>
        <row r="255">
          <cell r="A255">
            <v>549013</v>
          </cell>
          <cell r="B255" t="str">
            <v>Open</v>
          </cell>
          <cell r="C255" t="str">
            <v>Apex</v>
          </cell>
          <cell r="I255" t="str">
            <v>Bio-Based Matls</v>
          </cell>
          <cell r="L255" t="str">
            <v>BCSE</v>
          </cell>
          <cell r="N255" t="str">
            <v>1</v>
          </cell>
          <cell r="O255">
            <v>38443</v>
          </cell>
          <cell r="V255">
            <v>1.3409680000000002</v>
          </cell>
          <cell r="X255">
            <v>1.1441839999999999</v>
          </cell>
          <cell r="AD255">
            <v>0</v>
          </cell>
          <cell r="AO255">
            <v>0.85262899999999997</v>
          </cell>
        </row>
        <row r="256">
          <cell r="A256">
            <v>540060</v>
          </cell>
          <cell r="B256" t="str">
            <v>Open</v>
          </cell>
          <cell r="C256" t="str">
            <v>Apex</v>
          </cell>
          <cell r="I256" t="str">
            <v>Bio-Based Matls</v>
          </cell>
          <cell r="L256" t="str">
            <v>BCSE</v>
          </cell>
          <cell r="N256" t="str">
            <v>1</v>
          </cell>
          <cell r="O256">
            <v>38139</v>
          </cell>
          <cell r="V256">
            <v>10.427455</v>
          </cell>
          <cell r="X256">
            <v>16.607785</v>
          </cell>
          <cell r="AD256">
            <v>101.8</v>
          </cell>
          <cell r="AO256">
            <v>11.936211</v>
          </cell>
        </row>
        <row r="257">
          <cell r="A257">
            <v>540025</v>
          </cell>
          <cell r="B257" t="str">
            <v>Open</v>
          </cell>
          <cell r="C257" t="str">
            <v>Apex</v>
          </cell>
          <cell r="I257" t="str">
            <v>Bio-Based Matls</v>
          </cell>
          <cell r="L257" t="str">
            <v>BCSE</v>
          </cell>
          <cell r="N257" t="str">
            <v>1</v>
          </cell>
          <cell r="O257">
            <v>36220</v>
          </cell>
          <cell r="V257">
            <v>2.265466</v>
          </cell>
          <cell r="X257">
            <v>4.5412330000000001</v>
          </cell>
          <cell r="AO257">
            <v>3.2643490000000002</v>
          </cell>
        </row>
        <row r="258">
          <cell r="A258">
            <v>530098</v>
          </cell>
          <cell r="B258" t="str">
            <v>Closed</v>
          </cell>
          <cell r="C258" t="str">
            <v>Discovery</v>
          </cell>
          <cell r="I258" t="str">
            <v>Performance Matls</v>
          </cell>
          <cell r="L258" t="str">
            <v>CSE</v>
          </cell>
          <cell r="N258" t="str">
            <v>Discovery</v>
          </cell>
          <cell r="O258">
            <v>38534</v>
          </cell>
          <cell r="Q258">
            <v>38749</v>
          </cell>
          <cell r="V258">
            <v>0</v>
          </cell>
          <cell r="X258">
            <v>0</v>
          </cell>
          <cell r="AO258">
            <v>3.2835000000000003E-2</v>
          </cell>
        </row>
        <row r="259">
          <cell r="A259">
            <v>530068</v>
          </cell>
          <cell r="B259" t="str">
            <v>Closed</v>
          </cell>
          <cell r="C259" t="str">
            <v>Apex</v>
          </cell>
          <cell r="I259" t="str">
            <v>Coatings &amp; Color</v>
          </cell>
          <cell r="L259" t="str">
            <v>CSE</v>
          </cell>
          <cell r="N259" t="str">
            <v>1</v>
          </cell>
          <cell r="O259">
            <v>38322</v>
          </cell>
          <cell r="Q259">
            <v>39052</v>
          </cell>
          <cell r="V259">
            <v>2.4510000000000001E-3</v>
          </cell>
          <cell r="X259">
            <v>0</v>
          </cell>
          <cell r="AD259">
            <v>1.2</v>
          </cell>
          <cell r="AO259">
            <v>0.91153399999999996</v>
          </cell>
        </row>
        <row r="260">
          <cell r="A260">
            <v>530085</v>
          </cell>
          <cell r="B260" t="str">
            <v>Graduate</v>
          </cell>
          <cell r="C260" t="str">
            <v>Collaboration</v>
          </cell>
          <cell r="I260" t="str">
            <v>Safety &amp; Protect</v>
          </cell>
          <cell r="L260" t="str">
            <v>CSE</v>
          </cell>
          <cell r="N260" t="str">
            <v>Collaboration</v>
          </cell>
          <cell r="O260">
            <v>38200</v>
          </cell>
          <cell r="Q260">
            <v>38687</v>
          </cell>
          <cell r="V260">
            <v>0</v>
          </cell>
          <cell r="X260">
            <v>0</v>
          </cell>
          <cell r="AD260">
            <v>40</v>
          </cell>
          <cell r="AO260">
            <v>8.208E-3</v>
          </cell>
        </row>
        <row r="261">
          <cell r="A261">
            <v>530088</v>
          </cell>
          <cell r="B261" t="str">
            <v>Closed</v>
          </cell>
          <cell r="C261" t="str">
            <v>Discovery</v>
          </cell>
          <cell r="I261" t="str">
            <v>Performance Matls</v>
          </cell>
          <cell r="L261" t="str">
            <v>CSE</v>
          </cell>
          <cell r="N261" t="str">
            <v>Discovery</v>
          </cell>
          <cell r="O261">
            <v>38473</v>
          </cell>
          <cell r="Q261">
            <v>38777</v>
          </cell>
          <cell r="V261">
            <v>0</v>
          </cell>
          <cell r="X261">
            <v>0</v>
          </cell>
          <cell r="AD261">
            <v>0</v>
          </cell>
          <cell r="AO261">
            <v>2.7161999999999999E-2</v>
          </cell>
        </row>
        <row r="262">
          <cell r="A262">
            <v>520034</v>
          </cell>
          <cell r="B262" t="str">
            <v>Closed</v>
          </cell>
          <cell r="C262" t="str">
            <v>Collaboration</v>
          </cell>
          <cell r="I262" t="str">
            <v>Elect. &amp; Comm.</v>
          </cell>
          <cell r="L262" t="str">
            <v>MSE</v>
          </cell>
          <cell r="N262" t="str">
            <v>Collaboration</v>
          </cell>
          <cell r="O262">
            <v>37530</v>
          </cell>
          <cell r="Q262">
            <v>39295</v>
          </cell>
          <cell r="V262">
            <v>1.9250229999999999</v>
          </cell>
          <cell r="X262">
            <v>1.5678619999999996</v>
          </cell>
          <cell r="AD262">
            <v>25</v>
          </cell>
          <cell r="AO262">
            <v>3.943632</v>
          </cell>
        </row>
        <row r="263">
          <cell r="A263">
            <v>520049</v>
          </cell>
          <cell r="B263" t="str">
            <v>Closed</v>
          </cell>
          <cell r="C263" t="str">
            <v>Apex</v>
          </cell>
          <cell r="I263" t="str">
            <v>Safety &amp; Protect</v>
          </cell>
          <cell r="L263" t="str">
            <v>MSE</v>
          </cell>
          <cell r="N263" t="str">
            <v>1</v>
          </cell>
          <cell r="O263">
            <v>38108</v>
          </cell>
          <cell r="Q263">
            <v>38838</v>
          </cell>
          <cell r="V263">
            <v>0</v>
          </cell>
          <cell r="X263">
            <v>0</v>
          </cell>
          <cell r="AD263">
            <v>0.6</v>
          </cell>
          <cell r="AO263">
            <v>8.9244000000000004E-2</v>
          </cell>
        </row>
        <row r="264">
          <cell r="A264">
            <v>540038</v>
          </cell>
          <cell r="B264" t="str">
            <v>Open</v>
          </cell>
          <cell r="C264" t="str">
            <v>Apex</v>
          </cell>
          <cell r="I264" t="str">
            <v>Bio-Based Matls</v>
          </cell>
          <cell r="L264" t="str">
            <v>BCSE</v>
          </cell>
          <cell r="N264" t="str">
            <v>2</v>
          </cell>
          <cell r="O264">
            <v>37469</v>
          </cell>
          <cell r="T264">
            <v>38302</v>
          </cell>
          <cell r="V264">
            <v>3.3940100000000002</v>
          </cell>
          <cell r="X264">
            <v>5.458882</v>
          </cell>
          <cell r="AD264">
            <v>37</v>
          </cell>
          <cell r="AO264">
            <v>3.716453</v>
          </cell>
        </row>
        <row r="265">
          <cell r="A265">
            <v>530047</v>
          </cell>
          <cell r="B265" t="str">
            <v>Graduate</v>
          </cell>
          <cell r="C265" t="str">
            <v>Collaboration</v>
          </cell>
          <cell r="I265" t="str">
            <v>Performance Matls</v>
          </cell>
          <cell r="L265" t="str">
            <v>CSE</v>
          </cell>
          <cell r="N265" t="str">
            <v>Collaboration</v>
          </cell>
          <cell r="O265">
            <v>38078</v>
          </cell>
          <cell r="Q265">
            <v>38657</v>
          </cell>
          <cell r="V265">
            <v>0</v>
          </cell>
          <cell r="X265">
            <v>0</v>
          </cell>
          <cell r="AD265">
            <v>89.178569858397225</v>
          </cell>
          <cell r="AO265">
            <v>0</v>
          </cell>
        </row>
        <row r="266">
          <cell r="A266">
            <v>530050</v>
          </cell>
          <cell r="B266" t="str">
            <v>Graduate</v>
          </cell>
          <cell r="C266" t="str">
            <v>Apex</v>
          </cell>
          <cell r="I266" t="str">
            <v>Safety &amp; Protect</v>
          </cell>
          <cell r="L266" t="str">
            <v>CSE</v>
          </cell>
          <cell r="N266" t="str">
            <v>1</v>
          </cell>
          <cell r="O266">
            <v>37803</v>
          </cell>
          <cell r="Q266">
            <v>38718</v>
          </cell>
          <cell r="V266">
            <v>0</v>
          </cell>
          <cell r="X266">
            <v>0</v>
          </cell>
          <cell r="AD266">
            <v>4.5999999999999996</v>
          </cell>
          <cell r="AO266">
            <v>7.6559999999999996E-3</v>
          </cell>
        </row>
        <row r="267">
          <cell r="A267">
            <v>530083</v>
          </cell>
          <cell r="B267" t="str">
            <v>Open</v>
          </cell>
          <cell r="C267" t="str">
            <v>Collaboration</v>
          </cell>
          <cell r="I267" t="str">
            <v>Elect. &amp; Comm.</v>
          </cell>
          <cell r="L267" t="str">
            <v>CSE</v>
          </cell>
          <cell r="N267" t="str">
            <v>Collaboration</v>
          </cell>
          <cell r="O267">
            <v>38504</v>
          </cell>
          <cell r="V267">
            <v>0.485599</v>
          </cell>
          <cell r="X267">
            <v>0.75</v>
          </cell>
          <cell r="AD267">
            <v>35</v>
          </cell>
          <cell r="AO267">
            <v>0.78018499999999991</v>
          </cell>
        </row>
        <row r="268">
          <cell r="A268">
            <v>530095</v>
          </cell>
          <cell r="B268" t="str">
            <v>Closed</v>
          </cell>
          <cell r="C268" t="str">
            <v>Collaboration</v>
          </cell>
          <cell r="I268" t="str">
            <v>Coatings &amp; Color</v>
          </cell>
          <cell r="L268" t="str">
            <v>CSE</v>
          </cell>
          <cell r="N268" t="str">
            <v>Collaboration</v>
          </cell>
          <cell r="O268">
            <v>38473</v>
          </cell>
          <cell r="Q268">
            <v>38657</v>
          </cell>
          <cell r="V268">
            <v>0</v>
          </cell>
          <cell r="X268">
            <v>0</v>
          </cell>
          <cell r="AO268">
            <v>0</v>
          </cell>
        </row>
        <row r="269">
          <cell r="A269">
            <v>530084</v>
          </cell>
          <cell r="B269" t="str">
            <v>Closed</v>
          </cell>
          <cell r="C269" t="str">
            <v>Collaboration</v>
          </cell>
          <cell r="I269" t="str">
            <v>Safety &amp; Protect</v>
          </cell>
          <cell r="L269" t="str">
            <v>CSE</v>
          </cell>
          <cell r="N269" t="str">
            <v>Collaboration</v>
          </cell>
          <cell r="O269">
            <v>38473</v>
          </cell>
          <cell r="Q269">
            <v>38749</v>
          </cell>
          <cell r="V269">
            <v>0</v>
          </cell>
          <cell r="X269">
            <v>0</v>
          </cell>
          <cell r="AD269">
            <v>5</v>
          </cell>
          <cell r="AO269">
            <v>8.8999999999999995E-5</v>
          </cell>
        </row>
        <row r="270">
          <cell r="A270">
            <v>530091</v>
          </cell>
          <cell r="B270" t="str">
            <v>Graduate</v>
          </cell>
          <cell r="C270" t="str">
            <v>Collaboration</v>
          </cell>
          <cell r="I270" t="str">
            <v>Coatings &amp; Color</v>
          </cell>
          <cell r="L270" t="str">
            <v>CSE</v>
          </cell>
          <cell r="N270" t="str">
            <v>Collaboration</v>
          </cell>
          <cell r="O270">
            <v>38473</v>
          </cell>
          <cell r="Q270">
            <v>38718</v>
          </cell>
          <cell r="V270">
            <v>0</v>
          </cell>
          <cell r="X270">
            <v>0</v>
          </cell>
          <cell r="AD270">
            <v>1.38</v>
          </cell>
          <cell r="AO270">
            <v>1.2489999999999999E-2</v>
          </cell>
        </row>
        <row r="271">
          <cell r="A271">
            <v>520052</v>
          </cell>
          <cell r="B271" t="str">
            <v>Closed</v>
          </cell>
          <cell r="C271" t="str">
            <v>Apex</v>
          </cell>
          <cell r="I271" t="str">
            <v>Elect. &amp; Comm.</v>
          </cell>
          <cell r="L271" t="str">
            <v>MSE</v>
          </cell>
          <cell r="N271" t="str">
            <v>1</v>
          </cell>
          <cell r="O271">
            <v>38018</v>
          </cell>
          <cell r="Q271">
            <v>38718</v>
          </cell>
          <cell r="V271">
            <v>0</v>
          </cell>
          <cell r="X271">
            <v>0</v>
          </cell>
          <cell r="AD271">
            <v>1.8</v>
          </cell>
          <cell r="AO271">
            <v>4.4825999999999998E-2</v>
          </cell>
        </row>
        <row r="272">
          <cell r="A272">
            <v>530073</v>
          </cell>
          <cell r="B272" t="str">
            <v>Graduate</v>
          </cell>
          <cell r="C272" t="str">
            <v>Collaboration</v>
          </cell>
          <cell r="I272" t="str">
            <v>Bio-Based Matls</v>
          </cell>
          <cell r="L272" t="str">
            <v>CSE</v>
          </cell>
          <cell r="N272" t="str">
            <v>Collaboration</v>
          </cell>
          <cell r="O272">
            <v>38412</v>
          </cell>
          <cell r="Q272">
            <v>39114</v>
          </cell>
          <cell r="V272">
            <v>2.0215E-2</v>
          </cell>
          <cell r="X272">
            <v>0</v>
          </cell>
          <cell r="AD272">
            <v>55</v>
          </cell>
          <cell r="AO272">
            <v>0.29525899999999999</v>
          </cell>
        </row>
        <row r="273">
          <cell r="A273">
            <v>520059</v>
          </cell>
          <cell r="B273" t="str">
            <v>Open</v>
          </cell>
          <cell r="C273" t="str">
            <v>Apex</v>
          </cell>
          <cell r="I273" t="str">
            <v>Elect. &amp; Comm.</v>
          </cell>
          <cell r="L273" t="str">
            <v>MSE</v>
          </cell>
          <cell r="N273" t="str">
            <v>1</v>
          </cell>
          <cell r="O273">
            <v>38384</v>
          </cell>
          <cell r="V273">
            <v>1E-4</v>
          </cell>
          <cell r="X273">
            <v>0</v>
          </cell>
          <cell r="AD273">
            <v>5.2</v>
          </cell>
          <cell r="AO273">
            <v>0.207755</v>
          </cell>
        </row>
        <row r="274">
          <cell r="A274">
            <v>520036</v>
          </cell>
          <cell r="B274" t="str">
            <v>Closed</v>
          </cell>
          <cell r="C274" t="str">
            <v>Collaboration</v>
          </cell>
          <cell r="I274" t="str">
            <v>Other</v>
          </cell>
          <cell r="L274" t="str">
            <v>MSE</v>
          </cell>
          <cell r="N274" t="str">
            <v>Collaboration</v>
          </cell>
          <cell r="O274">
            <v>37622</v>
          </cell>
          <cell r="Q274">
            <v>38718</v>
          </cell>
          <cell r="V274">
            <v>0</v>
          </cell>
          <cell r="X274">
            <v>0</v>
          </cell>
          <cell r="AD274">
            <v>1.05</v>
          </cell>
          <cell r="AO274">
            <v>2.1672999999999998E-2</v>
          </cell>
        </row>
        <row r="275">
          <cell r="A275">
            <v>530069</v>
          </cell>
          <cell r="B275" t="str">
            <v>Open</v>
          </cell>
          <cell r="C275" t="str">
            <v>Apex</v>
          </cell>
          <cell r="I275" t="str">
            <v>Coatings &amp; Color</v>
          </cell>
          <cell r="L275" t="str">
            <v>CSE</v>
          </cell>
          <cell r="N275" t="str">
            <v>1</v>
          </cell>
          <cell r="O275">
            <v>38384</v>
          </cell>
          <cell r="V275">
            <v>0.70046900000000001</v>
          </cell>
          <cell r="X275">
            <v>1.03</v>
          </cell>
          <cell r="AD275">
            <v>4.9400000000000004</v>
          </cell>
          <cell r="AO275">
            <v>1.009873</v>
          </cell>
        </row>
        <row r="276">
          <cell r="A276">
            <v>530020</v>
          </cell>
          <cell r="B276" t="str">
            <v>Open</v>
          </cell>
          <cell r="C276" t="str">
            <v>Apex</v>
          </cell>
          <cell r="I276" t="str">
            <v>Ag &amp; Nutrition</v>
          </cell>
          <cell r="L276" t="str">
            <v>CSE</v>
          </cell>
          <cell r="N276" t="str">
            <v>2</v>
          </cell>
          <cell r="O276">
            <v>37257</v>
          </cell>
          <cell r="T276">
            <v>39260</v>
          </cell>
          <cell r="V276">
            <v>0.44981599999999999</v>
          </cell>
          <cell r="X276">
            <v>0.4</v>
          </cell>
          <cell r="AD276">
            <v>10</v>
          </cell>
          <cell r="AO276">
            <v>0.43671100000000002</v>
          </cell>
        </row>
        <row r="277">
          <cell r="A277">
            <v>530094</v>
          </cell>
          <cell r="B277" t="str">
            <v>Open</v>
          </cell>
          <cell r="C277" t="str">
            <v>Collaboration</v>
          </cell>
          <cell r="I277" t="str">
            <v>Bio-Based Matls</v>
          </cell>
          <cell r="L277" t="str">
            <v>CSE</v>
          </cell>
          <cell r="N277" t="str">
            <v>Collaboration</v>
          </cell>
          <cell r="O277">
            <v>38565</v>
          </cell>
          <cell r="V277">
            <v>1.8133869999999999</v>
          </cell>
          <cell r="X277">
            <v>2.6</v>
          </cell>
          <cell r="AD277">
            <v>120</v>
          </cell>
          <cell r="AO277">
            <v>1.8870419999999999</v>
          </cell>
        </row>
        <row r="278">
          <cell r="A278">
            <v>530096</v>
          </cell>
          <cell r="B278" t="str">
            <v>Open</v>
          </cell>
          <cell r="C278" t="str">
            <v>Apex</v>
          </cell>
          <cell r="I278" t="str">
            <v>Performance Matls</v>
          </cell>
          <cell r="L278" t="str">
            <v>CSE</v>
          </cell>
          <cell r="N278" t="str">
            <v>1</v>
          </cell>
          <cell r="O278">
            <v>38565</v>
          </cell>
          <cell r="V278">
            <v>0.86152200000000001</v>
          </cell>
          <cell r="X278">
            <v>1.21</v>
          </cell>
          <cell r="AD278">
            <v>3.8</v>
          </cell>
          <cell r="AO278">
            <v>1.1383889999999999</v>
          </cell>
        </row>
        <row r="279">
          <cell r="A279">
            <v>530079</v>
          </cell>
          <cell r="B279" t="str">
            <v>Open</v>
          </cell>
          <cell r="C279" t="str">
            <v>Apex</v>
          </cell>
          <cell r="I279" t="str">
            <v>Safety &amp; Protect</v>
          </cell>
          <cell r="L279" t="str">
            <v>CSE</v>
          </cell>
          <cell r="N279" t="str">
            <v>2</v>
          </cell>
          <cell r="O279">
            <v>38473</v>
          </cell>
          <cell r="T279">
            <v>39028</v>
          </cell>
          <cell r="V279">
            <v>1.546522</v>
          </cell>
          <cell r="X279">
            <v>2.35</v>
          </cell>
          <cell r="AD279">
            <v>6</v>
          </cell>
          <cell r="AO279">
            <v>1.733139</v>
          </cell>
        </row>
        <row r="280">
          <cell r="A280">
            <v>540058</v>
          </cell>
          <cell r="B280" t="str">
            <v>Closed</v>
          </cell>
          <cell r="C280" t="str">
            <v>Collaboration</v>
          </cell>
          <cell r="I280" t="str">
            <v>Ag &amp; Nutrition</v>
          </cell>
          <cell r="L280" t="str">
            <v>BCSE</v>
          </cell>
          <cell r="N280" t="str">
            <v>Collaboration</v>
          </cell>
          <cell r="O280">
            <v>38596</v>
          </cell>
          <cell r="Q280">
            <v>38749</v>
          </cell>
          <cell r="V280">
            <v>0</v>
          </cell>
          <cell r="X280">
            <v>0</v>
          </cell>
          <cell r="AO280">
            <v>0</v>
          </cell>
        </row>
        <row r="281">
          <cell r="A281">
            <v>530100</v>
          </cell>
          <cell r="B281" t="str">
            <v>Open</v>
          </cell>
          <cell r="C281" t="str">
            <v>Apex</v>
          </cell>
          <cell r="I281" t="str">
            <v>Safety &amp; Protect</v>
          </cell>
          <cell r="L281" t="str">
            <v>CSE</v>
          </cell>
          <cell r="N281" t="str">
            <v>1</v>
          </cell>
          <cell r="O281">
            <v>38596</v>
          </cell>
          <cell r="V281">
            <v>0.212172</v>
          </cell>
          <cell r="X281">
            <v>0.188</v>
          </cell>
          <cell r="AO281">
            <v>1.5269000000000001</v>
          </cell>
        </row>
        <row r="282">
          <cell r="A282">
            <v>530101</v>
          </cell>
          <cell r="B282" t="str">
            <v>Open</v>
          </cell>
          <cell r="C282" t="str">
            <v>Collaboration</v>
          </cell>
          <cell r="I282" t="str">
            <v>Bio-Based Matls</v>
          </cell>
          <cell r="L282" t="str">
            <v>CSE</v>
          </cell>
          <cell r="N282" t="str">
            <v>Collaboration</v>
          </cell>
          <cell r="O282">
            <v>38626</v>
          </cell>
          <cell r="V282">
            <v>0.88353599999999999</v>
          </cell>
          <cell r="X282">
            <v>1.05</v>
          </cell>
          <cell r="AD282">
            <v>0</v>
          </cell>
          <cell r="AO282">
            <v>0.931871</v>
          </cell>
        </row>
        <row r="283">
          <cell r="A283">
            <v>530105</v>
          </cell>
          <cell r="B283" t="str">
            <v>Open</v>
          </cell>
          <cell r="C283" t="str">
            <v>Apex</v>
          </cell>
          <cell r="I283" t="str">
            <v>Performance Matls</v>
          </cell>
          <cell r="L283" t="str">
            <v>CSE</v>
          </cell>
          <cell r="N283" t="str">
            <v>2</v>
          </cell>
          <cell r="O283">
            <v>38626</v>
          </cell>
          <cell r="T283">
            <v>39063</v>
          </cell>
          <cell r="V283">
            <v>3.1440600000000001</v>
          </cell>
          <cell r="X283">
            <v>4.7720000000000002</v>
          </cell>
          <cell r="AD283">
            <v>12</v>
          </cell>
          <cell r="AO283">
            <v>2.9894850000000002</v>
          </cell>
        </row>
        <row r="284">
          <cell r="A284">
            <v>520064</v>
          </cell>
          <cell r="B284" t="str">
            <v>Graduate</v>
          </cell>
          <cell r="C284" t="str">
            <v>Discovery</v>
          </cell>
          <cell r="I284" t="str">
            <v>Elect. &amp; Comm.</v>
          </cell>
          <cell r="L284" t="str">
            <v>MSE</v>
          </cell>
          <cell r="N284" t="str">
            <v>Discovery</v>
          </cell>
          <cell r="O284">
            <v>38626</v>
          </cell>
          <cell r="Q284">
            <v>38961</v>
          </cell>
          <cell r="V284">
            <v>0</v>
          </cell>
          <cell r="X284">
            <v>0</v>
          </cell>
          <cell r="AD284">
            <v>0</v>
          </cell>
          <cell r="AO284">
            <v>0.33935799999999999</v>
          </cell>
        </row>
        <row r="285">
          <cell r="A285">
            <v>520071</v>
          </cell>
          <cell r="B285" t="str">
            <v>Open</v>
          </cell>
          <cell r="C285" t="str">
            <v>Apex</v>
          </cell>
          <cell r="I285" t="str">
            <v>Elect. &amp; Comm.</v>
          </cell>
          <cell r="L285" t="str">
            <v>MSE</v>
          </cell>
          <cell r="N285" t="str">
            <v>1</v>
          </cell>
          <cell r="O285">
            <v>38626</v>
          </cell>
          <cell r="V285">
            <v>0.56808799999999993</v>
          </cell>
          <cell r="X285">
            <v>0.99703799999999998</v>
          </cell>
          <cell r="AD285">
            <v>11</v>
          </cell>
          <cell r="AO285">
            <v>0.98445700000000003</v>
          </cell>
        </row>
        <row r="286">
          <cell r="A286">
            <v>520066</v>
          </cell>
          <cell r="B286" t="str">
            <v>Graduate</v>
          </cell>
          <cell r="C286" t="str">
            <v>Collaboration</v>
          </cell>
          <cell r="I286" t="str">
            <v>Ag &amp; Nutrition</v>
          </cell>
          <cell r="L286" t="str">
            <v>MSE</v>
          </cell>
          <cell r="N286" t="str">
            <v>Collaboration</v>
          </cell>
          <cell r="O286">
            <v>38626</v>
          </cell>
          <cell r="Q286">
            <v>39114</v>
          </cell>
          <cell r="V286">
            <v>0.14641599999999999</v>
          </cell>
          <cell r="X286">
            <v>0.60068299999999997</v>
          </cell>
          <cell r="AD286">
            <v>115</v>
          </cell>
          <cell r="AO286">
            <v>0.67862500000000003</v>
          </cell>
        </row>
        <row r="287">
          <cell r="A287">
            <v>530102</v>
          </cell>
          <cell r="B287" t="str">
            <v>Closed</v>
          </cell>
          <cell r="C287" t="str">
            <v>Discovery</v>
          </cell>
          <cell r="I287" t="str">
            <v>Safety &amp; Protect</v>
          </cell>
          <cell r="L287" t="str">
            <v>CSE</v>
          </cell>
          <cell r="N287" t="str">
            <v>Discovery</v>
          </cell>
          <cell r="O287">
            <v>38657</v>
          </cell>
          <cell r="Q287">
            <v>39114</v>
          </cell>
          <cell r="V287">
            <v>1.3722E-2</v>
          </cell>
          <cell r="X287">
            <v>0</v>
          </cell>
          <cell r="AD287">
            <v>0</v>
          </cell>
          <cell r="AO287">
            <v>0.50647699999999996</v>
          </cell>
        </row>
        <row r="288">
          <cell r="A288">
            <v>530110</v>
          </cell>
          <cell r="B288" t="str">
            <v>Open</v>
          </cell>
          <cell r="C288" t="str">
            <v>Collaboration</v>
          </cell>
          <cell r="I288" t="str">
            <v>Safety &amp; Protect</v>
          </cell>
          <cell r="L288" t="str">
            <v>CSE</v>
          </cell>
          <cell r="N288" t="str">
            <v>Collaboration</v>
          </cell>
          <cell r="O288">
            <v>38657</v>
          </cell>
          <cell r="V288">
            <v>0.84292699999999998</v>
          </cell>
          <cell r="X288">
            <v>1.1000000000000001</v>
          </cell>
          <cell r="AD288">
            <v>10</v>
          </cell>
          <cell r="AO288">
            <v>1.8173030000000001</v>
          </cell>
        </row>
        <row r="289">
          <cell r="A289">
            <v>549005</v>
          </cell>
          <cell r="B289" t="str">
            <v>Open</v>
          </cell>
          <cell r="C289" t="str">
            <v>Collaboration</v>
          </cell>
          <cell r="I289" t="str">
            <v>Bio-Based Matls</v>
          </cell>
          <cell r="L289" t="str">
            <v>BCSE</v>
          </cell>
          <cell r="N289" t="str">
            <v>Collaboration</v>
          </cell>
          <cell r="O289">
            <v>36526</v>
          </cell>
          <cell r="V289">
            <v>0</v>
          </cell>
          <cell r="X289">
            <v>1.35E-4</v>
          </cell>
          <cell r="AO289">
            <v>0.780694</v>
          </cell>
        </row>
        <row r="290">
          <cell r="A290">
            <v>530099</v>
          </cell>
          <cell r="B290" t="str">
            <v>Open</v>
          </cell>
          <cell r="C290" t="str">
            <v>Collaboration</v>
          </cell>
          <cell r="I290" t="str">
            <v>Bio-Based Matls</v>
          </cell>
          <cell r="L290" t="str">
            <v>CSE</v>
          </cell>
          <cell r="N290" t="str">
            <v>Collaboration</v>
          </cell>
          <cell r="O290">
            <v>38034</v>
          </cell>
          <cell r="V290">
            <v>1.9997829999999999</v>
          </cell>
          <cell r="X290">
            <v>3.2</v>
          </cell>
          <cell r="AD290">
            <v>0</v>
          </cell>
          <cell r="AO290">
            <v>2.3637920000000001</v>
          </cell>
        </row>
        <row r="291">
          <cell r="A291">
            <v>540061</v>
          </cell>
          <cell r="B291" t="str">
            <v>Closed</v>
          </cell>
          <cell r="C291" t="str">
            <v>Discovery</v>
          </cell>
          <cell r="I291" t="str">
            <v>Safety &amp; Protect</v>
          </cell>
          <cell r="L291" t="str">
            <v>BCSE</v>
          </cell>
          <cell r="N291" t="str">
            <v>Discovery</v>
          </cell>
          <cell r="O291">
            <v>38687</v>
          </cell>
          <cell r="Q291">
            <v>39173</v>
          </cell>
          <cell r="V291">
            <v>6.1670999999999997E-2</v>
          </cell>
          <cell r="X291">
            <v>6.1670999999999997E-2</v>
          </cell>
          <cell r="AD291">
            <v>0</v>
          </cell>
          <cell r="AO291">
            <v>0.57020199999999999</v>
          </cell>
        </row>
        <row r="292">
          <cell r="A292">
            <v>520067</v>
          </cell>
          <cell r="B292" t="str">
            <v>Closed</v>
          </cell>
          <cell r="C292" t="str">
            <v>Collaboration</v>
          </cell>
          <cell r="I292" t="str">
            <v>Elect. &amp; Comm.</v>
          </cell>
          <cell r="L292" t="str">
            <v>MSE</v>
          </cell>
          <cell r="N292" t="str">
            <v>Collaboration</v>
          </cell>
          <cell r="O292">
            <v>38687</v>
          </cell>
          <cell r="Q292">
            <v>38930</v>
          </cell>
          <cell r="V292">
            <v>0</v>
          </cell>
          <cell r="X292">
            <v>0</v>
          </cell>
          <cell r="AD292">
            <v>20</v>
          </cell>
          <cell r="AO292">
            <v>0.75149999999999995</v>
          </cell>
        </row>
        <row r="293">
          <cell r="A293">
            <v>530104</v>
          </cell>
          <cell r="B293" t="str">
            <v>Open</v>
          </cell>
          <cell r="C293" t="str">
            <v>Apex</v>
          </cell>
          <cell r="I293" t="str">
            <v>Safety &amp; Protect</v>
          </cell>
          <cell r="L293" t="str">
            <v>CSE</v>
          </cell>
          <cell r="N293" t="str">
            <v>2</v>
          </cell>
          <cell r="O293">
            <v>38718</v>
          </cell>
          <cell r="T293">
            <v>39260</v>
          </cell>
          <cell r="V293">
            <v>1.4961990000000001</v>
          </cell>
          <cell r="X293">
            <v>2.1</v>
          </cell>
          <cell r="AD293">
            <v>6</v>
          </cell>
          <cell r="AO293">
            <v>1.5867390000000001</v>
          </cell>
        </row>
        <row r="294">
          <cell r="A294">
            <v>530108</v>
          </cell>
          <cell r="B294" t="str">
            <v>Closed</v>
          </cell>
          <cell r="C294" t="str">
            <v>Collaboration</v>
          </cell>
          <cell r="I294" t="str">
            <v>Coatings &amp; Color</v>
          </cell>
          <cell r="L294" t="str">
            <v>CSE</v>
          </cell>
          <cell r="N294" t="str">
            <v>Collaboration</v>
          </cell>
          <cell r="O294">
            <v>38718</v>
          </cell>
          <cell r="Q294">
            <v>39173</v>
          </cell>
          <cell r="V294">
            <v>0.25532199999999999</v>
          </cell>
          <cell r="X294">
            <v>0.5</v>
          </cell>
          <cell r="AD294">
            <v>0</v>
          </cell>
          <cell r="AO294">
            <v>1.0291379999999999</v>
          </cell>
        </row>
        <row r="295">
          <cell r="A295">
            <v>530111</v>
          </cell>
          <cell r="B295" t="str">
            <v>Open</v>
          </cell>
          <cell r="C295" t="str">
            <v>Apex</v>
          </cell>
          <cell r="I295" t="str">
            <v>Performance Matls</v>
          </cell>
          <cell r="L295" t="str">
            <v>CSE</v>
          </cell>
          <cell r="N295" t="str">
            <v>1</v>
          </cell>
          <cell r="O295">
            <v>38718</v>
          </cell>
          <cell r="V295">
            <v>2.0488569999999999</v>
          </cell>
          <cell r="X295">
            <v>2.7</v>
          </cell>
          <cell r="AD295">
            <v>1</v>
          </cell>
          <cell r="AO295">
            <v>2.3609689999999999</v>
          </cell>
        </row>
        <row r="296">
          <cell r="A296">
            <v>530115</v>
          </cell>
          <cell r="B296" t="str">
            <v>Open</v>
          </cell>
          <cell r="C296" t="str">
            <v>Apex</v>
          </cell>
          <cell r="I296" t="str">
            <v>Elect. &amp; Comm.</v>
          </cell>
          <cell r="L296" t="str">
            <v>CSE</v>
          </cell>
          <cell r="N296" t="str">
            <v>1</v>
          </cell>
          <cell r="O296">
            <v>38718</v>
          </cell>
          <cell r="V296">
            <v>1.2435769999999999</v>
          </cell>
          <cell r="X296">
            <v>1.9</v>
          </cell>
          <cell r="AD296">
            <v>12.6</v>
          </cell>
          <cell r="AO296">
            <v>1.95953</v>
          </cell>
        </row>
        <row r="297">
          <cell r="A297">
            <v>520073</v>
          </cell>
          <cell r="B297" t="str">
            <v>Open</v>
          </cell>
          <cell r="C297" t="str">
            <v>Apex</v>
          </cell>
          <cell r="I297" t="str">
            <v>Elect. &amp; Comm.</v>
          </cell>
          <cell r="L297" t="str">
            <v>MSE</v>
          </cell>
          <cell r="N297" t="str">
            <v>1</v>
          </cell>
          <cell r="O297">
            <v>38718</v>
          </cell>
          <cell r="V297">
            <v>2.0408810000000002</v>
          </cell>
          <cell r="X297">
            <v>1.8</v>
          </cell>
          <cell r="AD297">
            <v>15</v>
          </cell>
          <cell r="AO297">
            <v>1.0797829999999999</v>
          </cell>
        </row>
        <row r="298">
          <cell r="A298">
            <v>540066</v>
          </cell>
          <cell r="B298" t="str">
            <v>Open</v>
          </cell>
          <cell r="C298" t="str">
            <v>Collaboration</v>
          </cell>
          <cell r="I298" t="str">
            <v>Bio-Based Matls</v>
          </cell>
          <cell r="L298" t="str">
            <v>BCSE</v>
          </cell>
          <cell r="N298" t="str">
            <v>Collaboration</v>
          </cell>
          <cell r="O298">
            <v>38718</v>
          </cell>
          <cell r="V298">
            <v>0.47623700000000002</v>
          </cell>
          <cell r="X298">
            <v>0.41248200000000002</v>
          </cell>
          <cell r="AD298">
            <v>25</v>
          </cell>
          <cell r="AO298">
            <v>0.806315</v>
          </cell>
        </row>
        <row r="299">
          <cell r="A299">
            <v>530106</v>
          </cell>
          <cell r="B299" t="str">
            <v>Open</v>
          </cell>
          <cell r="C299" t="str">
            <v>Collaboration</v>
          </cell>
          <cell r="I299" t="str">
            <v>Safety &amp; Protect</v>
          </cell>
          <cell r="L299" t="str">
            <v>CSE</v>
          </cell>
          <cell r="N299" t="str">
            <v>Collaboration</v>
          </cell>
          <cell r="O299">
            <v>38749</v>
          </cell>
          <cell r="V299">
            <v>0</v>
          </cell>
          <cell r="X299">
            <v>0</v>
          </cell>
          <cell r="AO299">
            <v>0.157831</v>
          </cell>
        </row>
        <row r="300">
          <cell r="A300">
            <v>530112</v>
          </cell>
          <cell r="B300" t="str">
            <v>Graduate</v>
          </cell>
          <cell r="C300" t="str">
            <v>Collaboration</v>
          </cell>
          <cell r="I300" t="str">
            <v>Safety &amp; Protect</v>
          </cell>
          <cell r="L300" t="str">
            <v>CSE</v>
          </cell>
          <cell r="N300" t="str">
            <v>Collaboration</v>
          </cell>
          <cell r="O300">
            <v>38749</v>
          </cell>
          <cell r="Q300">
            <v>38930</v>
          </cell>
          <cell r="V300">
            <v>0</v>
          </cell>
          <cell r="X300">
            <v>0</v>
          </cell>
          <cell r="AD300">
            <v>1.5</v>
          </cell>
          <cell r="AO300">
            <v>0.11472499999999999</v>
          </cell>
        </row>
        <row r="301">
          <cell r="A301">
            <v>540070</v>
          </cell>
          <cell r="B301" t="str">
            <v>Graduate</v>
          </cell>
          <cell r="C301" t="str">
            <v>Collaboration</v>
          </cell>
          <cell r="I301" t="str">
            <v>Bio-Based Matls</v>
          </cell>
          <cell r="L301" t="str">
            <v>BCSE</v>
          </cell>
          <cell r="N301" t="str">
            <v>Collaboration</v>
          </cell>
          <cell r="O301">
            <v>38749</v>
          </cell>
          <cell r="Q301">
            <v>39203</v>
          </cell>
          <cell r="V301">
            <v>0</v>
          </cell>
          <cell r="X301">
            <v>0</v>
          </cell>
          <cell r="AO301">
            <v>0.64605100000000004</v>
          </cell>
        </row>
        <row r="302">
          <cell r="A302">
            <v>530120</v>
          </cell>
          <cell r="B302" t="str">
            <v>Closed</v>
          </cell>
          <cell r="C302" t="str">
            <v>Collaboration</v>
          </cell>
          <cell r="I302" t="str">
            <v>Bio-Based Matls</v>
          </cell>
          <cell r="L302" t="str">
            <v>CSE</v>
          </cell>
          <cell r="N302" t="str">
            <v>Collaboration</v>
          </cell>
          <cell r="O302">
            <v>38777</v>
          </cell>
          <cell r="Q302">
            <v>39173</v>
          </cell>
          <cell r="V302">
            <v>2.0699999999999998E-3</v>
          </cell>
          <cell r="X302">
            <v>0</v>
          </cell>
          <cell r="AD302">
            <v>0</v>
          </cell>
          <cell r="AO302">
            <v>2.0899999999999998E-3</v>
          </cell>
        </row>
        <row r="303">
          <cell r="A303">
            <v>530109</v>
          </cell>
          <cell r="B303" t="str">
            <v>Open</v>
          </cell>
          <cell r="C303" t="str">
            <v>Discovery</v>
          </cell>
          <cell r="I303" t="str">
            <v>Safety &amp; Protect</v>
          </cell>
          <cell r="L303" t="str">
            <v>CSE</v>
          </cell>
          <cell r="N303" t="str">
            <v>Discovery</v>
          </cell>
          <cell r="O303">
            <v>38777</v>
          </cell>
          <cell r="V303">
            <v>0.80823</v>
          </cell>
          <cell r="X303">
            <v>1.26</v>
          </cell>
          <cell r="AO303">
            <v>0.947268</v>
          </cell>
        </row>
        <row r="304">
          <cell r="A304">
            <v>530113</v>
          </cell>
          <cell r="B304" t="str">
            <v>Open</v>
          </cell>
          <cell r="C304" t="str">
            <v>Collaboration</v>
          </cell>
          <cell r="I304" t="str">
            <v>Safety &amp; Protect</v>
          </cell>
          <cell r="L304" t="str">
            <v>CSE</v>
          </cell>
          <cell r="N304" t="str">
            <v>Collaboration</v>
          </cell>
          <cell r="O304">
            <v>38777</v>
          </cell>
          <cell r="V304">
            <v>1.908847</v>
          </cell>
          <cell r="X304">
            <v>2.8</v>
          </cell>
          <cell r="AO304">
            <v>1.775396</v>
          </cell>
        </row>
        <row r="305">
          <cell r="A305">
            <v>530114</v>
          </cell>
          <cell r="B305" t="str">
            <v>Open</v>
          </cell>
          <cell r="C305" t="str">
            <v>Collaboration</v>
          </cell>
          <cell r="I305" t="str">
            <v>Bio-Based Matls</v>
          </cell>
          <cell r="L305" t="str">
            <v>CSE</v>
          </cell>
          <cell r="N305" t="str">
            <v>Collaboration</v>
          </cell>
          <cell r="O305">
            <v>38808</v>
          </cell>
          <cell r="V305">
            <v>6.0823000000000002E-2</v>
          </cell>
          <cell r="X305">
            <v>7.4999999999999997E-2</v>
          </cell>
          <cell r="AD305">
            <v>0</v>
          </cell>
          <cell r="AO305">
            <v>2.2897999999999998E-2</v>
          </cell>
        </row>
        <row r="306">
          <cell r="A306">
            <v>530116</v>
          </cell>
          <cell r="B306" t="str">
            <v>Open</v>
          </cell>
          <cell r="C306" t="str">
            <v>Collaboration</v>
          </cell>
          <cell r="I306" t="str">
            <v>Safety &amp; Protect</v>
          </cell>
          <cell r="L306" t="str">
            <v>CSE</v>
          </cell>
          <cell r="N306" t="str">
            <v>Collaboration</v>
          </cell>
          <cell r="O306">
            <v>38808</v>
          </cell>
          <cell r="V306">
            <v>0.35666300000000001</v>
          </cell>
          <cell r="X306">
            <v>0.45</v>
          </cell>
          <cell r="AD306">
            <v>5</v>
          </cell>
          <cell r="AO306">
            <v>0.41486200000000001</v>
          </cell>
        </row>
        <row r="307">
          <cell r="A307">
            <v>530107</v>
          </cell>
          <cell r="B307" t="str">
            <v>Open</v>
          </cell>
          <cell r="C307" t="str">
            <v>Collaboration</v>
          </cell>
          <cell r="I307" t="str">
            <v>Performance Matls</v>
          </cell>
          <cell r="L307" t="str">
            <v>CSE</v>
          </cell>
          <cell r="N307" t="str">
            <v>Collaboration</v>
          </cell>
          <cell r="O307">
            <v>38808</v>
          </cell>
          <cell r="V307">
            <v>0.12404699999999999</v>
          </cell>
          <cell r="X307">
            <v>0.13500000000000001</v>
          </cell>
          <cell r="AD307">
            <v>0</v>
          </cell>
          <cell r="AO307">
            <v>9.1928999999999997E-2</v>
          </cell>
        </row>
        <row r="308">
          <cell r="A308">
            <v>530121</v>
          </cell>
          <cell r="B308" t="str">
            <v>Open</v>
          </cell>
          <cell r="C308" t="str">
            <v>Apex</v>
          </cell>
          <cell r="I308" t="str">
            <v>Coatings &amp; Color</v>
          </cell>
          <cell r="L308" t="str">
            <v>CSE</v>
          </cell>
          <cell r="N308" t="str">
            <v>1</v>
          </cell>
          <cell r="O308">
            <v>38808</v>
          </cell>
          <cell r="V308">
            <v>1.0230380000000001</v>
          </cell>
          <cell r="X308">
            <v>1</v>
          </cell>
          <cell r="AD308">
            <v>6</v>
          </cell>
          <cell r="AO308">
            <v>0.79908900000000005</v>
          </cell>
        </row>
        <row r="309">
          <cell r="A309">
            <v>530117</v>
          </cell>
          <cell r="B309" t="str">
            <v>Open</v>
          </cell>
          <cell r="C309" t="str">
            <v>Collaboration</v>
          </cell>
          <cell r="I309" t="str">
            <v>Elect. &amp; Comm.</v>
          </cell>
          <cell r="L309" t="str">
            <v>CSE</v>
          </cell>
          <cell r="N309" t="str">
            <v>Collaboration</v>
          </cell>
          <cell r="O309">
            <v>38838</v>
          </cell>
          <cell r="V309">
            <v>0.34220100000000003</v>
          </cell>
          <cell r="X309">
            <v>0.4</v>
          </cell>
          <cell r="AD309">
            <v>10</v>
          </cell>
          <cell r="AO309">
            <v>0.26066300000000003</v>
          </cell>
        </row>
        <row r="310">
          <cell r="A310">
            <v>530122</v>
          </cell>
          <cell r="B310" t="str">
            <v>Open</v>
          </cell>
          <cell r="C310" t="str">
            <v>Apex</v>
          </cell>
          <cell r="I310" t="str">
            <v>Bio-Based Matls</v>
          </cell>
          <cell r="L310" t="str">
            <v>CSE</v>
          </cell>
          <cell r="N310" t="str">
            <v>1</v>
          </cell>
          <cell r="O310">
            <v>38838</v>
          </cell>
          <cell r="V310">
            <v>1.3218460000000001</v>
          </cell>
          <cell r="X310">
            <v>1.8</v>
          </cell>
          <cell r="AD310">
            <v>1.8</v>
          </cell>
          <cell r="AO310">
            <v>0.89295100000000005</v>
          </cell>
        </row>
        <row r="311">
          <cell r="A311">
            <v>540062</v>
          </cell>
          <cell r="B311" t="str">
            <v>Open</v>
          </cell>
          <cell r="C311" t="str">
            <v>Apex</v>
          </cell>
          <cell r="I311" t="str">
            <v>Bio-Based Matls</v>
          </cell>
          <cell r="L311" t="str">
            <v>BCSE</v>
          </cell>
          <cell r="N311" t="str">
            <v>1</v>
          </cell>
          <cell r="O311">
            <v>38899</v>
          </cell>
          <cell r="V311">
            <v>1.1690450000000001</v>
          </cell>
          <cell r="X311">
            <v>1.739393</v>
          </cell>
          <cell r="AO311">
            <v>0.64270899999999997</v>
          </cell>
        </row>
        <row r="312">
          <cell r="A312">
            <v>520086</v>
          </cell>
          <cell r="B312" t="str">
            <v>Open</v>
          </cell>
          <cell r="C312" t="str">
            <v>Discovery</v>
          </cell>
          <cell r="I312" t="str">
            <v>Elect. &amp; Comm.</v>
          </cell>
          <cell r="L312" t="str">
            <v>MSE</v>
          </cell>
          <cell r="N312" t="str">
            <v>Discovery</v>
          </cell>
          <cell r="O312">
            <v>38899</v>
          </cell>
          <cell r="V312">
            <v>0.53091499999999991</v>
          </cell>
          <cell r="X312">
            <v>0.49033499999999997</v>
          </cell>
          <cell r="AO312">
            <v>0.34109500000000004</v>
          </cell>
        </row>
        <row r="313">
          <cell r="A313">
            <v>540067</v>
          </cell>
          <cell r="B313" t="str">
            <v>Open</v>
          </cell>
          <cell r="C313" t="str">
            <v>Apex</v>
          </cell>
          <cell r="I313" t="str">
            <v>Bio-Based Matls</v>
          </cell>
          <cell r="L313" t="str">
            <v>BCSE</v>
          </cell>
          <cell r="N313" t="str">
            <v>1</v>
          </cell>
          <cell r="O313">
            <v>38899</v>
          </cell>
          <cell r="V313">
            <v>0.22316900000000001</v>
          </cell>
          <cell r="X313">
            <v>0.36364299999999999</v>
          </cell>
          <cell r="AD313">
            <v>0.2</v>
          </cell>
          <cell r="AO313">
            <v>0.18079100000000001</v>
          </cell>
        </row>
        <row r="314">
          <cell r="A314">
            <v>530118</v>
          </cell>
          <cell r="B314" t="str">
            <v>Open</v>
          </cell>
          <cell r="C314" t="str">
            <v>Apex</v>
          </cell>
          <cell r="I314" t="str">
            <v>Safety &amp; Protect</v>
          </cell>
          <cell r="L314" t="str">
            <v>CSE</v>
          </cell>
          <cell r="N314" t="str">
            <v>1</v>
          </cell>
          <cell r="O314">
            <v>38930</v>
          </cell>
          <cell r="V314">
            <v>0.94074800000000003</v>
          </cell>
          <cell r="X314">
            <v>1.72</v>
          </cell>
          <cell r="AO314">
            <v>0.17367099999999999</v>
          </cell>
        </row>
        <row r="315">
          <cell r="A315">
            <v>530119</v>
          </cell>
          <cell r="B315" t="str">
            <v>Open</v>
          </cell>
          <cell r="C315" t="str">
            <v>Collaboration</v>
          </cell>
          <cell r="I315" t="str">
            <v>Safety &amp; Protect</v>
          </cell>
          <cell r="L315" t="str">
            <v>CSE</v>
          </cell>
          <cell r="N315" t="str">
            <v>Collaboration</v>
          </cell>
          <cell r="O315">
            <v>38930</v>
          </cell>
          <cell r="V315">
            <v>0.53923299999999996</v>
          </cell>
          <cell r="X315">
            <v>0.52</v>
          </cell>
          <cell r="AO315">
            <v>0.19187599999999999</v>
          </cell>
        </row>
        <row r="316">
          <cell r="A316">
            <v>520077</v>
          </cell>
          <cell r="B316" t="str">
            <v>Open</v>
          </cell>
          <cell r="C316" t="str">
            <v>Collaboration</v>
          </cell>
          <cell r="I316" t="str">
            <v>Elect. &amp; Comm.</v>
          </cell>
          <cell r="L316" t="str">
            <v>MSE</v>
          </cell>
          <cell r="N316" t="str">
            <v>Collaboration</v>
          </cell>
          <cell r="O316">
            <v>38930</v>
          </cell>
          <cell r="V316">
            <v>0.41727900000000001</v>
          </cell>
          <cell r="X316">
            <v>1.559955</v>
          </cell>
          <cell r="AD316">
            <v>50</v>
          </cell>
          <cell r="AO316">
            <v>0.487481</v>
          </cell>
        </row>
        <row r="317">
          <cell r="A317">
            <v>530130</v>
          </cell>
          <cell r="B317" t="str">
            <v>Open</v>
          </cell>
          <cell r="C317" t="str">
            <v>Collaboration</v>
          </cell>
          <cell r="I317" t="str">
            <v>Elect. &amp; Comm.</v>
          </cell>
          <cell r="L317" t="str">
            <v>CSE</v>
          </cell>
          <cell r="N317" t="str">
            <v>Collaboration</v>
          </cell>
          <cell r="O317">
            <v>38930</v>
          </cell>
          <cell r="V317">
            <v>1.0236E-2</v>
          </cell>
          <cell r="X317">
            <v>1.4999999999999999E-2</v>
          </cell>
          <cell r="AD317">
            <v>0</v>
          </cell>
          <cell r="AO317">
            <v>1.774E-3</v>
          </cell>
        </row>
        <row r="318">
          <cell r="A318">
            <v>530123</v>
          </cell>
          <cell r="B318" t="str">
            <v>Closed</v>
          </cell>
          <cell r="C318" t="str">
            <v>Collaboration</v>
          </cell>
          <cell r="I318" t="str">
            <v>Elect. &amp; Comm.</v>
          </cell>
          <cell r="L318" t="str">
            <v>CSE</v>
          </cell>
          <cell r="N318" t="str">
            <v>Collaboration</v>
          </cell>
          <cell r="O318">
            <v>38930</v>
          </cell>
          <cell r="Q318">
            <v>39052</v>
          </cell>
          <cell r="V318">
            <v>6.306E-3</v>
          </cell>
          <cell r="X318">
            <v>0</v>
          </cell>
          <cell r="AD318">
            <v>40</v>
          </cell>
          <cell r="AO318">
            <v>6.1520999999999999E-2</v>
          </cell>
        </row>
        <row r="319">
          <cell r="A319">
            <v>520078</v>
          </cell>
          <cell r="B319" t="str">
            <v>Open</v>
          </cell>
          <cell r="C319" t="str">
            <v>Discovery</v>
          </cell>
          <cell r="I319" t="str">
            <v>Elect. &amp; Comm.</v>
          </cell>
          <cell r="L319" t="str">
            <v>MSE</v>
          </cell>
          <cell r="N319" t="str">
            <v>Discovery</v>
          </cell>
          <cell r="O319">
            <v>38961</v>
          </cell>
          <cell r="V319">
            <v>1.600751</v>
          </cell>
          <cell r="X319">
            <v>1.9</v>
          </cell>
          <cell r="AO319">
            <v>0.24027899999999999</v>
          </cell>
        </row>
        <row r="320">
          <cell r="A320">
            <v>520074</v>
          </cell>
          <cell r="B320" t="str">
            <v>Open</v>
          </cell>
          <cell r="C320" t="str">
            <v>Collaboration</v>
          </cell>
          <cell r="I320" t="str">
            <v>Safety &amp; Protect</v>
          </cell>
          <cell r="L320" t="str">
            <v>MSE</v>
          </cell>
          <cell r="N320" t="str">
            <v>Collaboration</v>
          </cell>
          <cell r="O320">
            <v>38961</v>
          </cell>
          <cell r="V320">
            <v>0.14848900000000001</v>
          </cell>
          <cell r="X320">
            <v>0.7</v>
          </cell>
          <cell r="AO320">
            <v>4.1229999999999996E-2</v>
          </cell>
        </row>
        <row r="321">
          <cell r="A321">
            <v>530124</v>
          </cell>
          <cell r="B321" t="str">
            <v>Graduate</v>
          </cell>
          <cell r="C321" t="str">
            <v>Collaboration</v>
          </cell>
          <cell r="I321" t="str">
            <v>Safety &amp; Protect</v>
          </cell>
          <cell r="L321" t="str">
            <v>CSE</v>
          </cell>
          <cell r="N321" t="str">
            <v>Collaboration</v>
          </cell>
          <cell r="O321">
            <v>38961</v>
          </cell>
          <cell r="Q321">
            <v>39173</v>
          </cell>
          <cell r="V321">
            <v>2.8028999999999998E-2</v>
          </cell>
          <cell r="X321">
            <v>0.3</v>
          </cell>
          <cell r="AO321">
            <v>1.4067E-2</v>
          </cell>
        </row>
        <row r="322">
          <cell r="A322">
            <v>530131</v>
          </cell>
          <cell r="B322" t="str">
            <v>Open</v>
          </cell>
          <cell r="C322" t="str">
            <v>Collaboration</v>
          </cell>
          <cell r="I322" t="str">
            <v>Safety &amp; Protect</v>
          </cell>
          <cell r="L322" t="str">
            <v>CSE</v>
          </cell>
          <cell r="N322" t="str">
            <v>Collaboration</v>
          </cell>
          <cell r="O322">
            <v>38961</v>
          </cell>
          <cell r="V322">
            <v>0.39186100000000001</v>
          </cell>
          <cell r="X322">
            <v>0.85</v>
          </cell>
          <cell r="AO322">
            <v>0.27104700000000004</v>
          </cell>
        </row>
        <row r="323">
          <cell r="A323">
            <v>530127</v>
          </cell>
          <cell r="B323" t="str">
            <v>Closed</v>
          </cell>
          <cell r="C323" t="str">
            <v>Collaboration</v>
          </cell>
          <cell r="I323" t="str">
            <v>Ag &amp; Nutrition</v>
          </cell>
          <cell r="L323" t="str">
            <v>CSE</v>
          </cell>
          <cell r="N323" t="str">
            <v>Collaboration</v>
          </cell>
          <cell r="O323">
            <v>38961</v>
          </cell>
          <cell r="Q323">
            <v>39142</v>
          </cell>
          <cell r="V323">
            <v>2.0067000000000002E-2</v>
          </cell>
          <cell r="X323">
            <v>0</v>
          </cell>
          <cell r="AD323">
            <v>5</v>
          </cell>
          <cell r="AO323">
            <v>4.8613999999999997E-2</v>
          </cell>
        </row>
        <row r="324">
          <cell r="A324">
            <v>520081</v>
          </cell>
          <cell r="B324" t="str">
            <v>Closed</v>
          </cell>
          <cell r="C324" t="str">
            <v>Discovery</v>
          </cell>
          <cell r="I324" t="str">
            <v>Elect. &amp; Comm.</v>
          </cell>
          <cell r="L324" t="str">
            <v>MSE</v>
          </cell>
          <cell r="N324" t="str">
            <v>Discovery</v>
          </cell>
          <cell r="O324">
            <v>38961</v>
          </cell>
          <cell r="Q324">
            <v>39173</v>
          </cell>
          <cell r="V324">
            <v>0.404947</v>
          </cell>
          <cell r="X324">
            <v>1.524</v>
          </cell>
          <cell r="AO324">
            <v>0.283024</v>
          </cell>
        </row>
        <row r="325">
          <cell r="A325">
            <v>520082</v>
          </cell>
          <cell r="B325" t="str">
            <v>Open</v>
          </cell>
          <cell r="C325" t="str">
            <v>Discovery</v>
          </cell>
          <cell r="I325" t="str">
            <v>Elect. &amp; Comm.</v>
          </cell>
          <cell r="L325" t="str">
            <v>MSE</v>
          </cell>
          <cell r="N325" t="str">
            <v>Discovery</v>
          </cell>
          <cell r="O325">
            <v>38991</v>
          </cell>
          <cell r="V325">
            <v>0.48795899999999998</v>
          </cell>
          <cell r="X325">
            <v>1.25</v>
          </cell>
          <cell r="AO325">
            <v>0.12656500000000001</v>
          </cell>
        </row>
        <row r="326">
          <cell r="A326">
            <v>540075</v>
          </cell>
          <cell r="B326" t="str">
            <v>Open</v>
          </cell>
          <cell r="C326" t="str">
            <v>Apex</v>
          </cell>
          <cell r="I326" t="str">
            <v>Bio-Based Matls</v>
          </cell>
          <cell r="L326" t="str">
            <v>BCSE</v>
          </cell>
          <cell r="N326" t="str">
            <v>1</v>
          </cell>
          <cell r="O326">
            <v>38991</v>
          </cell>
          <cell r="V326">
            <v>1.089127</v>
          </cell>
          <cell r="X326">
            <v>1.5495409999999998</v>
          </cell>
          <cell r="AO326">
            <v>0.25267000000000001</v>
          </cell>
        </row>
        <row r="327">
          <cell r="A327">
            <v>520083</v>
          </cell>
          <cell r="B327" t="str">
            <v>Open</v>
          </cell>
          <cell r="C327" t="str">
            <v>Discovery</v>
          </cell>
          <cell r="I327" t="str">
            <v>Coatings &amp; Color</v>
          </cell>
          <cell r="L327" t="str">
            <v>MSE</v>
          </cell>
          <cell r="N327" t="str">
            <v>Discovery</v>
          </cell>
          <cell r="O327">
            <v>38991</v>
          </cell>
          <cell r="V327">
            <v>0.40174599999999999</v>
          </cell>
          <cell r="X327">
            <v>0.7</v>
          </cell>
          <cell r="AO327">
            <v>0.102549</v>
          </cell>
        </row>
        <row r="328">
          <cell r="A328">
            <v>540068</v>
          </cell>
          <cell r="B328" t="str">
            <v>Open</v>
          </cell>
          <cell r="C328" t="str">
            <v>Collaboration</v>
          </cell>
          <cell r="I328" t="str">
            <v>Bio-Based Matls</v>
          </cell>
          <cell r="L328" t="str">
            <v>BCSE</v>
          </cell>
          <cell r="N328" t="str">
            <v>Collaboration</v>
          </cell>
          <cell r="O328">
            <v>39083</v>
          </cell>
          <cell r="V328">
            <v>0.52166400000000002</v>
          </cell>
          <cell r="X328">
            <v>1.2507239999999999</v>
          </cell>
          <cell r="AO328">
            <v>0</v>
          </cell>
        </row>
        <row r="329">
          <cell r="A329">
            <v>530125</v>
          </cell>
          <cell r="B329" t="str">
            <v>Open</v>
          </cell>
          <cell r="C329" t="str">
            <v>Discovery</v>
          </cell>
          <cell r="I329" t="str">
            <v>Bio-Based Matls</v>
          </cell>
          <cell r="L329" t="str">
            <v>CSE</v>
          </cell>
          <cell r="N329" t="str">
            <v>Discovery</v>
          </cell>
          <cell r="O329">
            <v>39083</v>
          </cell>
          <cell r="V329">
            <v>0.73908399999999996</v>
          </cell>
          <cell r="X329">
            <v>1.1000000000000001</v>
          </cell>
          <cell r="AO329">
            <v>0</v>
          </cell>
        </row>
        <row r="330">
          <cell r="A330">
            <v>530126</v>
          </cell>
          <cell r="B330" t="str">
            <v>Open</v>
          </cell>
          <cell r="C330" t="str">
            <v>Discovery</v>
          </cell>
          <cell r="I330" t="str">
            <v>Performance Matls</v>
          </cell>
          <cell r="L330" t="str">
            <v>CSE</v>
          </cell>
          <cell r="N330" t="str">
            <v>Discovery</v>
          </cell>
          <cell r="O330">
            <v>39083</v>
          </cell>
          <cell r="V330">
            <v>0.27313299999999996</v>
          </cell>
          <cell r="X330">
            <v>0.42499999999999999</v>
          </cell>
          <cell r="AO330">
            <v>0</v>
          </cell>
        </row>
        <row r="331">
          <cell r="A331">
            <v>530128</v>
          </cell>
          <cell r="B331" t="str">
            <v>Open</v>
          </cell>
          <cell r="C331" t="str">
            <v>Discovery</v>
          </cell>
          <cell r="I331" t="str">
            <v>Safety &amp; Protect</v>
          </cell>
          <cell r="L331" t="str">
            <v>CSE</v>
          </cell>
          <cell r="N331" t="str">
            <v>Discovery</v>
          </cell>
          <cell r="O331">
            <v>39083</v>
          </cell>
          <cell r="V331">
            <v>0.32838999999999996</v>
          </cell>
          <cell r="X331">
            <v>0.5</v>
          </cell>
          <cell r="AO331">
            <v>0</v>
          </cell>
        </row>
        <row r="332">
          <cell r="A332">
            <v>530135</v>
          </cell>
          <cell r="B332" t="str">
            <v>Open</v>
          </cell>
          <cell r="C332" t="str">
            <v>Discovery</v>
          </cell>
          <cell r="I332" t="str">
            <v>Safety &amp; Protect</v>
          </cell>
          <cell r="L332" t="str">
            <v>CSE</v>
          </cell>
          <cell r="N332" t="str">
            <v>Discovery</v>
          </cell>
          <cell r="O332">
            <v>39083</v>
          </cell>
          <cell r="V332">
            <v>0.19284299999999999</v>
          </cell>
          <cell r="X332">
            <v>0.65</v>
          </cell>
          <cell r="AO332">
            <v>0</v>
          </cell>
        </row>
        <row r="333">
          <cell r="A333">
            <v>530140</v>
          </cell>
          <cell r="B333" t="str">
            <v>Open</v>
          </cell>
          <cell r="C333" t="str">
            <v>Discovery</v>
          </cell>
          <cell r="I333" t="str">
            <v>Performance Matls</v>
          </cell>
          <cell r="L333" t="str">
            <v>CSE</v>
          </cell>
          <cell r="N333" t="str">
            <v>Discovery</v>
          </cell>
          <cell r="O333">
            <v>39083</v>
          </cell>
          <cell r="V333">
            <v>0.41042800000000002</v>
          </cell>
          <cell r="X333">
            <v>0.65</v>
          </cell>
          <cell r="AO333">
            <v>0</v>
          </cell>
        </row>
        <row r="334">
          <cell r="A334">
            <v>520084</v>
          </cell>
          <cell r="B334" t="str">
            <v>Open</v>
          </cell>
          <cell r="C334" t="str">
            <v>Collaboration</v>
          </cell>
          <cell r="I334" t="str">
            <v>Elect. &amp; Comm.</v>
          </cell>
          <cell r="L334" t="str">
            <v>MSE</v>
          </cell>
          <cell r="N334" t="str">
            <v>Collaboration</v>
          </cell>
          <cell r="O334">
            <v>39083</v>
          </cell>
          <cell r="V334">
            <v>0.19705699999999998</v>
          </cell>
          <cell r="X334">
            <v>0.6</v>
          </cell>
          <cell r="AD334">
            <v>60</v>
          </cell>
          <cell r="AO334">
            <v>0</v>
          </cell>
        </row>
        <row r="335">
          <cell r="A335">
            <v>530129</v>
          </cell>
          <cell r="B335" t="str">
            <v>Open</v>
          </cell>
          <cell r="C335" t="str">
            <v>Discovery</v>
          </cell>
          <cell r="I335" t="str">
            <v>Safety &amp; Protect</v>
          </cell>
          <cell r="L335" t="str">
            <v>CSE</v>
          </cell>
          <cell r="N335" t="str">
            <v>Discovery</v>
          </cell>
          <cell r="O335">
            <v>39142</v>
          </cell>
          <cell r="V335">
            <v>0.13980400000000001</v>
          </cell>
          <cell r="X335">
            <v>0.2</v>
          </cell>
          <cell r="AO335">
            <v>0</v>
          </cell>
        </row>
        <row r="336">
          <cell r="A336">
            <v>530132</v>
          </cell>
          <cell r="B336" t="str">
            <v>Open</v>
          </cell>
          <cell r="C336" t="str">
            <v>Collaboration</v>
          </cell>
          <cell r="I336" t="str">
            <v>Performance Matls</v>
          </cell>
          <cell r="L336" t="str">
            <v>CSE</v>
          </cell>
          <cell r="N336" t="str">
            <v>Collaboration</v>
          </cell>
          <cell r="O336">
            <v>39142</v>
          </cell>
          <cell r="V336">
            <v>0.24973099999999998</v>
          </cell>
          <cell r="X336">
            <v>0.74</v>
          </cell>
          <cell r="AD336">
            <v>0</v>
          </cell>
          <cell r="AO336">
            <v>0</v>
          </cell>
        </row>
        <row r="337">
          <cell r="A337">
            <v>540071</v>
          </cell>
          <cell r="B337" t="str">
            <v>Open</v>
          </cell>
          <cell r="C337" t="str">
            <v>Discovery</v>
          </cell>
          <cell r="I337" t="str">
            <v>Bio-Based Matls</v>
          </cell>
          <cell r="L337" t="str">
            <v>BCSE</v>
          </cell>
          <cell r="N337" t="str">
            <v>Discovery</v>
          </cell>
          <cell r="O337">
            <v>39173</v>
          </cell>
          <cell r="V337">
            <v>8.1679000000000002E-2</v>
          </cell>
          <cell r="X337">
            <v>0.46805000000000002</v>
          </cell>
          <cell r="AO337">
            <v>0</v>
          </cell>
        </row>
        <row r="338">
          <cell r="A338">
            <v>540073</v>
          </cell>
          <cell r="B338" t="str">
            <v>Open</v>
          </cell>
          <cell r="C338" t="str">
            <v>Discovery</v>
          </cell>
          <cell r="I338" t="str">
            <v>Bio-Based Matls</v>
          </cell>
          <cell r="L338" t="str">
            <v>BCSE</v>
          </cell>
          <cell r="N338" t="str">
            <v>Discovery</v>
          </cell>
          <cell r="O338">
            <v>39173</v>
          </cell>
          <cell r="V338">
            <v>0.168685</v>
          </cell>
          <cell r="X338">
            <v>0.23860900000000002</v>
          </cell>
          <cell r="AO338">
            <v>0</v>
          </cell>
        </row>
        <row r="339">
          <cell r="A339">
            <v>530133</v>
          </cell>
          <cell r="B339" t="str">
            <v>Open</v>
          </cell>
          <cell r="C339" t="str">
            <v>Discovery</v>
          </cell>
          <cell r="I339" t="str">
            <v>Elect. &amp; Comm.</v>
          </cell>
          <cell r="L339" t="str">
            <v>CSE</v>
          </cell>
          <cell r="N339" t="str">
            <v>Discovery</v>
          </cell>
          <cell r="O339">
            <v>39173</v>
          </cell>
          <cell r="V339">
            <v>4.4815000000000001E-2</v>
          </cell>
          <cell r="X339">
            <v>8.5999999999999993E-2</v>
          </cell>
          <cell r="AO339">
            <v>0</v>
          </cell>
        </row>
        <row r="340">
          <cell r="A340">
            <v>520091</v>
          </cell>
          <cell r="B340" t="str">
            <v>Open</v>
          </cell>
          <cell r="C340" t="str">
            <v>Apex</v>
          </cell>
          <cell r="I340" t="str">
            <v>Elect. &amp; Comm.</v>
          </cell>
          <cell r="L340" t="str">
            <v>MSE</v>
          </cell>
          <cell r="N340" t="str">
            <v>3</v>
          </cell>
          <cell r="O340">
            <v>39173</v>
          </cell>
          <cell r="T340">
            <v>39174</v>
          </cell>
          <cell r="U340">
            <v>39217</v>
          </cell>
          <cell r="V340">
            <v>2.0381849999999999</v>
          </cell>
          <cell r="X340">
            <v>3.2103560000000004</v>
          </cell>
          <cell r="AD340">
            <v>56</v>
          </cell>
          <cell r="AO340">
            <v>0</v>
          </cell>
        </row>
        <row r="341">
          <cell r="A341">
            <v>540063</v>
          </cell>
          <cell r="B341" t="str">
            <v>Open</v>
          </cell>
          <cell r="C341" t="str">
            <v>Apex</v>
          </cell>
          <cell r="I341" t="str">
            <v>Bio-Based Matls</v>
          </cell>
          <cell r="L341" t="str">
            <v>BCSE</v>
          </cell>
          <cell r="N341" t="str">
            <v>1</v>
          </cell>
          <cell r="O341">
            <v>39203</v>
          </cell>
          <cell r="V341">
            <v>0</v>
          </cell>
          <cell r="X341">
            <v>0</v>
          </cell>
          <cell r="AO341">
            <v>0</v>
          </cell>
        </row>
        <row r="342">
          <cell r="A342">
            <v>530134</v>
          </cell>
          <cell r="B342" t="str">
            <v>Open</v>
          </cell>
          <cell r="C342" t="str">
            <v>Discovery</v>
          </cell>
          <cell r="I342" t="str">
            <v>Ag &amp; Nutrition</v>
          </cell>
          <cell r="L342" t="str">
            <v>CSE</v>
          </cell>
          <cell r="N342" t="str">
            <v>Discovery</v>
          </cell>
          <cell r="O342">
            <v>39203</v>
          </cell>
          <cell r="V342">
            <v>7.6350000000000001E-2</v>
          </cell>
          <cell r="X342">
            <v>0</v>
          </cell>
          <cell r="AO342">
            <v>0</v>
          </cell>
        </row>
        <row r="343">
          <cell r="A343">
            <v>520092</v>
          </cell>
          <cell r="B343" t="str">
            <v>Open</v>
          </cell>
          <cell r="C343" t="str">
            <v>Apex</v>
          </cell>
          <cell r="I343" t="str">
            <v>Elect. &amp; Comm.</v>
          </cell>
          <cell r="L343" t="str">
            <v>MSE</v>
          </cell>
          <cell r="N343" t="str">
            <v>1</v>
          </cell>
          <cell r="O343">
            <v>39203</v>
          </cell>
          <cell r="V343">
            <v>0.74463400000000002</v>
          </cell>
          <cell r="X343">
            <v>0</v>
          </cell>
          <cell r="AO343">
            <v>0</v>
          </cell>
        </row>
        <row r="344">
          <cell r="A344">
            <v>540069</v>
          </cell>
          <cell r="B344" t="str">
            <v>Open</v>
          </cell>
          <cell r="C344" t="str">
            <v>Collaboration</v>
          </cell>
          <cell r="I344" t="str">
            <v>Bio-Based Matls</v>
          </cell>
          <cell r="L344" t="str">
            <v>BCSE</v>
          </cell>
          <cell r="N344" t="str">
            <v>Collaboration</v>
          </cell>
          <cell r="O344">
            <v>39234</v>
          </cell>
          <cell r="V344">
            <v>4.9267999999999999E-2</v>
          </cell>
          <cell r="X344">
            <v>0</v>
          </cell>
          <cell r="AO344">
            <v>0</v>
          </cell>
        </row>
        <row r="345">
          <cell r="A345">
            <v>530136</v>
          </cell>
          <cell r="B345" t="str">
            <v>Open</v>
          </cell>
          <cell r="C345" t="str">
            <v>Collaboration</v>
          </cell>
          <cell r="I345" t="str">
            <v>Elect. &amp; Comm.</v>
          </cell>
          <cell r="L345" t="str">
            <v>CSE</v>
          </cell>
          <cell r="N345" t="str">
            <v>Collaboration</v>
          </cell>
          <cell r="O345">
            <v>39264</v>
          </cell>
          <cell r="V345">
            <v>3.0148000000000001E-2</v>
          </cell>
          <cell r="X345">
            <v>0</v>
          </cell>
          <cell r="AO345">
            <v>0</v>
          </cell>
        </row>
        <row r="346">
          <cell r="A346">
            <v>530137</v>
          </cell>
          <cell r="B346" t="str">
            <v>Open</v>
          </cell>
          <cell r="C346" t="str">
            <v>Collaboration</v>
          </cell>
          <cell r="I346" t="str">
            <v>Performance Matls</v>
          </cell>
          <cell r="L346" t="str">
            <v>CSE</v>
          </cell>
          <cell r="N346" t="str">
            <v>Collaboration</v>
          </cell>
          <cell r="O346">
            <v>39264</v>
          </cell>
          <cell r="V346">
            <v>0.112372</v>
          </cell>
          <cell r="X346">
            <v>0</v>
          </cell>
          <cell r="AO346">
            <v>0</v>
          </cell>
        </row>
        <row r="347">
          <cell r="A347">
            <v>504008</v>
          </cell>
          <cell r="B347" t="str">
            <v>Open</v>
          </cell>
          <cell r="C347" t="str">
            <v>Apex</v>
          </cell>
          <cell r="I347" t="str">
            <v>Bio-Based Matls</v>
          </cell>
          <cell r="L347" t="str">
            <v>BCSE</v>
          </cell>
          <cell r="N347" t="str">
            <v>1</v>
          </cell>
          <cell r="O347">
            <v>39264</v>
          </cell>
          <cell r="V347">
            <v>0</v>
          </cell>
          <cell r="X347">
            <v>0</v>
          </cell>
          <cell r="AO347">
            <v>0</v>
          </cell>
        </row>
        <row r="348">
          <cell r="A348">
            <v>540074</v>
          </cell>
          <cell r="B348" t="str">
            <v>Open</v>
          </cell>
          <cell r="C348" t="str">
            <v>Apex</v>
          </cell>
          <cell r="I348" t="str">
            <v>Bio-Based Matls</v>
          </cell>
          <cell r="L348" t="str">
            <v>BCSE</v>
          </cell>
          <cell r="N348" t="str">
            <v>1</v>
          </cell>
          <cell r="O348">
            <v>39295</v>
          </cell>
          <cell r="V348">
            <v>0.10273699999999999</v>
          </cell>
          <cell r="X348">
            <v>0</v>
          </cell>
          <cell r="AO348">
            <v>0</v>
          </cell>
        </row>
        <row r="349">
          <cell r="A349">
            <v>540072</v>
          </cell>
          <cell r="B349" t="str">
            <v>Open</v>
          </cell>
          <cell r="C349" t="str">
            <v>Apex</v>
          </cell>
          <cell r="I349" t="str">
            <v>Bio-Based Matls</v>
          </cell>
          <cell r="L349" t="str">
            <v>BCSE</v>
          </cell>
          <cell r="N349" t="str">
            <v>1</v>
          </cell>
          <cell r="O349">
            <v>39295</v>
          </cell>
          <cell r="V349">
            <v>0.17161099999999999</v>
          </cell>
          <cell r="X349">
            <v>0</v>
          </cell>
          <cell r="AO349">
            <v>0</v>
          </cell>
        </row>
        <row r="350">
          <cell r="N350" t="str">
            <v>0</v>
          </cell>
          <cell r="V350">
            <v>0</v>
          </cell>
          <cell r="X350">
            <v>0</v>
          </cell>
          <cell r="AO350">
            <v>0</v>
          </cell>
        </row>
        <row r="351">
          <cell r="N351" t="str">
            <v>0</v>
          </cell>
          <cell r="V351">
            <v>0</v>
          </cell>
          <cell r="X351">
            <v>0</v>
          </cell>
          <cell r="AO351">
            <v>0</v>
          </cell>
        </row>
        <row r="352">
          <cell r="N352" t="str">
            <v>0</v>
          </cell>
          <cell r="V352">
            <v>0</v>
          </cell>
          <cell r="X352">
            <v>0</v>
          </cell>
          <cell r="AO352">
            <v>0</v>
          </cell>
        </row>
        <row r="353">
          <cell r="N353" t="str">
            <v>0</v>
          </cell>
          <cell r="V353">
            <v>0</v>
          </cell>
          <cell r="X353">
            <v>0</v>
          </cell>
          <cell r="AO353">
            <v>0</v>
          </cell>
        </row>
        <row r="354">
          <cell r="N354" t="str">
            <v>0</v>
          </cell>
          <cell r="V354">
            <v>0</v>
          </cell>
          <cell r="X354">
            <v>0</v>
          </cell>
          <cell r="AO354">
            <v>0</v>
          </cell>
        </row>
        <row r="355">
          <cell r="N355" t="str">
            <v>0</v>
          </cell>
          <cell r="V355">
            <v>0</v>
          </cell>
          <cell r="X355">
            <v>0</v>
          </cell>
          <cell r="AO355">
            <v>0</v>
          </cell>
        </row>
        <row r="356">
          <cell r="N356" t="str">
            <v>0</v>
          </cell>
          <cell r="V356">
            <v>0</v>
          </cell>
          <cell r="X356">
            <v>0</v>
          </cell>
          <cell r="AO356">
            <v>0</v>
          </cell>
        </row>
      </sheetData>
      <sheetData sheetId="3" refreshError="1"/>
      <sheetData sheetId="4" refreshError="1"/>
      <sheetData sheetId="5" refreshError="1"/>
      <sheetData sheetId="6" refreshError="1"/>
      <sheetData sheetId="7" refreshError="1"/>
      <sheetData sheetId="8" refreshError="1"/>
      <sheetData sheetId="9">
        <row r="5">
          <cell r="E5" t="str">
            <v>Gap Account</v>
          </cell>
          <cell r="F5" t="str">
            <v>Manager</v>
          </cell>
          <cell r="G5" t="str">
            <v>Science Area</v>
          </cell>
          <cell r="H5" t="str">
            <v>Cur Mo Actual</v>
          </cell>
          <cell r="I5" t="str">
            <v xml:space="preserve"> Cur Mo Budget</v>
          </cell>
          <cell r="J5" t="str">
            <v>$ Var</v>
          </cell>
          <cell r="K5" t="str">
            <v>YTD  Actual</v>
          </cell>
          <cell r="L5" t="str">
            <v xml:space="preserve"> YTD Budget</v>
          </cell>
        </row>
        <row r="6">
          <cell r="E6">
            <v>540066</v>
          </cell>
          <cell r="F6" t="str">
            <v>Provine</v>
          </cell>
          <cell r="G6" t="str">
            <v>BCSE</v>
          </cell>
          <cell r="H6">
            <v>62.066000000000003</v>
          </cell>
          <cell r="I6">
            <v>0</v>
          </cell>
          <cell r="J6">
            <v>62.066000000000003</v>
          </cell>
          <cell r="K6">
            <v>252.31399999999999</v>
          </cell>
          <cell r="L6">
            <v>0</v>
          </cell>
        </row>
        <row r="7">
          <cell r="E7">
            <v>530120</v>
          </cell>
          <cell r="F7" t="str">
            <v>Page</v>
          </cell>
          <cell r="G7" t="str">
            <v>CSE</v>
          </cell>
          <cell r="H7">
            <v>0</v>
          </cell>
          <cell r="I7">
            <v>0</v>
          </cell>
          <cell r="J7">
            <v>0</v>
          </cell>
          <cell r="K7">
            <v>0</v>
          </cell>
          <cell r="L7">
            <v>0</v>
          </cell>
        </row>
        <row r="8">
          <cell r="E8">
            <v>530080</v>
          </cell>
          <cell r="F8" t="str">
            <v>Mitchell</v>
          </cell>
          <cell r="G8" t="str">
            <v>CSE</v>
          </cell>
          <cell r="H8">
            <v>8.7100000000000009</v>
          </cell>
          <cell r="I8">
            <v>29.166666666666668</v>
          </cell>
          <cell r="J8">
            <v>-20.456666666666667</v>
          </cell>
          <cell r="K8">
            <v>358.52</v>
          </cell>
          <cell r="L8">
            <v>175</v>
          </cell>
        </row>
        <row r="9">
          <cell r="E9">
            <v>530059</v>
          </cell>
          <cell r="F9" t="str">
            <v>Mitchell</v>
          </cell>
          <cell r="G9" t="str">
            <v>CSE</v>
          </cell>
          <cell r="H9">
            <v>0</v>
          </cell>
          <cell r="I9">
            <v>0</v>
          </cell>
          <cell r="J9">
            <v>0</v>
          </cell>
          <cell r="K9">
            <v>81.155000000000001</v>
          </cell>
          <cell r="L9">
            <v>0</v>
          </cell>
        </row>
        <row r="10">
          <cell r="E10">
            <v>530116</v>
          </cell>
          <cell r="F10" t="str">
            <v>Page</v>
          </cell>
          <cell r="G10" t="str">
            <v>CSE</v>
          </cell>
          <cell r="H10">
            <v>20.215</v>
          </cell>
          <cell r="I10">
            <v>50</v>
          </cell>
          <cell r="J10">
            <v>-29.785</v>
          </cell>
          <cell r="K10">
            <v>42.798999999999999</v>
          </cell>
          <cell r="L10">
            <v>300</v>
          </cell>
        </row>
        <row r="11">
          <cell r="E11">
            <v>530035</v>
          </cell>
          <cell r="F11" t="str">
            <v>Marsh</v>
          </cell>
          <cell r="G11" t="str">
            <v>CSE</v>
          </cell>
          <cell r="H11">
            <v>155.49100000000001</v>
          </cell>
          <cell r="I11">
            <v>200</v>
          </cell>
          <cell r="J11">
            <v>-44.508999999999986</v>
          </cell>
          <cell r="K11">
            <v>982.94899999999996</v>
          </cell>
          <cell r="L11">
            <v>1200</v>
          </cell>
        </row>
        <row r="12">
          <cell r="E12">
            <v>530036</v>
          </cell>
          <cell r="F12" t="str">
            <v>Marsh</v>
          </cell>
          <cell r="G12" t="str">
            <v>CSE</v>
          </cell>
          <cell r="H12">
            <v>0</v>
          </cell>
          <cell r="I12">
            <v>0</v>
          </cell>
          <cell r="J12">
            <v>0</v>
          </cell>
          <cell r="K12">
            <v>-0.26600000000000001</v>
          </cell>
          <cell r="L12">
            <v>0</v>
          </cell>
        </row>
        <row r="13">
          <cell r="E13">
            <v>530110</v>
          </cell>
          <cell r="F13" t="str">
            <v>Marsh</v>
          </cell>
          <cell r="G13" t="str">
            <v>CSE</v>
          </cell>
          <cell r="H13">
            <v>182.13499999999999</v>
          </cell>
          <cell r="I13">
            <v>75</v>
          </cell>
          <cell r="J13">
            <v>107.13500000000001</v>
          </cell>
          <cell r="K13">
            <v>755.51900000000001</v>
          </cell>
          <cell r="L13">
            <v>450</v>
          </cell>
        </row>
        <row r="14">
          <cell r="E14">
            <v>520067</v>
          </cell>
          <cell r="F14" t="str">
            <v>Gierke</v>
          </cell>
          <cell r="G14" t="str">
            <v>MSE</v>
          </cell>
          <cell r="H14">
            <v>102.926</v>
          </cell>
          <cell r="I14">
            <v>0</v>
          </cell>
          <cell r="J14">
            <v>102.926</v>
          </cell>
          <cell r="K14">
            <v>648.20100000000002</v>
          </cell>
          <cell r="L14">
            <v>0</v>
          </cell>
        </row>
        <row r="15">
          <cell r="E15">
            <v>520023</v>
          </cell>
          <cell r="F15" t="str">
            <v>Bhedwar</v>
          </cell>
          <cell r="G15" t="str">
            <v>MSE</v>
          </cell>
          <cell r="H15">
            <v>214.67</v>
          </cell>
          <cell r="I15">
            <v>245.5</v>
          </cell>
          <cell r="J15">
            <v>-30.83</v>
          </cell>
          <cell r="K15">
            <v>1246.297</v>
          </cell>
          <cell r="L15">
            <v>1473</v>
          </cell>
        </row>
        <row r="16">
          <cell r="E16">
            <v>529005</v>
          </cell>
          <cell r="F16" t="str">
            <v>Gierke</v>
          </cell>
          <cell r="G16" t="str">
            <v>MSE</v>
          </cell>
          <cell r="H16">
            <v>39.765999999999998</v>
          </cell>
          <cell r="I16">
            <v>41</v>
          </cell>
          <cell r="J16">
            <v>-1.2340000000000018</v>
          </cell>
          <cell r="K16">
            <v>240.65700000000001</v>
          </cell>
          <cell r="L16">
            <v>246</v>
          </cell>
        </row>
        <row r="17">
          <cell r="E17" t="str">
            <v>011356</v>
          </cell>
          <cell r="F17" t="str">
            <v>Gierke</v>
          </cell>
          <cell r="G17" t="str">
            <v>MSE</v>
          </cell>
          <cell r="H17">
            <v>-49.859000000000002</v>
          </cell>
          <cell r="I17">
            <v>-41</v>
          </cell>
          <cell r="J17">
            <v>-8.8590000000000018</v>
          </cell>
          <cell r="K17">
            <v>-263.80599999999998</v>
          </cell>
          <cell r="L17">
            <v>-246</v>
          </cell>
        </row>
        <row r="18">
          <cell r="E18">
            <v>540044</v>
          </cell>
          <cell r="F18" t="str">
            <v>Jackson</v>
          </cell>
          <cell r="G18" t="str">
            <v>BCSE</v>
          </cell>
          <cell r="H18">
            <v>189.05099999999999</v>
          </cell>
          <cell r="I18">
            <v>225.33333333333334</v>
          </cell>
          <cell r="J18">
            <v>-36.282333333333355</v>
          </cell>
          <cell r="K18">
            <v>1471.6030000000001</v>
          </cell>
          <cell r="L18">
            <v>1352</v>
          </cell>
        </row>
        <row r="19">
          <cell r="E19">
            <v>530117</v>
          </cell>
          <cell r="F19" t="str">
            <v>Mitchell</v>
          </cell>
          <cell r="G19" t="str">
            <v>CSE</v>
          </cell>
          <cell r="H19">
            <v>31.478000000000002</v>
          </cell>
          <cell r="I19">
            <v>25</v>
          </cell>
          <cell r="J19">
            <v>6.4780000000000015</v>
          </cell>
          <cell r="K19">
            <v>64.001000000000005</v>
          </cell>
          <cell r="L19">
            <v>150</v>
          </cell>
        </row>
        <row r="20">
          <cell r="E20">
            <v>520058</v>
          </cell>
          <cell r="F20" t="str">
            <v>Bhedwar</v>
          </cell>
          <cell r="G20" t="str">
            <v>MSE</v>
          </cell>
          <cell r="H20">
            <v>167.55699999999999</v>
          </cell>
          <cell r="I20">
            <v>96.916666666666671</v>
          </cell>
          <cell r="J20">
            <v>70.640333333333317</v>
          </cell>
          <cell r="K20">
            <v>938.97299999999996</v>
          </cell>
          <cell r="L20">
            <v>581.5</v>
          </cell>
        </row>
        <row r="21">
          <cell r="E21">
            <v>540057</v>
          </cell>
          <cell r="F21" t="str">
            <v>Connon</v>
          </cell>
          <cell r="G21" t="str">
            <v>BCSE</v>
          </cell>
          <cell r="H21">
            <v>254.06100000000001</v>
          </cell>
          <cell r="I21">
            <v>264.41666666666669</v>
          </cell>
          <cell r="J21">
            <v>-10.355666666666679</v>
          </cell>
          <cell r="K21">
            <v>1725.1010000000001</v>
          </cell>
          <cell r="L21">
            <v>1586.5</v>
          </cell>
        </row>
        <row r="22">
          <cell r="E22">
            <v>549005</v>
          </cell>
          <cell r="F22" t="str">
            <v>Provine</v>
          </cell>
          <cell r="G22" t="str">
            <v>BCSE</v>
          </cell>
          <cell r="H22">
            <v>95.933000000000007</v>
          </cell>
          <cell r="I22">
            <v>84.25</v>
          </cell>
          <cell r="J22">
            <v>11.683000000000007</v>
          </cell>
          <cell r="K22">
            <v>645.07600000000002</v>
          </cell>
          <cell r="L22">
            <v>505.5</v>
          </cell>
        </row>
        <row r="23">
          <cell r="E23">
            <v>540046</v>
          </cell>
          <cell r="F23" t="str">
            <v>Nichols</v>
          </cell>
          <cell r="G23" t="str">
            <v>BCSE</v>
          </cell>
          <cell r="H23">
            <v>0.122</v>
          </cell>
          <cell r="I23">
            <v>0</v>
          </cell>
          <cell r="J23">
            <v>0.122</v>
          </cell>
          <cell r="K23">
            <v>2.984</v>
          </cell>
          <cell r="L23">
            <v>0</v>
          </cell>
        </row>
        <row r="24">
          <cell r="E24">
            <v>549003</v>
          </cell>
          <cell r="G24" t="str">
            <v>BCSE</v>
          </cell>
          <cell r="H24">
            <v>0</v>
          </cell>
          <cell r="I24">
            <v>0</v>
          </cell>
          <cell r="J24">
            <v>0</v>
          </cell>
          <cell r="K24">
            <v>29.776</v>
          </cell>
          <cell r="L24">
            <v>0</v>
          </cell>
        </row>
        <row r="25">
          <cell r="E25" t="str">
            <v>011589</v>
          </cell>
          <cell r="F25" t="str">
            <v>Provine</v>
          </cell>
          <cell r="G25" t="str">
            <v>BCSE</v>
          </cell>
          <cell r="H25">
            <v>-171.75</v>
          </cell>
          <cell r="I25">
            <v>0</v>
          </cell>
          <cell r="J25">
            <v>-171.75</v>
          </cell>
          <cell r="K25">
            <v>-544.5</v>
          </cell>
          <cell r="L25">
            <v>0</v>
          </cell>
        </row>
        <row r="26">
          <cell r="E26" t="str">
            <v>011581</v>
          </cell>
          <cell r="F26" t="str">
            <v>Kodokian</v>
          </cell>
          <cell r="G26" t="str">
            <v>BCSE</v>
          </cell>
          <cell r="H26">
            <v>-82</v>
          </cell>
          <cell r="I26">
            <v>-52.333333333333336</v>
          </cell>
          <cell r="J26">
            <v>-29.666666666666664</v>
          </cell>
          <cell r="K26">
            <v>-335</v>
          </cell>
          <cell r="L26">
            <v>-314</v>
          </cell>
        </row>
        <row r="27">
          <cell r="E27">
            <v>540065</v>
          </cell>
          <cell r="F27" t="str">
            <v>Solimeo</v>
          </cell>
          <cell r="G27" t="str">
            <v>BCSE</v>
          </cell>
          <cell r="H27">
            <v>94.56</v>
          </cell>
          <cell r="I27">
            <v>0</v>
          </cell>
          <cell r="J27">
            <v>94.56</v>
          </cell>
          <cell r="K27">
            <v>147.482</v>
          </cell>
          <cell r="L27">
            <v>0</v>
          </cell>
        </row>
        <row r="28">
          <cell r="E28" t="str">
            <v>011430</v>
          </cell>
          <cell r="F28" t="str">
            <v>Provine</v>
          </cell>
          <cell r="G28" t="str">
            <v>BCSE</v>
          </cell>
          <cell r="H28">
            <v>-10.013</v>
          </cell>
          <cell r="I28">
            <v>-206.25</v>
          </cell>
          <cell r="J28">
            <v>196.23699999999999</v>
          </cell>
          <cell r="K28">
            <v>-931.13400000000001</v>
          </cell>
          <cell r="L28">
            <v>-1237.5</v>
          </cell>
        </row>
        <row r="29">
          <cell r="E29">
            <v>540043</v>
          </cell>
          <cell r="F29" t="str">
            <v>Provine</v>
          </cell>
          <cell r="G29" t="str">
            <v>BCSE</v>
          </cell>
          <cell r="H29">
            <v>647.54499999999996</v>
          </cell>
          <cell r="I29">
            <v>638.41666666666663</v>
          </cell>
          <cell r="J29">
            <v>9.1283333333333303</v>
          </cell>
          <cell r="K29">
            <v>3549.3180000000002</v>
          </cell>
          <cell r="L29">
            <v>3830.5</v>
          </cell>
        </row>
        <row r="30">
          <cell r="E30">
            <v>549010</v>
          </cell>
          <cell r="F30" t="str">
            <v>Kodokian</v>
          </cell>
          <cell r="G30" t="str">
            <v>BCSE</v>
          </cell>
          <cell r="H30">
            <v>293.74400000000003</v>
          </cell>
          <cell r="I30">
            <v>356.33333333333331</v>
          </cell>
          <cell r="J30">
            <v>-62.589333333333286</v>
          </cell>
          <cell r="K30">
            <v>1962.528</v>
          </cell>
          <cell r="L30">
            <v>2138</v>
          </cell>
        </row>
        <row r="31">
          <cell r="E31">
            <v>530056</v>
          </cell>
          <cell r="F31" t="str">
            <v>Marsi</v>
          </cell>
          <cell r="G31" t="str">
            <v>CSE</v>
          </cell>
          <cell r="H31">
            <v>0.59</v>
          </cell>
          <cell r="I31">
            <v>16.666666666666668</v>
          </cell>
          <cell r="J31">
            <v>-16.076666666666668</v>
          </cell>
          <cell r="K31">
            <v>308.05200000000002</v>
          </cell>
          <cell r="L31">
            <v>100</v>
          </cell>
        </row>
        <row r="32">
          <cell r="E32">
            <v>540033</v>
          </cell>
          <cell r="F32" t="str">
            <v>Nelson</v>
          </cell>
          <cell r="G32" t="str">
            <v>BCSE</v>
          </cell>
          <cell r="H32">
            <v>132.12899999999999</v>
          </cell>
          <cell r="I32">
            <v>170.58333333333334</v>
          </cell>
          <cell r="J32">
            <v>-38.454333333333352</v>
          </cell>
          <cell r="K32">
            <v>817.73699999999997</v>
          </cell>
          <cell r="L32">
            <v>1023.5</v>
          </cell>
        </row>
        <row r="33">
          <cell r="E33">
            <v>540061</v>
          </cell>
          <cell r="F33" t="str">
            <v>Ireland</v>
          </cell>
          <cell r="G33" t="str">
            <v>BCSE</v>
          </cell>
          <cell r="H33">
            <v>62.43</v>
          </cell>
          <cell r="I33">
            <v>56.75</v>
          </cell>
          <cell r="J33">
            <v>5.68</v>
          </cell>
          <cell r="K33">
            <v>277.42500000000001</v>
          </cell>
          <cell r="L33">
            <v>340.5</v>
          </cell>
        </row>
        <row r="34">
          <cell r="E34">
            <v>540010</v>
          </cell>
          <cell r="F34" t="str">
            <v>Marsi</v>
          </cell>
          <cell r="G34" t="str">
            <v>CSE</v>
          </cell>
          <cell r="H34">
            <v>0</v>
          </cell>
          <cell r="I34">
            <v>0</v>
          </cell>
          <cell r="J34">
            <v>0</v>
          </cell>
          <cell r="K34">
            <v>0.60799999999999998</v>
          </cell>
          <cell r="L34">
            <v>0</v>
          </cell>
        </row>
        <row r="35">
          <cell r="E35">
            <v>530048</v>
          </cell>
          <cell r="F35" t="str">
            <v>Marsi</v>
          </cell>
          <cell r="G35" t="str">
            <v>CSE</v>
          </cell>
          <cell r="H35">
            <v>18.210999999999999</v>
          </cell>
          <cell r="I35">
            <v>12.5</v>
          </cell>
          <cell r="J35">
            <v>5.7109999999999985</v>
          </cell>
          <cell r="K35">
            <v>173.53</v>
          </cell>
          <cell r="L35">
            <v>75</v>
          </cell>
        </row>
        <row r="36">
          <cell r="E36">
            <v>550003</v>
          </cell>
          <cell r="F36" t="str">
            <v>Schussler</v>
          </cell>
          <cell r="G36" t="str">
            <v>BO</v>
          </cell>
          <cell r="H36">
            <v>0</v>
          </cell>
          <cell r="I36">
            <v>0</v>
          </cell>
          <cell r="J36">
            <v>0</v>
          </cell>
          <cell r="K36">
            <v>0</v>
          </cell>
          <cell r="L36">
            <v>0</v>
          </cell>
        </row>
        <row r="37">
          <cell r="E37">
            <v>530122</v>
          </cell>
          <cell r="F37" t="str">
            <v>Mitchell</v>
          </cell>
          <cell r="G37" t="str">
            <v>CSE</v>
          </cell>
          <cell r="H37">
            <v>74.334999999999994</v>
          </cell>
          <cell r="I37">
            <v>112.5</v>
          </cell>
          <cell r="J37">
            <v>-38.164999999999999</v>
          </cell>
          <cell r="K37">
            <v>133.40299999999999</v>
          </cell>
          <cell r="L37">
            <v>675</v>
          </cell>
        </row>
        <row r="38">
          <cell r="E38">
            <v>530078</v>
          </cell>
          <cell r="F38" t="str">
            <v>Page</v>
          </cell>
          <cell r="G38" t="str">
            <v>CSE</v>
          </cell>
          <cell r="H38">
            <v>37.817</v>
          </cell>
          <cell r="I38">
            <v>66.666666666666671</v>
          </cell>
          <cell r="J38">
            <v>-28.849666666666671</v>
          </cell>
          <cell r="K38">
            <v>495.59</v>
          </cell>
          <cell r="L38">
            <v>400</v>
          </cell>
        </row>
        <row r="39">
          <cell r="E39">
            <v>540047</v>
          </cell>
          <cell r="F39" t="str">
            <v>Connon</v>
          </cell>
          <cell r="G39" t="str">
            <v>BCSE</v>
          </cell>
          <cell r="H39">
            <v>260.88799999999998</v>
          </cell>
          <cell r="I39">
            <v>261.91666666666669</v>
          </cell>
          <cell r="J39">
            <v>-1.0286666666667088</v>
          </cell>
          <cell r="K39">
            <v>1636.2260000000001</v>
          </cell>
          <cell r="L39">
            <v>1571.5</v>
          </cell>
        </row>
        <row r="40">
          <cell r="E40">
            <v>520070</v>
          </cell>
          <cell r="F40" t="str">
            <v>Arizzi</v>
          </cell>
          <cell r="G40" t="str">
            <v>MSE</v>
          </cell>
          <cell r="H40">
            <v>176.102</v>
          </cell>
          <cell r="I40">
            <v>185.41666666666666</v>
          </cell>
          <cell r="J40">
            <v>-9.3146666666666533</v>
          </cell>
          <cell r="K40">
            <v>1028.3109999999999</v>
          </cell>
          <cell r="L40">
            <v>1112.5</v>
          </cell>
        </row>
        <row r="41">
          <cell r="E41">
            <v>520003</v>
          </cell>
          <cell r="F41" t="str">
            <v>Keys</v>
          </cell>
          <cell r="G41" t="str">
            <v>MSE</v>
          </cell>
          <cell r="H41">
            <v>541.35599999999999</v>
          </cell>
          <cell r="I41">
            <v>354.5</v>
          </cell>
          <cell r="J41">
            <v>186.85599999999999</v>
          </cell>
          <cell r="K41">
            <v>3028.2159999999999</v>
          </cell>
          <cell r="L41">
            <v>2127</v>
          </cell>
        </row>
        <row r="42">
          <cell r="E42">
            <v>530046</v>
          </cell>
          <cell r="F42" t="str">
            <v>Mitchell</v>
          </cell>
          <cell r="G42" t="str">
            <v>CSE</v>
          </cell>
          <cell r="H42">
            <v>0.92400000000000004</v>
          </cell>
          <cell r="I42">
            <v>33.333333333333336</v>
          </cell>
          <cell r="J42">
            <v>-32.409333333333336</v>
          </cell>
          <cell r="K42">
            <v>339.56</v>
          </cell>
          <cell r="L42">
            <v>200</v>
          </cell>
        </row>
        <row r="43">
          <cell r="E43">
            <v>530111</v>
          </cell>
          <cell r="F43" t="str">
            <v>Marsi</v>
          </cell>
          <cell r="G43" t="str">
            <v>CSE</v>
          </cell>
          <cell r="H43">
            <v>241.36799999999999</v>
          </cell>
          <cell r="I43">
            <v>191.66666666666666</v>
          </cell>
          <cell r="J43">
            <v>49.701333333333338</v>
          </cell>
          <cell r="K43">
            <v>1069.8150000000001</v>
          </cell>
          <cell r="L43">
            <v>1150</v>
          </cell>
        </row>
        <row r="44">
          <cell r="E44">
            <v>539003</v>
          </cell>
          <cell r="G44" t="str">
            <v>CSE</v>
          </cell>
          <cell r="H44">
            <v>36.598999999999997</v>
          </cell>
          <cell r="I44">
            <v>50</v>
          </cell>
          <cell r="J44">
            <v>-13.401000000000003</v>
          </cell>
          <cell r="K44">
            <v>263.63099999999997</v>
          </cell>
          <cell r="L44">
            <v>300</v>
          </cell>
        </row>
        <row r="45">
          <cell r="E45" t="str">
            <v>011679</v>
          </cell>
          <cell r="G45" t="str">
            <v>CSE</v>
          </cell>
          <cell r="H45">
            <v>0</v>
          </cell>
          <cell r="I45">
            <v>0</v>
          </cell>
          <cell r="J45">
            <v>0</v>
          </cell>
          <cell r="K45">
            <v>0</v>
          </cell>
          <cell r="L45">
            <v>0</v>
          </cell>
        </row>
        <row r="46">
          <cell r="E46" t="str">
            <v>011676</v>
          </cell>
          <cell r="F46" t="str">
            <v>Marsi</v>
          </cell>
          <cell r="G46" t="str">
            <v>CSE</v>
          </cell>
          <cell r="H46">
            <v>-33</v>
          </cell>
          <cell r="I46">
            <v>-13.333333333333334</v>
          </cell>
          <cell r="J46">
            <v>-19.666666666666664</v>
          </cell>
          <cell r="K46">
            <v>-166</v>
          </cell>
          <cell r="L46">
            <v>-80</v>
          </cell>
        </row>
        <row r="47">
          <cell r="E47">
            <v>530103</v>
          </cell>
          <cell r="F47" t="str">
            <v>Congalidis</v>
          </cell>
          <cell r="G47" t="str">
            <v>CSE</v>
          </cell>
          <cell r="H47">
            <v>30.745000000000001</v>
          </cell>
          <cell r="I47">
            <v>0</v>
          </cell>
          <cell r="J47">
            <v>30.745000000000001</v>
          </cell>
          <cell r="K47">
            <v>-11.843999999999999</v>
          </cell>
          <cell r="L47">
            <v>0</v>
          </cell>
        </row>
        <row r="48">
          <cell r="E48">
            <v>530100</v>
          </cell>
          <cell r="F48" t="str">
            <v>Marsh</v>
          </cell>
          <cell r="G48" t="str">
            <v>CSE</v>
          </cell>
          <cell r="H48">
            <v>126.761</v>
          </cell>
          <cell r="I48">
            <v>122.16666666666667</v>
          </cell>
          <cell r="J48">
            <v>4.5943333333333243</v>
          </cell>
          <cell r="K48">
            <v>694.18799999999999</v>
          </cell>
          <cell r="L48">
            <v>733</v>
          </cell>
        </row>
        <row r="49">
          <cell r="E49" t="str">
            <v>011711</v>
          </cell>
          <cell r="F49" t="str">
            <v>Marsh</v>
          </cell>
          <cell r="G49" t="str">
            <v>CSE</v>
          </cell>
          <cell r="H49">
            <v>-110.72199999999999</v>
          </cell>
          <cell r="I49">
            <v>-54.166666666666664</v>
          </cell>
          <cell r="J49">
            <v>-56.55533333333333</v>
          </cell>
          <cell r="K49">
            <v>-640.94899999999996</v>
          </cell>
          <cell r="L49">
            <v>-325</v>
          </cell>
        </row>
        <row r="50">
          <cell r="E50">
            <v>530105</v>
          </cell>
          <cell r="F50" t="str">
            <v>Marsi</v>
          </cell>
          <cell r="G50" t="str">
            <v>CSE</v>
          </cell>
          <cell r="H50">
            <v>211.048</v>
          </cell>
          <cell r="I50">
            <v>200</v>
          </cell>
          <cell r="J50">
            <v>11.048000000000002</v>
          </cell>
          <cell r="K50">
            <v>1481.3910000000001</v>
          </cell>
          <cell r="L50">
            <v>1200</v>
          </cell>
        </row>
        <row r="51">
          <cell r="E51">
            <v>520069</v>
          </cell>
          <cell r="F51" t="str">
            <v>Arizzi</v>
          </cell>
          <cell r="G51" t="str">
            <v>MSE</v>
          </cell>
          <cell r="H51">
            <v>100.815</v>
          </cell>
          <cell r="I51">
            <v>91.833333333333329</v>
          </cell>
          <cell r="J51">
            <v>8.9816666666666691</v>
          </cell>
          <cell r="K51">
            <v>620.71699999999998</v>
          </cell>
          <cell r="L51">
            <v>551</v>
          </cell>
        </row>
        <row r="52">
          <cell r="E52">
            <v>530101</v>
          </cell>
          <cell r="F52" t="str">
            <v>Page</v>
          </cell>
          <cell r="G52" t="str">
            <v>CSE</v>
          </cell>
          <cell r="H52">
            <v>70.799000000000007</v>
          </cell>
          <cell r="I52">
            <v>87.5</v>
          </cell>
          <cell r="J52">
            <v>-16.700999999999993</v>
          </cell>
          <cell r="K52">
            <v>372.22</v>
          </cell>
          <cell r="L52">
            <v>525</v>
          </cell>
        </row>
        <row r="53">
          <cell r="E53">
            <v>520050</v>
          </cell>
          <cell r="F53" t="str">
            <v>Arizzi</v>
          </cell>
          <cell r="G53" t="str">
            <v>MSE</v>
          </cell>
          <cell r="H53">
            <v>390.928</v>
          </cell>
          <cell r="I53">
            <v>170.25</v>
          </cell>
          <cell r="J53">
            <v>220.678</v>
          </cell>
          <cell r="K53">
            <v>1882.2629999999999</v>
          </cell>
          <cell r="L53">
            <v>1021.5</v>
          </cell>
        </row>
        <row r="54">
          <cell r="E54">
            <v>530108</v>
          </cell>
          <cell r="F54" t="str">
            <v>Page</v>
          </cell>
          <cell r="G54" t="str">
            <v>CSE</v>
          </cell>
          <cell r="H54">
            <v>92.308000000000007</v>
          </cell>
          <cell r="I54">
            <v>83.333333333333329</v>
          </cell>
          <cell r="J54">
            <v>8.9746666666666783</v>
          </cell>
          <cell r="K54">
            <v>434.11500000000001</v>
          </cell>
          <cell r="L54">
            <v>500</v>
          </cell>
        </row>
        <row r="55">
          <cell r="E55">
            <v>549030</v>
          </cell>
          <cell r="F55" t="str">
            <v>Arizzi</v>
          </cell>
          <cell r="G55" t="str">
            <v>MSE</v>
          </cell>
          <cell r="H55">
            <v>0</v>
          </cell>
          <cell r="I55">
            <v>0</v>
          </cell>
          <cell r="J55">
            <v>0</v>
          </cell>
          <cell r="K55">
            <v>0.77200000000000002</v>
          </cell>
          <cell r="L55">
            <v>0</v>
          </cell>
        </row>
        <row r="56">
          <cell r="E56">
            <v>530057</v>
          </cell>
          <cell r="F56" t="str">
            <v>Mitchell</v>
          </cell>
          <cell r="G56" t="str">
            <v>CSE</v>
          </cell>
          <cell r="H56">
            <v>8.5359999999999996</v>
          </cell>
          <cell r="I56">
            <v>35.416666666666664</v>
          </cell>
          <cell r="J56">
            <v>-26.880666666666663</v>
          </cell>
          <cell r="K56">
            <v>428.95800000000003</v>
          </cell>
          <cell r="L56">
            <v>212.5</v>
          </cell>
        </row>
        <row r="57">
          <cell r="E57">
            <v>530096</v>
          </cell>
          <cell r="F57" t="str">
            <v>Mitchell</v>
          </cell>
          <cell r="G57" t="str">
            <v>CSE</v>
          </cell>
          <cell r="H57">
            <v>80.239000000000004</v>
          </cell>
          <cell r="I57">
            <v>108.33333333333333</v>
          </cell>
          <cell r="J57">
            <v>-28.094333333333324</v>
          </cell>
          <cell r="K57">
            <v>544.51099999999997</v>
          </cell>
          <cell r="L57">
            <v>650</v>
          </cell>
        </row>
        <row r="58">
          <cell r="E58">
            <v>530106</v>
          </cell>
          <cell r="F58" t="str">
            <v>Marsi</v>
          </cell>
          <cell r="G58" t="str">
            <v>CSE</v>
          </cell>
          <cell r="H58">
            <v>25.965</v>
          </cell>
          <cell r="I58">
            <v>13.333333333333334</v>
          </cell>
          <cell r="J58">
            <v>12.631666666666666</v>
          </cell>
          <cell r="K58">
            <v>131.09700000000001</v>
          </cell>
          <cell r="L58">
            <v>80</v>
          </cell>
        </row>
        <row r="59">
          <cell r="E59">
            <v>520053</v>
          </cell>
          <cell r="F59" t="str">
            <v>Bhedwar</v>
          </cell>
          <cell r="G59" t="str">
            <v>MSE</v>
          </cell>
          <cell r="H59">
            <v>310.178</v>
          </cell>
          <cell r="I59">
            <v>233.66666666666666</v>
          </cell>
          <cell r="J59">
            <v>76.51133333333334</v>
          </cell>
          <cell r="K59">
            <v>1672.14</v>
          </cell>
          <cell r="L59">
            <v>1402</v>
          </cell>
        </row>
        <row r="60">
          <cell r="E60">
            <v>520004</v>
          </cell>
          <cell r="F60" t="str">
            <v>Fincher</v>
          </cell>
          <cell r="G60" t="str">
            <v>MSE</v>
          </cell>
          <cell r="H60">
            <v>490.32100000000003</v>
          </cell>
          <cell r="I60">
            <v>476.91666666666669</v>
          </cell>
          <cell r="J60">
            <v>13.404333333333341</v>
          </cell>
          <cell r="K60">
            <v>2794.9050000000002</v>
          </cell>
          <cell r="L60">
            <v>2861.5</v>
          </cell>
        </row>
        <row r="61">
          <cell r="E61">
            <v>540052</v>
          </cell>
          <cell r="F61" t="str">
            <v>Rouviere</v>
          </cell>
          <cell r="G61" t="str">
            <v>BCSE</v>
          </cell>
          <cell r="H61">
            <v>251.334</v>
          </cell>
          <cell r="I61">
            <v>337.66666666666669</v>
          </cell>
          <cell r="J61">
            <v>-86.332666666666682</v>
          </cell>
          <cell r="K61">
            <v>1705.5709999999999</v>
          </cell>
          <cell r="L61">
            <v>2026</v>
          </cell>
        </row>
        <row r="62">
          <cell r="E62">
            <v>504035</v>
          </cell>
          <cell r="F62" t="str">
            <v>Connon</v>
          </cell>
          <cell r="G62" t="str">
            <v>BCSE</v>
          </cell>
          <cell r="H62">
            <v>11.214</v>
          </cell>
          <cell r="I62">
            <v>0</v>
          </cell>
          <cell r="J62">
            <v>11.214</v>
          </cell>
          <cell r="K62">
            <v>-19.648</v>
          </cell>
          <cell r="L62">
            <v>0</v>
          </cell>
        </row>
        <row r="63">
          <cell r="E63">
            <v>530076</v>
          </cell>
          <cell r="F63" t="str">
            <v>Page</v>
          </cell>
          <cell r="G63" t="str">
            <v>CSE</v>
          </cell>
          <cell r="H63">
            <v>39.255000000000003</v>
          </cell>
          <cell r="I63">
            <v>75</v>
          </cell>
          <cell r="J63">
            <v>-35.744999999999997</v>
          </cell>
          <cell r="K63">
            <v>117.361</v>
          </cell>
          <cell r="L63">
            <v>450</v>
          </cell>
        </row>
        <row r="64">
          <cell r="E64">
            <v>520064</v>
          </cell>
          <cell r="F64" t="str">
            <v>Fincher</v>
          </cell>
          <cell r="G64" t="str">
            <v>MSE</v>
          </cell>
          <cell r="H64">
            <v>36.279000000000003</v>
          </cell>
          <cell r="I64">
            <v>61</v>
          </cell>
          <cell r="J64">
            <v>-24.720999999999997</v>
          </cell>
          <cell r="K64">
            <v>225.09800000000001</v>
          </cell>
          <cell r="L64">
            <v>366</v>
          </cell>
        </row>
        <row r="65">
          <cell r="E65">
            <v>520021</v>
          </cell>
          <cell r="F65" t="str">
            <v>Gierke</v>
          </cell>
          <cell r="G65" t="str">
            <v>MSE</v>
          </cell>
          <cell r="H65">
            <v>256.25599999999997</v>
          </cell>
          <cell r="I65">
            <v>366.16666666666669</v>
          </cell>
          <cell r="J65">
            <v>-109.91066666666671</v>
          </cell>
          <cell r="K65">
            <v>1704.1479999999999</v>
          </cell>
          <cell r="L65">
            <v>2197</v>
          </cell>
        </row>
        <row r="66">
          <cell r="E66">
            <v>530075</v>
          </cell>
          <cell r="F66" t="str">
            <v>Marsh</v>
          </cell>
          <cell r="G66" t="str">
            <v>CSE</v>
          </cell>
          <cell r="H66">
            <v>13.456</v>
          </cell>
          <cell r="I66">
            <v>33.333333333333336</v>
          </cell>
          <cell r="J66">
            <v>-19.877333333333336</v>
          </cell>
          <cell r="K66">
            <v>351.95699999999999</v>
          </cell>
          <cell r="L66">
            <v>200</v>
          </cell>
        </row>
        <row r="67">
          <cell r="E67">
            <v>530089</v>
          </cell>
          <cell r="F67" t="str">
            <v>Page</v>
          </cell>
          <cell r="G67" t="str">
            <v>CSE</v>
          </cell>
          <cell r="H67">
            <v>2.6219999999999999</v>
          </cell>
          <cell r="I67">
            <v>13.333333333333334</v>
          </cell>
          <cell r="J67">
            <v>-10.711333333333334</v>
          </cell>
          <cell r="K67">
            <v>153.89699999999999</v>
          </cell>
          <cell r="L67">
            <v>80</v>
          </cell>
        </row>
        <row r="68">
          <cell r="E68">
            <v>520066</v>
          </cell>
          <cell r="F68" t="str">
            <v>Bhedwar</v>
          </cell>
          <cell r="G68" t="str">
            <v>MSE</v>
          </cell>
          <cell r="H68">
            <v>74.739000000000004</v>
          </cell>
          <cell r="I68">
            <v>30</v>
          </cell>
          <cell r="J68">
            <v>44.739000000000004</v>
          </cell>
          <cell r="K68">
            <v>288.99599999999998</v>
          </cell>
          <cell r="L68">
            <v>180</v>
          </cell>
        </row>
        <row r="69">
          <cell r="E69">
            <v>530087</v>
          </cell>
          <cell r="F69" t="str">
            <v>Marsi</v>
          </cell>
          <cell r="G69" t="str">
            <v>CSE</v>
          </cell>
          <cell r="H69">
            <v>18.952000000000002</v>
          </cell>
          <cell r="I69">
            <v>8.3333333333333339</v>
          </cell>
          <cell r="J69">
            <v>10.618666666666668</v>
          </cell>
          <cell r="K69">
            <v>145.827</v>
          </cell>
          <cell r="L69">
            <v>50</v>
          </cell>
        </row>
        <row r="70">
          <cell r="E70">
            <v>540005</v>
          </cell>
          <cell r="F70" t="str">
            <v>Nelson</v>
          </cell>
          <cell r="G70" t="str">
            <v>BCSE</v>
          </cell>
          <cell r="H70">
            <v>195.15799999999999</v>
          </cell>
          <cell r="I70">
            <v>182.75</v>
          </cell>
          <cell r="J70">
            <v>12.407999999999987</v>
          </cell>
          <cell r="K70">
            <v>1397.462</v>
          </cell>
          <cell r="L70">
            <v>1096.5</v>
          </cell>
        </row>
        <row r="71">
          <cell r="E71">
            <v>520040</v>
          </cell>
          <cell r="F71" t="str">
            <v>Arizzi</v>
          </cell>
          <cell r="G71" t="str">
            <v>MSE</v>
          </cell>
          <cell r="H71">
            <v>124.777</v>
          </cell>
          <cell r="I71">
            <v>137.25</v>
          </cell>
          <cell r="J71">
            <v>-12.472999999999999</v>
          </cell>
          <cell r="K71">
            <v>823.20100000000002</v>
          </cell>
          <cell r="L71">
            <v>823.5</v>
          </cell>
        </row>
        <row r="72">
          <cell r="E72">
            <v>530093</v>
          </cell>
          <cell r="F72" t="str">
            <v>Marsi</v>
          </cell>
          <cell r="G72" t="str">
            <v>CSE</v>
          </cell>
          <cell r="H72">
            <v>0</v>
          </cell>
          <cell r="I72">
            <v>0</v>
          </cell>
          <cell r="J72">
            <v>0</v>
          </cell>
          <cell r="K72">
            <v>14.731999999999999</v>
          </cell>
          <cell r="L72">
            <v>0</v>
          </cell>
        </row>
        <row r="73">
          <cell r="E73">
            <v>530077</v>
          </cell>
          <cell r="F73" t="str">
            <v>Marsi</v>
          </cell>
          <cell r="G73" t="str">
            <v>CSE</v>
          </cell>
          <cell r="H73">
            <v>0</v>
          </cell>
          <cell r="I73">
            <v>5</v>
          </cell>
          <cell r="J73">
            <v>-5</v>
          </cell>
          <cell r="K73">
            <v>70.823999999999998</v>
          </cell>
          <cell r="L73">
            <v>30</v>
          </cell>
        </row>
        <row r="74">
          <cell r="E74">
            <v>520071</v>
          </cell>
          <cell r="F74" t="str">
            <v>Bhedwar</v>
          </cell>
          <cell r="G74" t="str">
            <v>MSE</v>
          </cell>
          <cell r="H74">
            <v>89.364999999999995</v>
          </cell>
          <cell r="I74">
            <v>99.833333333333329</v>
          </cell>
          <cell r="J74">
            <v>-10.468333333333334</v>
          </cell>
          <cell r="K74">
            <v>541</v>
          </cell>
          <cell r="L74">
            <v>599</v>
          </cell>
        </row>
        <row r="75">
          <cell r="E75">
            <v>540049</v>
          </cell>
          <cell r="F75" t="str">
            <v>Nelson</v>
          </cell>
          <cell r="G75" t="str">
            <v>BCSE</v>
          </cell>
          <cell r="H75">
            <v>173.108</v>
          </cell>
          <cell r="I75">
            <v>183.83333333333334</v>
          </cell>
          <cell r="J75">
            <v>-10.725333333333339</v>
          </cell>
          <cell r="K75">
            <v>974.18700000000001</v>
          </cell>
          <cell r="L75">
            <v>1103</v>
          </cell>
        </row>
        <row r="76">
          <cell r="E76">
            <v>530049</v>
          </cell>
          <cell r="F76" t="str">
            <v>Marsi</v>
          </cell>
          <cell r="G76" t="str">
            <v>CSE</v>
          </cell>
          <cell r="H76">
            <v>143.102</v>
          </cell>
          <cell r="I76">
            <v>208.33333333333334</v>
          </cell>
          <cell r="J76">
            <v>-65.231333333333339</v>
          </cell>
          <cell r="K76">
            <v>717.28</v>
          </cell>
          <cell r="L76">
            <v>1250</v>
          </cell>
        </row>
        <row r="77">
          <cell r="E77">
            <v>540056</v>
          </cell>
          <cell r="F77" t="str">
            <v>Connon</v>
          </cell>
          <cell r="G77" t="str">
            <v>BCSE</v>
          </cell>
          <cell r="H77">
            <v>131.441</v>
          </cell>
          <cell r="I77">
            <v>149.16666666666666</v>
          </cell>
          <cell r="J77">
            <v>-17.725666666666655</v>
          </cell>
          <cell r="K77">
            <v>857.03700000000003</v>
          </cell>
          <cell r="L77">
            <v>895</v>
          </cell>
        </row>
        <row r="78">
          <cell r="E78">
            <v>530045</v>
          </cell>
          <cell r="F78" t="str">
            <v>Marsh</v>
          </cell>
          <cell r="G78" t="str">
            <v>CSE</v>
          </cell>
          <cell r="H78">
            <v>187.13399999999999</v>
          </cell>
          <cell r="I78">
            <v>200</v>
          </cell>
          <cell r="J78">
            <v>-12.866000000000014</v>
          </cell>
          <cell r="K78">
            <v>1179.5329999999999</v>
          </cell>
          <cell r="L78">
            <v>1200</v>
          </cell>
        </row>
        <row r="79">
          <cell r="E79" t="str">
            <v>011800</v>
          </cell>
          <cell r="F79" t="str">
            <v>Keys</v>
          </cell>
          <cell r="G79" t="str">
            <v>MSE</v>
          </cell>
          <cell r="H79">
            <v>0</v>
          </cell>
          <cell r="I79">
            <v>0</v>
          </cell>
          <cell r="J79">
            <v>0</v>
          </cell>
          <cell r="K79">
            <v>0</v>
          </cell>
          <cell r="L79">
            <v>0</v>
          </cell>
        </row>
        <row r="80">
          <cell r="E80">
            <v>530115</v>
          </cell>
          <cell r="F80" t="str">
            <v>Mitchell</v>
          </cell>
          <cell r="G80" t="str">
            <v>CSE</v>
          </cell>
          <cell r="H80">
            <v>144.18199999999999</v>
          </cell>
          <cell r="I80">
            <v>175</v>
          </cell>
          <cell r="J80">
            <v>-30.818000000000012</v>
          </cell>
          <cell r="K80">
            <v>899.72799999999995</v>
          </cell>
          <cell r="L80">
            <v>1050</v>
          </cell>
        </row>
        <row r="81">
          <cell r="E81">
            <v>520047</v>
          </cell>
          <cell r="F81" t="str">
            <v>Sobrero</v>
          </cell>
          <cell r="G81" t="str">
            <v>MSE</v>
          </cell>
          <cell r="H81">
            <v>0</v>
          </cell>
          <cell r="I81">
            <v>0</v>
          </cell>
          <cell r="J81">
            <v>0</v>
          </cell>
          <cell r="K81">
            <v>14.067</v>
          </cell>
          <cell r="L81">
            <v>0</v>
          </cell>
        </row>
        <row r="82">
          <cell r="E82">
            <v>530065</v>
          </cell>
          <cell r="F82" t="str">
            <v>Marsh</v>
          </cell>
          <cell r="G82" t="str">
            <v>CSE</v>
          </cell>
          <cell r="H82">
            <v>0</v>
          </cell>
          <cell r="I82">
            <v>0</v>
          </cell>
          <cell r="J82">
            <v>0</v>
          </cell>
          <cell r="K82">
            <v>6.49</v>
          </cell>
          <cell r="L82">
            <v>0</v>
          </cell>
        </row>
        <row r="83">
          <cell r="E83">
            <v>530071</v>
          </cell>
          <cell r="F83" t="str">
            <v>Mitchell</v>
          </cell>
          <cell r="G83" t="str">
            <v>CSE</v>
          </cell>
          <cell r="H83">
            <v>261.03100000000001</v>
          </cell>
          <cell r="I83">
            <v>300</v>
          </cell>
          <cell r="J83">
            <v>-38.968999999999994</v>
          </cell>
          <cell r="K83">
            <v>1417.82</v>
          </cell>
          <cell r="L83">
            <v>1800</v>
          </cell>
        </row>
        <row r="84">
          <cell r="E84">
            <v>530113</v>
          </cell>
          <cell r="F84" t="str">
            <v>Mitchell</v>
          </cell>
          <cell r="G84" t="str">
            <v>CSE</v>
          </cell>
          <cell r="H84">
            <v>195.822</v>
          </cell>
          <cell r="I84">
            <v>125</v>
          </cell>
          <cell r="J84">
            <v>70.822000000000003</v>
          </cell>
          <cell r="K84">
            <v>518.78899999999999</v>
          </cell>
          <cell r="L84">
            <v>750</v>
          </cell>
        </row>
        <row r="85">
          <cell r="E85">
            <v>504006</v>
          </cell>
          <cell r="F85" t="str">
            <v>Nelson</v>
          </cell>
          <cell r="G85" t="str">
            <v>BCSE</v>
          </cell>
          <cell r="H85">
            <v>-20.643000000000001</v>
          </cell>
          <cell r="I85">
            <v>0</v>
          </cell>
          <cell r="J85">
            <v>-20.643000000000001</v>
          </cell>
          <cell r="K85">
            <v>-88.084999999999994</v>
          </cell>
          <cell r="L85">
            <v>0</v>
          </cell>
        </row>
        <row r="86">
          <cell r="E86">
            <v>540054</v>
          </cell>
          <cell r="F86" t="str">
            <v>Kodokian</v>
          </cell>
          <cell r="G86" t="str">
            <v>BCSE</v>
          </cell>
          <cell r="H86">
            <v>150.40600000000001</v>
          </cell>
          <cell r="I86">
            <v>139.08333333333334</v>
          </cell>
          <cell r="J86">
            <v>11.322666666666663</v>
          </cell>
          <cell r="K86">
            <v>611.25300000000004</v>
          </cell>
          <cell r="L86">
            <v>834.5</v>
          </cell>
        </row>
        <row r="87">
          <cell r="E87">
            <v>520002</v>
          </cell>
          <cell r="F87" t="str">
            <v>Fincher</v>
          </cell>
          <cell r="G87" t="str">
            <v>MSE</v>
          </cell>
          <cell r="H87">
            <v>3.9750000000000001</v>
          </cell>
          <cell r="I87">
            <v>99.166666666666671</v>
          </cell>
          <cell r="J87">
            <v>-95.191666666666677</v>
          </cell>
          <cell r="K87">
            <v>481.142</v>
          </cell>
          <cell r="L87">
            <v>595</v>
          </cell>
        </row>
        <row r="88">
          <cell r="E88">
            <v>520044</v>
          </cell>
          <cell r="F88" t="str">
            <v>Fincher</v>
          </cell>
          <cell r="G88" t="str">
            <v>MSE</v>
          </cell>
          <cell r="H88">
            <v>380.61599999999999</v>
          </cell>
          <cell r="I88">
            <v>368.91666666666669</v>
          </cell>
          <cell r="J88">
            <v>11.6993333333333</v>
          </cell>
          <cell r="K88">
            <v>2006.145</v>
          </cell>
          <cell r="L88">
            <v>2213.5</v>
          </cell>
        </row>
        <row r="89">
          <cell r="E89">
            <v>540070</v>
          </cell>
          <cell r="F89" t="str">
            <v>Kodokian</v>
          </cell>
          <cell r="G89" t="str">
            <v>BCSE</v>
          </cell>
          <cell r="H89">
            <v>83.683999999999997</v>
          </cell>
          <cell r="I89">
            <v>52.333333333333336</v>
          </cell>
          <cell r="J89">
            <v>31.350666666666662</v>
          </cell>
          <cell r="K89">
            <v>250.95599999999999</v>
          </cell>
          <cell r="L89">
            <v>314</v>
          </cell>
        </row>
        <row r="90">
          <cell r="E90">
            <v>530092</v>
          </cell>
          <cell r="F90" t="str">
            <v>Marsi</v>
          </cell>
          <cell r="G90" t="str">
            <v>CSE</v>
          </cell>
          <cell r="H90">
            <v>301.99799999999999</v>
          </cell>
          <cell r="I90">
            <v>300</v>
          </cell>
          <cell r="J90">
            <v>1.9979999999999905</v>
          </cell>
          <cell r="K90">
            <v>1652.873</v>
          </cell>
          <cell r="L90">
            <v>1800</v>
          </cell>
        </row>
        <row r="91">
          <cell r="E91">
            <v>504040</v>
          </cell>
          <cell r="F91" t="str">
            <v>Nelson</v>
          </cell>
          <cell r="G91" t="str">
            <v>BCSE</v>
          </cell>
          <cell r="H91">
            <v>0</v>
          </cell>
          <cell r="I91">
            <v>0</v>
          </cell>
          <cell r="J91">
            <v>0</v>
          </cell>
          <cell r="K91">
            <v>0</v>
          </cell>
          <cell r="L91">
            <v>0</v>
          </cell>
        </row>
        <row r="92">
          <cell r="E92">
            <v>520073</v>
          </cell>
          <cell r="F92" t="str">
            <v>Keys</v>
          </cell>
          <cell r="G92" t="str">
            <v>MSE</v>
          </cell>
          <cell r="H92">
            <v>96.738</v>
          </cell>
          <cell r="I92">
            <v>135.58333333333334</v>
          </cell>
          <cell r="J92">
            <v>-38.845333333333343</v>
          </cell>
          <cell r="K92">
            <v>269.85500000000002</v>
          </cell>
          <cell r="L92">
            <v>813.5</v>
          </cell>
        </row>
        <row r="93">
          <cell r="E93">
            <v>540015</v>
          </cell>
          <cell r="F93" t="str">
            <v>Ireland</v>
          </cell>
          <cell r="G93" t="str">
            <v>BCSE</v>
          </cell>
          <cell r="H93">
            <v>222.875</v>
          </cell>
          <cell r="I93">
            <v>196.33333333333334</v>
          </cell>
          <cell r="J93">
            <v>26.541666666666657</v>
          </cell>
          <cell r="K93">
            <v>1501.9780000000001</v>
          </cell>
          <cell r="L93">
            <v>1178</v>
          </cell>
        </row>
        <row r="94">
          <cell r="E94">
            <v>529001</v>
          </cell>
          <cell r="G94" t="str">
            <v>MSE</v>
          </cell>
          <cell r="H94">
            <v>16.244</v>
          </cell>
          <cell r="I94">
            <v>51.833333333333336</v>
          </cell>
          <cell r="J94">
            <v>-35.589333333333336</v>
          </cell>
          <cell r="K94">
            <v>88.825000000000003</v>
          </cell>
          <cell r="L94">
            <v>311</v>
          </cell>
        </row>
        <row r="95">
          <cell r="E95" t="str">
            <v>011591</v>
          </cell>
          <cell r="G95" t="str">
            <v>MSE</v>
          </cell>
          <cell r="H95">
            <v>0</v>
          </cell>
          <cell r="I95">
            <v>0</v>
          </cell>
          <cell r="J95">
            <v>0</v>
          </cell>
          <cell r="K95">
            <v>0</v>
          </cell>
          <cell r="L95">
            <v>0</v>
          </cell>
        </row>
        <row r="96">
          <cell r="E96" t="str">
            <v>011583</v>
          </cell>
          <cell r="G96" t="str">
            <v>MSE</v>
          </cell>
          <cell r="H96">
            <v>0</v>
          </cell>
          <cell r="I96">
            <v>0</v>
          </cell>
          <cell r="J96">
            <v>0</v>
          </cell>
          <cell r="K96">
            <v>0</v>
          </cell>
          <cell r="L96">
            <v>0</v>
          </cell>
        </row>
        <row r="97">
          <cell r="E97">
            <v>520072</v>
          </cell>
          <cell r="F97" t="str">
            <v>Hietpas</v>
          </cell>
          <cell r="G97" t="str">
            <v>MSE</v>
          </cell>
          <cell r="H97">
            <v>95.266000000000005</v>
          </cell>
          <cell r="I97">
            <v>0</v>
          </cell>
          <cell r="J97">
            <v>95.266000000000005</v>
          </cell>
          <cell r="K97">
            <v>225.37100000000001</v>
          </cell>
          <cell r="L97">
            <v>0</v>
          </cell>
        </row>
        <row r="98">
          <cell r="E98">
            <v>530042</v>
          </cell>
          <cell r="F98" t="str">
            <v>Mitchell</v>
          </cell>
          <cell r="G98" t="str">
            <v>CSE</v>
          </cell>
          <cell r="H98">
            <v>0</v>
          </cell>
          <cell r="I98">
            <v>0</v>
          </cell>
          <cell r="J98">
            <v>0</v>
          </cell>
          <cell r="K98">
            <v>3.7789999999999999</v>
          </cell>
          <cell r="L98">
            <v>0</v>
          </cell>
        </row>
        <row r="99">
          <cell r="E99">
            <v>530066</v>
          </cell>
          <cell r="F99" t="str">
            <v>Marsh</v>
          </cell>
          <cell r="G99" t="str">
            <v>CSE</v>
          </cell>
          <cell r="H99">
            <v>0</v>
          </cell>
          <cell r="I99">
            <v>0</v>
          </cell>
          <cell r="J99">
            <v>0</v>
          </cell>
          <cell r="K99">
            <v>0.222</v>
          </cell>
          <cell r="L99">
            <v>0</v>
          </cell>
        </row>
        <row r="100">
          <cell r="E100">
            <v>520049</v>
          </cell>
          <cell r="F100" t="str">
            <v>Freilich</v>
          </cell>
          <cell r="G100" t="str">
            <v>MSE</v>
          </cell>
          <cell r="H100">
            <v>0</v>
          </cell>
          <cell r="I100">
            <v>0</v>
          </cell>
          <cell r="J100">
            <v>0</v>
          </cell>
          <cell r="K100">
            <v>89.244</v>
          </cell>
          <cell r="L100">
            <v>0</v>
          </cell>
        </row>
        <row r="101">
          <cell r="E101">
            <v>530063</v>
          </cell>
          <cell r="F101" t="str">
            <v>Marsh</v>
          </cell>
          <cell r="G101" t="str">
            <v>CSE</v>
          </cell>
          <cell r="H101">
            <v>74.798000000000002</v>
          </cell>
          <cell r="I101">
            <v>33.333333333333336</v>
          </cell>
          <cell r="J101">
            <v>41.464666666666666</v>
          </cell>
          <cell r="K101">
            <v>509.798</v>
          </cell>
          <cell r="L101">
            <v>200</v>
          </cell>
        </row>
        <row r="102">
          <cell r="E102">
            <v>530104</v>
          </cell>
          <cell r="F102" t="str">
            <v>Marsh</v>
          </cell>
          <cell r="G102" t="str">
            <v>CSE</v>
          </cell>
          <cell r="H102">
            <v>133.315</v>
          </cell>
          <cell r="I102">
            <v>191.66666666666666</v>
          </cell>
          <cell r="J102">
            <v>-58.351666666666659</v>
          </cell>
          <cell r="K102">
            <v>753.21799999999996</v>
          </cell>
          <cell r="L102">
            <v>1150</v>
          </cell>
        </row>
        <row r="103">
          <cell r="E103">
            <v>530094</v>
          </cell>
          <cell r="F103" t="str">
            <v>Page</v>
          </cell>
          <cell r="G103" t="str">
            <v>CSE</v>
          </cell>
          <cell r="H103">
            <v>151.94</v>
          </cell>
          <cell r="I103">
            <v>141.66666666666666</v>
          </cell>
          <cell r="J103">
            <v>10.273333333333341</v>
          </cell>
          <cell r="K103">
            <v>739.80399999999997</v>
          </cell>
          <cell r="L103">
            <v>850</v>
          </cell>
        </row>
        <row r="104">
          <cell r="E104">
            <v>520076</v>
          </cell>
          <cell r="F104" t="str">
            <v>Page</v>
          </cell>
          <cell r="G104" t="str">
            <v>MSE</v>
          </cell>
          <cell r="H104">
            <v>90.400999999999996</v>
          </cell>
          <cell r="I104">
            <v>102</v>
          </cell>
          <cell r="J104">
            <v>-11.599000000000004</v>
          </cell>
          <cell r="K104">
            <v>577.27</v>
          </cell>
          <cell r="L104">
            <v>612</v>
          </cell>
        </row>
        <row r="105">
          <cell r="E105">
            <v>520063</v>
          </cell>
          <cell r="F105" t="str">
            <v>Keys</v>
          </cell>
          <cell r="G105" t="str">
            <v>MSE</v>
          </cell>
          <cell r="H105">
            <v>11.518000000000001</v>
          </cell>
          <cell r="I105">
            <v>38.75</v>
          </cell>
          <cell r="J105">
            <v>-27.231999999999999</v>
          </cell>
          <cell r="K105">
            <v>186.542</v>
          </cell>
          <cell r="L105">
            <v>232.5</v>
          </cell>
        </row>
        <row r="106">
          <cell r="E106">
            <v>530009</v>
          </cell>
          <cell r="F106" t="str">
            <v>Marsh</v>
          </cell>
          <cell r="G106" t="str">
            <v>CSE</v>
          </cell>
          <cell r="H106">
            <v>1.1299999999999999</v>
          </cell>
          <cell r="I106">
            <v>0</v>
          </cell>
          <cell r="J106">
            <v>1.1299999999999999</v>
          </cell>
          <cell r="K106">
            <v>63.558</v>
          </cell>
          <cell r="L106">
            <v>0</v>
          </cell>
        </row>
        <row r="107">
          <cell r="E107">
            <v>530074</v>
          </cell>
          <cell r="F107" t="str">
            <v>Mitchell</v>
          </cell>
          <cell r="G107" t="str">
            <v>CSE</v>
          </cell>
          <cell r="H107">
            <v>0</v>
          </cell>
          <cell r="I107">
            <v>25</v>
          </cell>
          <cell r="J107">
            <v>-25</v>
          </cell>
          <cell r="K107">
            <v>211.29300000000001</v>
          </cell>
          <cell r="L107">
            <v>150</v>
          </cell>
        </row>
        <row r="108">
          <cell r="E108">
            <v>530082</v>
          </cell>
          <cell r="F108" t="str">
            <v>Mitchell</v>
          </cell>
          <cell r="G108" t="str">
            <v>CSE</v>
          </cell>
          <cell r="H108">
            <v>0</v>
          </cell>
          <cell r="I108">
            <v>12.5</v>
          </cell>
          <cell r="J108">
            <v>-12.5</v>
          </cell>
          <cell r="K108">
            <v>90.326999999999998</v>
          </cell>
          <cell r="L108">
            <v>75</v>
          </cell>
        </row>
        <row r="109">
          <cell r="E109">
            <v>520095</v>
          </cell>
          <cell r="F109" t="str">
            <v>Bhedwar</v>
          </cell>
          <cell r="G109" t="str">
            <v>MSE</v>
          </cell>
          <cell r="H109">
            <v>162.66499999999999</v>
          </cell>
          <cell r="I109">
            <v>102.66666666666667</v>
          </cell>
          <cell r="J109">
            <v>59.998333333333321</v>
          </cell>
          <cell r="K109">
            <v>645.26199999999994</v>
          </cell>
          <cell r="L109">
            <v>616</v>
          </cell>
        </row>
        <row r="110">
          <cell r="E110">
            <v>530081</v>
          </cell>
          <cell r="F110" t="str">
            <v>Marsi</v>
          </cell>
          <cell r="G110" t="str">
            <v>CSE</v>
          </cell>
          <cell r="H110">
            <v>33.256</v>
          </cell>
          <cell r="I110">
            <v>62.5</v>
          </cell>
          <cell r="J110">
            <v>-29.244</v>
          </cell>
          <cell r="K110">
            <v>283.07299999999998</v>
          </cell>
          <cell r="L110">
            <v>375</v>
          </cell>
        </row>
        <row r="111">
          <cell r="E111">
            <v>530079</v>
          </cell>
          <cell r="F111" t="str">
            <v>Mitchell</v>
          </cell>
          <cell r="G111" t="str">
            <v>CSE</v>
          </cell>
          <cell r="H111">
            <v>121.004</v>
          </cell>
          <cell r="I111">
            <v>158.33333333333334</v>
          </cell>
          <cell r="J111">
            <v>-37.329333333333338</v>
          </cell>
          <cell r="K111">
            <v>855.82500000000005</v>
          </cell>
          <cell r="L111">
            <v>950</v>
          </cell>
        </row>
        <row r="112">
          <cell r="E112">
            <v>530107</v>
          </cell>
          <cell r="F112" t="str">
            <v>Mitchell</v>
          </cell>
          <cell r="G112" t="str">
            <v>CSE</v>
          </cell>
          <cell r="H112">
            <v>9.6300000000000008</v>
          </cell>
          <cell r="I112">
            <v>8.3333333333333339</v>
          </cell>
          <cell r="J112">
            <v>1.2966666666666669</v>
          </cell>
          <cell r="K112">
            <v>28.919</v>
          </cell>
          <cell r="L112">
            <v>50</v>
          </cell>
        </row>
        <row r="113">
          <cell r="E113">
            <v>530121</v>
          </cell>
          <cell r="F113" t="str">
            <v>Page</v>
          </cell>
          <cell r="G113" t="str">
            <v>CSE</v>
          </cell>
          <cell r="H113">
            <v>85.686999999999998</v>
          </cell>
          <cell r="I113">
            <v>106.25</v>
          </cell>
          <cell r="J113">
            <v>-20.563000000000002</v>
          </cell>
          <cell r="K113">
            <v>230.69499999999999</v>
          </cell>
          <cell r="L113">
            <v>637.5</v>
          </cell>
        </row>
        <row r="114">
          <cell r="E114">
            <v>530006</v>
          </cell>
          <cell r="F114" t="str">
            <v>Page</v>
          </cell>
          <cell r="G114" t="str">
            <v>CSE</v>
          </cell>
          <cell r="H114">
            <v>0</v>
          </cell>
          <cell r="I114">
            <v>20.833333333333332</v>
          </cell>
          <cell r="J114">
            <v>-20.833333333333332</v>
          </cell>
          <cell r="K114">
            <v>252.52799999999999</v>
          </cell>
          <cell r="L114">
            <v>125</v>
          </cell>
        </row>
        <row r="115">
          <cell r="E115">
            <v>530070</v>
          </cell>
          <cell r="F115" t="str">
            <v>Mitchell</v>
          </cell>
          <cell r="G115" t="str">
            <v>CSE</v>
          </cell>
          <cell r="H115">
            <v>0.34</v>
          </cell>
          <cell r="I115">
            <v>4.166666666666667</v>
          </cell>
          <cell r="J115">
            <v>-3.8266666666666671</v>
          </cell>
          <cell r="K115">
            <v>66.239000000000004</v>
          </cell>
          <cell r="L115">
            <v>25</v>
          </cell>
        </row>
        <row r="116">
          <cell r="E116">
            <v>530109</v>
          </cell>
          <cell r="F116" t="str">
            <v>Marsh</v>
          </cell>
          <cell r="G116" t="str">
            <v>CSE</v>
          </cell>
          <cell r="H116">
            <v>82.331000000000003</v>
          </cell>
          <cell r="I116">
            <v>53.333333333333336</v>
          </cell>
          <cell r="J116">
            <v>28.997666666666667</v>
          </cell>
          <cell r="K116">
            <v>251.65700000000001</v>
          </cell>
          <cell r="L116">
            <v>320</v>
          </cell>
        </row>
        <row r="117">
          <cell r="E117">
            <v>520088</v>
          </cell>
          <cell r="F117" t="str">
            <v>Gierke</v>
          </cell>
          <cell r="G117" t="str">
            <v>MSE</v>
          </cell>
          <cell r="H117">
            <v>135.453</v>
          </cell>
          <cell r="I117">
            <v>204.58333333333334</v>
          </cell>
          <cell r="J117">
            <v>-69.13033333333334</v>
          </cell>
          <cell r="K117">
            <v>991.27</v>
          </cell>
          <cell r="L117">
            <v>1227.5</v>
          </cell>
        </row>
        <row r="118">
          <cell r="E118">
            <v>530086</v>
          </cell>
          <cell r="F118" t="str">
            <v>Marsh</v>
          </cell>
          <cell r="G118" t="str">
            <v>CSE</v>
          </cell>
          <cell r="H118">
            <v>197.93700000000001</v>
          </cell>
          <cell r="I118">
            <v>208.33333333333334</v>
          </cell>
          <cell r="J118">
            <v>-10.396333333333331</v>
          </cell>
          <cell r="K118">
            <v>1184.222</v>
          </cell>
          <cell r="L118">
            <v>1250</v>
          </cell>
        </row>
        <row r="119">
          <cell r="E119">
            <v>530097</v>
          </cell>
          <cell r="F119" t="str">
            <v>Marsh</v>
          </cell>
          <cell r="G119" t="str">
            <v>CSE</v>
          </cell>
          <cell r="H119">
            <v>74.465999999999994</v>
          </cell>
          <cell r="I119">
            <v>54.166666666666664</v>
          </cell>
          <cell r="J119">
            <v>20.29933333333333</v>
          </cell>
          <cell r="K119">
            <v>365.88099999999997</v>
          </cell>
          <cell r="L119">
            <v>325</v>
          </cell>
        </row>
        <row r="120">
          <cell r="E120" t="str">
            <v>011715</v>
          </cell>
          <cell r="F120" t="str">
            <v>Marsh</v>
          </cell>
          <cell r="G120" t="str">
            <v>CSE</v>
          </cell>
          <cell r="H120">
            <v>0</v>
          </cell>
          <cell r="I120">
            <v>-141.66666666666666</v>
          </cell>
          <cell r="J120">
            <v>141.66666666666666</v>
          </cell>
          <cell r="K120">
            <v>0</v>
          </cell>
          <cell r="L120">
            <v>-850</v>
          </cell>
        </row>
        <row r="121">
          <cell r="E121">
            <v>540050</v>
          </cell>
          <cell r="F121" t="str">
            <v>Gannon</v>
          </cell>
          <cell r="G121" t="str">
            <v>BCSE</v>
          </cell>
          <cell r="H121">
            <v>0</v>
          </cell>
          <cell r="I121">
            <v>2.0833333333333335</v>
          </cell>
          <cell r="J121">
            <v>-2.0833333333333335</v>
          </cell>
          <cell r="K121">
            <v>28.667000000000002</v>
          </cell>
          <cell r="L121">
            <v>12.5</v>
          </cell>
        </row>
        <row r="122">
          <cell r="E122">
            <v>530072</v>
          </cell>
          <cell r="F122" t="str">
            <v>Marsi</v>
          </cell>
          <cell r="G122" t="str">
            <v>CSE</v>
          </cell>
          <cell r="H122">
            <v>36.046999999999997</v>
          </cell>
          <cell r="I122">
            <v>91.666666666666671</v>
          </cell>
          <cell r="J122">
            <v>-55.619666666666674</v>
          </cell>
          <cell r="K122">
            <v>249.27099999999999</v>
          </cell>
          <cell r="L122">
            <v>550</v>
          </cell>
        </row>
        <row r="123">
          <cell r="E123">
            <v>540018</v>
          </cell>
          <cell r="F123" t="str">
            <v>Jackson</v>
          </cell>
          <cell r="G123" t="str">
            <v>BCSE</v>
          </cell>
          <cell r="H123">
            <v>428.78300000000002</v>
          </cell>
          <cell r="I123">
            <v>418.75</v>
          </cell>
          <cell r="J123">
            <v>10.033000000000015</v>
          </cell>
          <cell r="K123">
            <v>2187.8989999999999</v>
          </cell>
          <cell r="L123">
            <v>2512.5</v>
          </cell>
        </row>
        <row r="124">
          <cell r="E124">
            <v>530067</v>
          </cell>
          <cell r="F124" t="str">
            <v>Page</v>
          </cell>
          <cell r="G124" t="str">
            <v>CSE</v>
          </cell>
          <cell r="H124">
            <v>45.119</v>
          </cell>
          <cell r="I124">
            <v>50</v>
          </cell>
          <cell r="J124">
            <v>-4.8810000000000002</v>
          </cell>
          <cell r="K124">
            <v>320.12</v>
          </cell>
          <cell r="L124">
            <v>300</v>
          </cell>
        </row>
        <row r="125">
          <cell r="E125">
            <v>520087</v>
          </cell>
          <cell r="F125" t="str">
            <v>Arizzi</v>
          </cell>
          <cell r="G125" t="str">
            <v>MSE</v>
          </cell>
          <cell r="H125">
            <v>219.59899999999999</v>
          </cell>
          <cell r="I125">
            <v>128.58333333333334</v>
          </cell>
          <cell r="J125">
            <v>91.015666666666647</v>
          </cell>
          <cell r="K125">
            <v>1207.2249999999999</v>
          </cell>
          <cell r="L125">
            <v>771.5</v>
          </cell>
        </row>
        <row r="126">
          <cell r="E126">
            <v>520054</v>
          </cell>
          <cell r="F126" t="str">
            <v>Bhedwar</v>
          </cell>
          <cell r="G126" t="str">
            <v>MSE</v>
          </cell>
          <cell r="H126">
            <v>72.156000000000006</v>
          </cell>
          <cell r="I126">
            <v>68.75</v>
          </cell>
          <cell r="J126">
            <v>3.4060000000000059</v>
          </cell>
          <cell r="K126">
            <v>421.06299999999999</v>
          </cell>
          <cell r="L126">
            <v>412.5</v>
          </cell>
        </row>
        <row r="127">
          <cell r="E127">
            <v>520075</v>
          </cell>
          <cell r="F127" t="str">
            <v>Keys</v>
          </cell>
          <cell r="G127" t="str">
            <v>MSE</v>
          </cell>
          <cell r="H127">
            <v>152.262</v>
          </cell>
          <cell r="I127">
            <v>177.41666666666666</v>
          </cell>
          <cell r="J127">
            <v>-25.154666666666657</v>
          </cell>
          <cell r="K127">
            <v>1039.636</v>
          </cell>
          <cell r="L127">
            <v>1064.5</v>
          </cell>
        </row>
        <row r="128">
          <cell r="E128">
            <v>520037</v>
          </cell>
          <cell r="F128" t="str">
            <v>Keys</v>
          </cell>
          <cell r="G128" t="str">
            <v>MSE</v>
          </cell>
          <cell r="H128">
            <v>0</v>
          </cell>
          <cell r="I128">
            <v>0</v>
          </cell>
          <cell r="J128">
            <v>0</v>
          </cell>
          <cell r="K128">
            <v>160.61600000000001</v>
          </cell>
          <cell r="L128">
            <v>0</v>
          </cell>
        </row>
        <row r="129">
          <cell r="E129" t="str">
            <v>011405</v>
          </cell>
          <cell r="F129" t="str">
            <v>Keys</v>
          </cell>
          <cell r="G129" t="str">
            <v>MSE</v>
          </cell>
          <cell r="H129">
            <v>0</v>
          </cell>
          <cell r="I129">
            <v>0</v>
          </cell>
          <cell r="J129">
            <v>0</v>
          </cell>
          <cell r="K129">
            <v>0</v>
          </cell>
          <cell r="L129">
            <v>0</v>
          </cell>
        </row>
        <row r="130">
          <cell r="E130">
            <v>520048</v>
          </cell>
          <cell r="F130" t="str">
            <v>Keys</v>
          </cell>
          <cell r="G130" t="str">
            <v>MSE</v>
          </cell>
          <cell r="H130">
            <v>17.109000000000002</v>
          </cell>
          <cell r="I130">
            <v>0</v>
          </cell>
          <cell r="J130">
            <v>17.109000000000002</v>
          </cell>
          <cell r="K130">
            <v>131.33799999999999</v>
          </cell>
          <cell r="L130">
            <v>0</v>
          </cell>
        </row>
        <row r="131">
          <cell r="E131">
            <v>520024</v>
          </cell>
          <cell r="F131" t="str">
            <v>Gierke</v>
          </cell>
          <cell r="G131" t="str">
            <v>MSE</v>
          </cell>
          <cell r="H131">
            <v>0</v>
          </cell>
          <cell r="I131">
            <v>0</v>
          </cell>
          <cell r="J131">
            <v>0</v>
          </cell>
          <cell r="K131">
            <v>18.704000000000001</v>
          </cell>
          <cell r="L131">
            <v>0</v>
          </cell>
        </row>
        <row r="132">
          <cell r="E132">
            <v>530058</v>
          </cell>
          <cell r="F132" t="str">
            <v>Marsh</v>
          </cell>
          <cell r="G132" t="str">
            <v>CSE</v>
          </cell>
          <cell r="H132">
            <v>29.99</v>
          </cell>
          <cell r="I132">
            <v>12.5</v>
          </cell>
          <cell r="J132">
            <v>17.489999999999998</v>
          </cell>
          <cell r="K132">
            <v>249.49100000000001</v>
          </cell>
          <cell r="L132">
            <v>75</v>
          </cell>
        </row>
        <row r="133">
          <cell r="E133">
            <v>549013</v>
          </cell>
          <cell r="F133" t="str">
            <v>Provine</v>
          </cell>
          <cell r="G133" t="str">
            <v>BCSE</v>
          </cell>
          <cell r="H133">
            <v>10.659000000000001</v>
          </cell>
          <cell r="I133">
            <v>0</v>
          </cell>
          <cell r="J133">
            <v>10.659000000000001</v>
          </cell>
          <cell r="K133">
            <v>10.659000000000001</v>
          </cell>
          <cell r="L133">
            <v>0</v>
          </cell>
        </row>
        <row r="134">
          <cell r="E134">
            <v>540060</v>
          </cell>
          <cell r="F134" t="str">
            <v>Provine</v>
          </cell>
          <cell r="G134" t="str">
            <v>BCSE</v>
          </cell>
          <cell r="H134">
            <v>917.15800000000002</v>
          </cell>
          <cell r="I134">
            <v>1010.8333333333334</v>
          </cell>
          <cell r="J134">
            <v>-93.675333333333356</v>
          </cell>
          <cell r="K134">
            <v>4907.6689999999999</v>
          </cell>
          <cell r="L134">
            <v>6065</v>
          </cell>
        </row>
        <row r="135">
          <cell r="E135" t="str">
            <v>011560</v>
          </cell>
          <cell r="F135" t="str">
            <v>Provine</v>
          </cell>
          <cell r="G135" t="str">
            <v>BCSE</v>
          </cell>
          <cell r="H135">
            <v>-441.03</v>
          </cell>
          <cell r="I135">
            <v>-465.91666666666669</v>
          </cell>
          <cell r="J135">
            <v>24.886666666666713</v>
          </cell>
          <cell r="K135">
            <v>-2309.7399999999998</v>
          </cell>
          <cell r="L135">
            <v>-2795.5</v>
          </cell>
        </row>
        <row r="136">
          <cell r="E136">
            <v>540025</v>
          </cell>
          <cell r="F136" t="str">
            <v>Nelson</v>
          </cell>
          <cell r="G136" t="str">
            <v>BCSE</v>
          </cell>
          <cell r="H136">
            <v>228.61099999999999</v>
          </cell>
          <cell r="I136">
            <v>285.16666666666669</v>
          </cell>
          <cell r="J136">
            <v>-56.555666666666696</v>
          </cell>
          <cell r="K136">
            <v>1550.5909999999999</v>
          </cell>
          <cell r="L136">
            <v>1711</v>
          </cell>
        </row>
        <row r="137">
          <cell r="E137">
            <v>530098</v>
          </cell>
          <cell r="F137" t="str">
            <v>Marsi</v>
          </cell>
          <cell r="G137" t="str">
            <v>CSE</v>
          </cell>
          <cell r="H137">
            <v>0</v>
          </cell>
          <cell r="I137">
            <v>7.5</v>
          </cell>
          <cell r="J137">
            <v>-7.5</v>
          </cell>
          <cell r="K137">
            <v>32.835000000000001</v>
          </cell>
          <cell r="L137">
            <v>45</v>
          </cell>
        </row>
        <row r="138">
          <cell r="E138">
            <v>530068</v>
          </cell>
          <cell r="F138" t="str">
            <v>Page</v>
          </cell>
          <cell r="G138" t="str">
            <v>CSE</v>
          </cell>
          <cell r="H138">
            <v>64.432000000000002</v>
          </cell>
          <cell r="I138">
            <v>143.33333333333334</v>
          </cell>
          <cell r="J138">
            <v>-78.901333333333341</v>
          </cell>
          <cell r="K138">
            <v>660.37599999999998</v>
          </cell>
          <cell r="L138">
            <v>860</v>
          </cell>
        </row>
        <row r="139">
          <cell r="E139">
            <v>530085</v>
          </cell>
          <cell r="F139" t="str">
            <v>Marsh</v>
          </cell>
          <cell r="G139" t="str">
            <v>CSE</v>
          </cell>
          <cell r="H139">
            <v>0</v>
          </cell>
          <cell r="I139">
            <v>0</v>
          </cell>
          <cell r="J139">
            <v>0</v>
          </cell>
          <cell r="K139">
            <v>8.2080000000000002</v>
          </cell>
          <cell r="L139">
            <v>0</v>
          </cell>
        </row>
        <row r="140">
          <cell r="E140">
            <v>520056</v>
          </cell>
          <cell r="F140" t="str">
            <v>Fincher</v>
          </cell>
          <cell r="G140" t="str">
            <v>MSE</v>
          </cell>
          <cell r="H140">
            <v>6.0720000000000001</v>
          </cell>
          <cell r="I140">
            <v>26.25</v>
          </cell>
          <cell r="J140">
            <v>-20.178000000000001</v>
          </cell>
          <cell r="K140">
            <v>41.264000000000003</v>
          </cell>
          <cell r="L140">
            <v>157.5</v>
          </cell>
        </row>
        <row r="141">
          <cell r="E141">
            <v>530088</v>
          </cell>
          <cell r="F141" t="str">
            <v>Mitchell</v>
          </cell>
          <cell r="G141" t="str">
            <v>CSE</v>
          </cell>
          <cell r="H141">
            <v>0</v>
          </cell>
          <cell r="I141">
            <v>4.166666666666667</v>
          </cell>
          <cell r="J141">
            <v>-4.166666666666667</v>
          </cell>
          <cell r="K141">
            <v>27.161999999999999</v>
          </cell>
          <cell r="L141">
            <v>25</v>
          </cell>
        </row>
        <row r="142">
          <cell r="E142">
            <v>520034</v>
          </cell>
          <cell r="F142" t="str">
            <v>Fincher</v>
          </cell>
          <cell r="G142" t="str">
            <v>MSE</v>
          </cell>
          <cell r="H142">
            <v>273.41800000000001</v>
          </cell>
          <cell r="I142">
            <v>238.83333333333334</v>
          </cell>
          <cell r="J142">
            <v>34.584666666666664</v>
          </cell>
          <cell r="K142">
            <v>1481.6079999999999</v>
          </cell>
          <cell r="L142">
            <v>1433</v>
          </cell>
        </row>
        <row r="143">
          <cell r="E143">
            <v>530099</v>
          </cell>
          <cell r="F143" t="str">
            <v>Page</v>
          </cell>
          <cell r="G143" t="str">
            <v>CSE</v>
          </cell>
          <cell r="H143">
            <v>230.535</v>
          </cell>
          <cell r="I143">
            <v>148.33333333333334</v>
          </cell>
          <cell r="J143">
            <v>82.201666666666654</v>
          </cell>
          <cell r="K143">
            <v>897.67600000000004</v>
          </cell>
          <cell r="L143">
            <v>890</v>
          </cell>
        </row>
        <row r="144">
          <cell r="E144">
            <v>530114</v>
          </cell>
          <cell r="F144" t="str">
            <v>Kurian</v>
          </cell>
          <cell r="G144" t="str">
            <v>CSE</v>
          </cell>
          <cell r="H144">
            <v>1.474</v>
          </cell>
          <cell r="I144">
            <v>4.166666666666667</v>
          </cell>
          <cell r="J144">
            <v>-2.6926666666666668</v>
          </cell>
          <cell r="K144">
            <v>5.7249999999999996</v>
          </cell>
          <cell r="L144">
            <v>25</v>
          </cell>
        </row>
        <row r="145">
          <cell r="E145">
            <v>540038</v>
          </cell>
          <cell r="F145" t="str">
            <v>Rouviere</v>
          </cell>
          <cell r="G145" t="str">
            <v>BCSE</v>
          </cell>
          <cell r="H145">
            <v>309.97300000000001</v>
          </cell>
          <cell r="I145">
            <v>263.16666666666669</v>
          </cell>
          <cell r="J145">
            <v>46.806333333333328</v>
          </cell>
          <cell r="K145">
            <v>1549.14</v>
          </cell>
          <cell r="L145">
            <v>1579</v>
          </cell>
        </row>
        <row r="146">
          <cell r="E146">
            <v>530047</v>
          </cell>
          <cell r="F146" t="str">
            <v>Marsh</v>
          </cell>
          <cell r="G146" t="str">
            <v>CSE</v>
          </cell>
          <cell r="H146">
            <v>0</v>
          </cell>
          <cell r="I146">
            <v>0</v>
          </cell>
          <cell r="J146">
            <v>0</v>
          </cell>
          <cell r="K146">
            <v>0</v>
          </cell>
          <cell r="L146">
            <v>0</v>
          </cell>
        </row>
        <row r="147">
          <cell r="E147">
            <v>530050</v>
          </cell>
          <cell r="F147" t="str">
            <v>Marsh</v>
          </cell>
          <cell r="G147" t="str">
            <v>CSE</v>
          </cell>
          <cell r="H147">
            <v>0</v>
          </cell>
          <cell r="I147">
            <v>0</v>
          </cell>
          <cell r="J147">
            <v>0</v>
          </cell>
          <cell r="K147">
            <v>7.6559999999999997</v>
          </cell>
          <cell r="L147">
            <v>0</v>
          </cell>
        </row>
        <row r="148">
          <cell r="E148">
            <v>530083</v>
          </cell>
          <cell r="F148" t="str">
            <v>Mitchell</v>
          </cell>
          <cell r="G148" t="str">
            <v>CSE</v>
          </cell>
          <cell r="H148">
            <v>63.360999999999997</v>
          </cell>
          <cell r="I148">
            <v>75</v>
          </cell>
          <cell r="J148">
            <v>-11.639000000000003</v>
          </cell>
          <cell r="K148">
            <v>446.56900000000002</v>
          </cell>
          <cell r="L148">
            <v>450</v>
          </cell>
        </row>
        <row r="149">
          <cell r="E149">
            <v>530102</v>
          </cell>
          <cell r="F149" t="str">
            <v>Mitchell</v>
          </cell>
          <cell r="G149" t="str">
            <v>CSE</v>
          </cell>
          <cell r="H149">
            <v>47.731000000000002</v>
          </cell>
          <cell r="I149">
            <v>45.833333333333336</v>
          </cell>
          <cell r="J149">
            <v>1.8976666666666659</v>
          </cell>
          <cell r="K149">
            <v>229.572</v>
          </cell>
          <cell r="L149">
            <v>275</v>
          </cell>
        </row>
        <row r="150">
          <cell r="E150">
            <v>530084</v>
          </cell>
          <cell r="F150" t="str">
            <v>Mitchell</v>
          </cell>
          <cell r="G150" t="str">
            <v>CSE</v>
          </cell>
          <cell r="H150">
            <v>0</v>
          </cell>
          <cell r="I150">
            <v>0</v>
          </cell>
          <cell r="J150">
            <v>0</v>
          </cell>
          <cell r="K150">
            <v>8.8999999999999996E-2</v>
          </cell>
          <cell r="L150">
            <v>0</v>
          </cell>
        </row>
        <row r="151">
          <cell r="E151">
            <v>530091</v>
          </cell>
          <cell r="F151" t="str">
            <v>Mitchell</v>
          </cell>
          <cell r="G151" t="str">
            <v>CSE</v>
          </cell>
          <cell r="H151">
            <v>0</v>
          </cell>
          <cell r="I151">
            <v>0</v>
          </cell>
          <cell r="J151">
            <v>0</v>
          </cell>
          <cell r="K151">
            <v>12.49</v>
          </cell>
          <cell r="L151">
            <v>0</v>
          </cell>
        </row>
        <row r="152">
          <cell r="E152">
            <v>520052</v>
          </cell>
          <cell r="F152" t="str">
            <v>Keys</v>
          </cell>
          <cell r="G152" t="str">
            <v>MSE</v>
          </cell>
          <cell r="H152">
            <v>0</v>
          </cell>
          <cell r="I152">
            <v>0</v>
          </cell>
          <cell r="J152">
            <v>0</v>
          </cell>
          <cell r="K152">
            <v>44.826000000000001</v>
          </cell>
          <cell r="L152">
            <v>0</v>
          </cell>
        </row>
        <row r="153">
          <cell r="E153">
            <v>530073</v>
          </cell>
          <cell r="F153" t="str">
            <v>Marsi</v>
          </cell>
          <cell r="G153" t="str">
            <v>CSE</v>
          </cell>
          <cell r="H153">
            <v>36.209000000000003</v>
          </cell>
          <cell r="I153">
            <v>16.666666666666668</v>
          </cell>
          <cell r="J153">
            <v>19.542333333333335</v>
          </cell>
          <cell r="K153">
            <v>220.1</v>
          </cell>
          <cell r="L153">
            <v>100</v>
          </cell>
        </row>
        <row r="154">
          <cell r="E154">
            <v>190905</v>
          </cell>
          <cell r="F154" t="str">
            <v>Gierke</v>
          </cell>
          <cell r="G154" t="str">
            <v>MSE</v>
          </cell>
          <cell r="H154">
            <v>8.4529999999999994</v>
          </cell>
          <cell r="I154">
            <v>0</v>
          </cell>
          <cell r="J154">
            <v>8.4529999999999994</v>
          </cell>
          <cell r="K154">
            <v>48.231999999999999</v>
          </cell>
          <cell r="L154">
            <v>0</v>
          </cell>
        </row>
        <row r="155">
          <cell r="E155" t="str">
            <v>011395</v>
          </cell>
          <cell r="F155" t="str">
            <v>Gierke</v>
          </cell>
          <cell r="G155" t="str">
            <v>MSE</v>
          </cell>
          <cell r="H155">
            <v>0</v>
          </cell>
          <cell r="I155">
            <v>0</v>
          </cell>
          <cell r="J155">
            <v>0</v>
          </cell>
          <cell r="K155">
            <v>-60.756</v>
          </cell>
          <cell r="L155">
            <v>0</v>
          </cell>
        </row>
        <row r="156">
          <cell r="E156">
            <v>520059</v>
          </cell>
          <cell r="F156" t="str">
            <v>Fincher</v>
          </cell>
          <cell r="G156" t="str">
            <v>MSE</v>
          </cell>
          <cell r="H156">
            <v>0.11899999999999999</v>
          </cell>
          <cell r="I156">
            <v>86</v>
          </cell>
          <cell r="J156">
            <v>-85.881</v>
          </cell>
          <cell r="K156">
            <v>207.64500000000001</v>
          </cell>
          <cell r="L156">
            <v>516</v>
          </cell>
        </row>
        <row r="157">
          <cell r="E157">
            <v>530112</v>
          </cell>
          <cell r="F157" t="str">
            <v>Mitchell</v>
          </cell>
          <cell r="G157" t="str">
            <v>CSE</v>
          </cell>
          <cell r="H157">
            <v>19.056999999999999</v>
          </cell>
          <cell r="I157">
            <v>12.5</v>
          </cell>
          <cell r="J157">
            <v>6.5569999999999986</v>
          </cell>
          <cell r="K157">
            <v>94.555000000000007</v>
          </cell>
          <cell r="L157">
            <v>75</v>
          </cell>
        </row>
        <row r="158">
          <cell r="E158">
            <v>520036</v>
          </cell>
          <cell r="F158" t="str">
            <v>Keys</v>
          </cell>
          <cell r="G158" t="str">
            <v>MSE</v>
          </cell>
          <cell r="H158">
            <v>0</v>
          </cell>
          <cell r="I158">
            <v>0</v>
          </cell>
          <cell r="J158">
            <v>0</v>
          </cell>
          <cell r="K158">
            <v>21.672999999999998</v>
          </cell>
          <cell r="L158">
            <v>0</v>
          </cell>
        </row>
        <row r="159">
          <cell r="E159">
            <v>530069</v>
          </cell>
          <cell r="F159" t="str">
            <v>Page</v>
          </cell>
          <cell r="G159" t="str">
            <v>CSE</v>
          </cell>
          <cell r="H159">
            <v>86.515000000000001</v>
          </cell>
          <cell r="I159">
            <v>133.33333333333334</v>
          </cell>
          <cell r="J159">
            <v>-46.818333333333342</v>
          </cell>
          <cell r="K159">
            <v>475.96</v>
          </cell>
          <cell r="L159">
            <v>800</v>
          </cell>
        </row>
        <row r="160">
          <cell r="E160">
            <v>530020</v>
          </cell>
          <cell r="F160" t="str">
            <v>Marsi</v>
          </cell>
          <cell r="G160" t="str">
            <v>CSE</v>
          </cell>
          <cell r="H160">
            <v>42.156999999999996</v>
          </cell>
          <cell r="I160">
            <v>33.333333333333336</v>
          </cell>
          <cell r="J160">
            <v>8.8236666666666608</v>
          </cell>
          <cell r="K160">
            <v>206.571</v>
          </cell>
          <cell r="L160">
            <v>200</v>
          </cell>
        </row>
        <row r="161">
          <cell r="G161" t="str">
            <v>BCSE</v>
          </cell>
          <cell r="H161">
            <v>0</v>
          </cell>
          <cell r="I161">
            <v>-138</v>
          </cell>
          <cell r="J161">
            <v>138</v>
          </cell>
          <cell r="K161">
            <v>0</v>
          </cell>
          <cell r="L161">
            <v>-828</v>
          </cell>
        </row>
        <row r="162">
          <cell r="G162" t="str">
            <v>CSE</v>
          </cell>
          <cell r="H162">
            <v>0</v>
          </cell>
          <cell r="I162">
            <v>61.166666666666664</v>
          </cell>
          <cell r="J162">
            <v>-61.166666666666664</v>
          </cell>
          <cell r="K162">
            <v>0</v>
          </cell>
          <cell r="L162">
            <v>367</v>
          </cell>
        </row>
        <row r="163">
          <cell r="G163" t="str">
            <v>MSE</v>
          </cell>
          <cell r="H163">
            <v>0</v>
          </cell>
          <cell r="I163">
            <v>454.75</v>
          </cell>
          <cell r="J163">
            <v>-454.75</v>
          </cell>
          <cell r="K163">
            <v>0</v>
          </cell>
          <cell r="L163">
            <v>2728.5</v>
          </cell>
        </row>
        <row r="164">
          <cell r="H164">
            <v>13576.304000000002</v>
          </cell>
          <cell r="I164">
            <v>13916.666666666672</v>
          </cell>
          <cell r="J164">
            <v>-340.36266666666688</v>
          </cell>
          <cell r="K164">
            <v>79199.815999999992</v>
          </cell>
          <cell r="L164">
            <v>83500</v>
          </cell>
        </row>
        <row r="168">
          <cell r="E168">
            <v>550004</v>
          </cell>
          <cell r="F168" t="str">
            <v>Doriaswamy</v>
          </cell>
          <cell r="H168">
            <v>3.6829999999999998</v>
          </cell>
          <cell r="I168">
            <v>8.3333333333333339</v>
          </cell>
          <cell r="J168">
            <v>-4.6503333333333341</v>
          </cell>
          <cell r="K168">
            <v>22.972999999999999</v>
          </cell>
          <cell r="L168">
            <v>50</v>
          </cell>
        </row>
      </sheetData>
      <sheetData sheetId="1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s"/>
      <sheetName val="Hardware"/>
      <sheetName val="Fire"/>
      <sheetName val="Breather"/>
      <sheetName val="Summary"/>
    </sheetNames>
    <sheetDataSet>
      <sheetData sheetId="0"/>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Output"/>
      <sheetName val="Charts"/>
      <sheetName val="Component Index"/>
    </sheetNames>
    <sheetDataSet>
      <sheetData sheetId="0">
        <row r="4">
          <cell r="B4" t="str">
            <v>Don Surles</v>
          </cell>
        </row>
        <row r="8">
          <cell r="B8" t="str">
            <v>KY to 19TPH</v>
          </cell>
        </row>
        <row r="18">
          <cell r="B18">
            <v>39083</v>
          </cell>
        </row>
        <row r="19">
          <cell r="B19">
            <v>26000</v>
          </cell>
        </row>
        <row r="21">
          <cell r="B21">
            <v>39600</v>
          </cell>
        </row>
        <row r="22">
          <cell r="B22" t="str">
            <v>00/0000</v>
          </cell>
        </row>
      </sheetData>
      <sheetData sheetId="1">
        <row r="3">
          <cell r="B3" t="str">
            <v>KY to 19TPH</v>
          </cell>
          <cell r="D3" t="str">
            <v>Month/Year</v>
          </cell>
          <cell r="E3" t="str">
            <v>Monthly Amount</v>
          </cell>
          <cell r="F3" t="str">
            <v>Cumulative Amount</v>
          </cell>
          <cell r="G3" t="str">
            <v>% Spent</v>
          </cell>
        </row>
        <row r="4">
          <cell r="B4" t="str">
            <v>C-6559</v>
          </cell>
        </row>
        <row r="5">
          <cell r="B5" t="str">
            <v>Kuan Yin</v>
          </cell>
        </row>
        <row r="7">
          <cell r="B7" t="str">
            <v>Don Surles</v>
          </cell>
        </row>
        <row r="8">
          <cell r="B8">
            <v>39373.65357638889</v>
          </cell>
        </row>
        <row r="11">
          <cell r="B11" t="str">
            <v>U.S.</v>
          </cell>
        </row>
      </sheetData>
      <sheetData sheetId="2">
        <row r="4">
          <cell r="A4">
            <v>39083</v>
          </cell>
        </row>
      </sheetData>
      <sheetData sheetId="3">
        <row r="1">
          <cell r="E1">
            <v>1</v>
          </cell>
        </row>
        <row r="2">
          <cell r="A2" t="str">
            <v>Monthly</v>
          </cell>
          <cell r="B2">
            <v>1</v>
          </cell>
          <cell r="E2">
            <v>1</v>
          </cell>
        </row>
        <row r="3">
          <cell r="A3" t="str">
            <v>Quarterly</v>
          </cell>
          <cell r="B3">
            <v>2</v>
          </cell>
          <cell r="E3">
            <v>2</v>
          </cell>
        </row>
        <row r="4">
          <cell r="E4">
            <v>1</v>
          </cell>
        </row>
        <row r="6">
          <cell r="A6" t="str">
            <v>US</v>
          </cell>
          <cell r="B6">
            <v>1</v>
          </cell>
        </row>
        <row r="7">
          <cell r="A7" t="str">
            <v>Foreign</v>
          </cell>
          <cell r="B7">
            <v>2</v>
          </cell>
        </row>
        <row r="10">
          <cell r="A10" t="str">
            <v>Fully authorized</v>
          </cell>
          <cell r="B10">
            <v>1</v>
          </cell>
        </row>
        <row r="11">
          <cell r="A11" t="str">
            <v>Partially authorized or forecasted - full fund</v>
          </cell>
          <cell r="B11">
            <v>2</v>
          </cell>
        </row>
        <row r="12">
          <cell r="A12" t="str">
            <v>Partially authorized or forecasted - 2-part project</v>
          </cell>
          <cell r="B12">
            <v>3</v>
          </cell>
        </row>
        <row r="15">
          <cell r="A15" t="str">
            <v>Normal</v>
          </cell>
          <cell r="B15">
            <v>1</v>
          </cell>
        </row>
        <row r="16">
          <cell r="A16" t="str">
            <v>Slow</v>
          </cell>
          <cell r="B16">
            <v>2</v>
          </cell>
        </row>
      </sheetData>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S Summary"/>
      <sheetName val="WS Plan"/>
      <sheetName val="Data collection"/>
      <sheetName val="CostDefine"/>
      <sheetName val="Maping2008-8-26"/>
      <sheetName val="Account Code Grouping"/>
      <sheetName val="Expense"/>
      <sheetName val="Available Hour"/>
      <sheetName val="Allocation"/>
      <sheetName val="Hourly rate"/>
      <sheetName val="Flow"/>
      <sheetName val="Calculation"/>
      <sheetName val="Material Price"/>
      <sheetName val="DL 人機比"/>
      <sheetName val="MPS"/>
      <sheetName val="BOM Default"/>
      <sheetName val="BOM Fighter"/>
      <sheetName val="BOM Product 0"/>
      <sheetName val="Material Mapping"/>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down"/>
      <sheetName val="Dmdsch"/>
      <sheetName val="BOQ"/>
      <sheetName val="JB"/>
      <sheetName val="Cable"/>
      <sheetName val="MATAKOF"/>
      <sheetName val="PRICE-COMP"/>
      <sheetName val="COST SUMMARY"/>
      <sheetName val="Fittings"/>
      <sheetName val="Bar Chart"/>
      <sheetName val="IOList"/>
      <sheetName val="Config-1"/>
      <sheetName val="Config-2"/>
      <sheetName val="DCS"/>
      <sheetName val="Calibration"/>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mar2000-r1"/>
      <sheetName val="SC "/>
      <sheetName val="sc-mar2000"/>
      <sheetName val="sc-dec99"/>
      <sheetName val="óc-sepVdec99"/>
      <sheetName val="Sc-sep99"/>
      <sheetName val="rewtd"/>
      <sheetName val="ds"/>
      <sheetName val="SOC Dates"/>
      <sheetName val="OS"/>
      <sheetName val="BOQ"/>
      <sheetName val="3MLKQ "/>
      <sheetName val="CAR"/>
      <sheetName val="sc-sepVdec99"/>
    </sheetNames>
    <sheetDataSet>
      <sheetData sheetId="0" refreshError="1"/>
      <sheetData sheetId="1" refreshError="1"/>
      <sheetData sheetId="2" refreshError="1">
        <row r="3">
          <cell r="B3" t="str">
            <v>PRODUCT JETTY  (7600)</v>
          </cell>
        </row>
        <row r="5">
          <cell r="D5" t="str">
            <v xml:space="preserve">Wtd </v>
          </cell>
          <cell r="E5" t="str">
            <v>%</v>
          </cell>
          <cell r="F5" t="str">
            <v>Wtd %</v>
          </cell>
          <cell r="G5">
            <v>1997</v>
          </cell>
          <cell r="R5">
            <v>1999</v>
          </cell>
          <cell r="AD5">
            <v>2000</v>
          </cell>
        </row>
        <row r="6">
          <cell r="B6" t="str">
            <v>SL.NO.</v>
          </cell>
          <cell r="C6" t="str">
            <v>ACTIVITY</v>
          </cell>
          <cell r="D6" t="str">
            <v xml:space="preserve">  %</v>
          </cell>
          <cell r="E6" t="str">
            <v>COMP</v>
          </cell>
          <cell r="F6" t="str">
            <v xml:space="preserve"> COMP</v>
          </cell>
          <cell r="G6" t="str">
            <v>FEB</v>
          </cell>
          <cell r="H6" t="str">
            <v>MAR</v>
          </cell>
          <cell r="I6" t="str">
            <v>APR</v>
          </cell>
          <cell r="J6" t="str">
            <v>MAY</v>
          </cell>
          <cell r="K6" t="str">
            <v>JUN</v>
          </cell>
          <cell r="L6" t="str">
            <v>JUL</v>
          </cell>
          <cell r="M6" t="str">
            <v>AUG</v>
          </cell>
          <cell r="N6" t="str">
            <v>SEP</v>
          </cell>
          <cell r="O6" t="str">
            <v>OCT</v>
          </cell>
          <cell r="P6" t="str">
            <v>NOV</v>
          </cell>
          <cell r="Q6" t="str">
            <v>DEC</v>
          </cell>
          <cell r="R6" t="str">
            <v>JAN</v>
          </cell>
          <cell r="S6" t="str">
            <v>FEB</v>
          </cell>
          <cell r="T6" t="str">
            <v>MAR</v>
          </cell>
          <cell r="U6" t="str">
            <v>APR</v>
          </cell>
          <cell r="V6" t="str">
            <v>MAY</v>
          </cell>
          <cell r="W6" t="str">
            <v>JUN</v>
          </cell>
          <cell r="X6" t="str">
            <v>JUL</v>
          </cell>
          <cell r="Y6" t="str">
            <v>AUG</v>
          </cell>
          <cell r="Z6" t="str">
            <v>SEP</v>
          </cell>
          <cell r="AA6" t="str">
            <v>OCT</v>
          </cell>
          <cell r="AB6" t="str">
            <v>NOV</v>
          </cell>
          <cell r="AC6" t="str">
            <v>DEC</v>
          </cell>
          <cell r="AD6" t="str">
            <v>JAN</v>
          </cell>
          <cell r="AE6" t="str">
            <v>FEB</v>
          </cell>
          <cell r="AF6" t="str">
            <v>MAR</v>
          </cell>
        </row>
        <row r="8">
          <cell r="B8" t="str">
            <v>1</v>
          </cell>
          <cell r="C8" t="str">
            <v>Marine Works -                  Onshore</v>
          </cell>
          <cell r="D8">
            <v>3.35</v>
          </cell>
          <cell r="E8">
            <v>73.134328358208961</v>
          </cell>
          <cell r="F8">
            <v>2.4500000000000002</v>
          </cell>
        </row>
        <row r="9">
          <cell r="B9" t="str">
            <v>2</v>
          </cell>
          <cell r="C9" t="str">
            <v>Onshore Facilities</v>
          </cell>
          <cell r="D9">
            <v>41.43</v>
          </cell>
          <cell r="E9">
            <v>5.9618633840212407</v>
          </cell>
          <cell r="F9">
            <v>2.4700000000000002</v>
          </cell>
        </row>
        <row r="10">
          <cell r="B10" t="str">
            <v>3</v>
          </cell>
          <cell r="C10" t="str">
            <v>Central Platform -                Marine Works</v>
          </cell>
          <cell r="D10">
            <v>3.86</v>
          </cell>
          <cell r="E10">
            <v>11.917098445595856</v>
          </cell>
          <cell r="F10">
            <v>0.46</v>
          </cell>
        </row>
        <row r="11">
          <cell r="B11" t="str">
            <v>4</v>
          </cell>
          <cell r="C11" t="str">
            <v>Central Platform -              Other works</v>
          </cell>
          <cell r="D11">
            <v>16.440000000000001</v>
          </cell>
        </row>
        <row r="12">
          <cell r="B12" t="str">
            <v>5</v>
          </cell>
          <cell r="C12" t="str">
            <v>Approach Jetty to Platform - Marine Works</v>
          </cell>
          <cell r="D12">
            <v>8.8800000000000008</v>
          </cell>
          <cell r="E12">
            <v>8.108108108108107</v>
          </cell>
          <cell r="F12">
            <v>0.72</v>
          </cell>
        </row>
        <row r="13">
          <cell r="B13" t="str">
            <v>6</v>
          </cell>
          <cell r="C13" t="str">
            <v>Approach Jetty to Platform - Other Works</v>
          </cell>
          <cell r="D13">
            <v>3.12</v>
          </cell>
        </row>
        <row r="14">
          <cell r="B14" t="str">
            <v>7</v>
          </cell>
          <cell r="C14" t="str">
            <v>Breasting Dolphins - Marine Works</v>
          </cell>
          <cell r="D14">
            <v>5.4</v>
          </cell>
          <cell r="E14">
            <v>16.666666666666664</v>
          </cell>
          <cell r="F14">
            <v>0.9</v>
          </cell>
        </row>
        <row r="15">
          <cell r="B15" t="str">
            <v>8</v>
          </cell>
          <cell r="C15" t="str">
            <v>Mooring Dolphins 1&amp; 2 - Marine Works</v>
          </cell>
          <cell r="D15">
            <v>6.18</v>
          </cell>
          <cell r="E15">
            <v>12.459546925566343</v>
          </cell>
          <cell r="F15">
            <v>0.77</v>
          </cell>
        </row>
        <row r="16">
          <cell r="B16" t="str">
            <v>9</v>
          </cell>
          <cell r="C16" t="str">
            <v>Mooring Dolphins 3&amp; 4 - Marine Works</v>
          </cell>
          <cell r="D16">
            <v>6.18</v>
          </cell>
          <cell r="E16">
            <v>4.3689320388349522</v>
          </cell>
          <cell r="F16">
            <v>0.27</v>
          </cell>
        </row>
        <row r="17">
          <cell r="B17" t="str">
            <v>10</v>
          </cell>
          <cell r="C17" t="str">
            <v>Walkway -                           Marine Works</v>
          </cell>
          <cell r="D17">
            <v>5.2</v>
          </cell>
        </row>
        <row r="20">
          <cell r="B20" t="str">
            <v>WEIGHTED OVERALL %</v>
          </cell>
          <cell r="D20">
            <v>100.04</v>
          </cell>
          <cell r="F20">
            <v>8.0399999999999991</v>
          </cell>
        </row>
        <row r="21">
          <cell r="C21" t="str">
            <v>PLANNED %</v>
          </cell>
          <cell r="Q21">
            <v>8.039636999999999</v>
          </cell>
          <cell r="R21">
            <v>12.932700000000001</v>
          </cell>
          <cell r="S21">
            <v>19.394200000000001</v>
          </cell>
          <cell r="T21">
            <v>27.573300000000003</v>
          </cell>
          <cell r="U21">
            <v>36.170600000000007</v>
          </cell>
          <cell r="V21">
            <v>44.511499999999998</v>
          </cell>
          <cell r="W21">
            <v>51.386800000000008</v>
          </cell>
          <cell r="X21">
            <v>58.437600000000003</v>
          </cell>
          <cell r="Y21">
            <v>65.783600000000007</v>
          </cell>
          <cell r="Z21">
            <v>73.623400000000004</v>
          </cell>
          <cell r="AA21">
            <v>81.258200000000002</v>
          </cell>
          <cell r="AB21">
            <v>88.594700000000003</v>
          </cell>
          <cell r="AC21">
            <v>94.266199999999998</v>
          </cell>
          <cell r="AD21">
            <v>97.810699999999997</v>
          </cell>
          <cell r="AE21">
            <v>100.04</v>
          </cell>
        </row>
        <row r="22">
          <cell r="C22" t="str">
            <v>ACTUAL %</v>
          </cell>
          <cell r="H22">
            <v>0.17</v>
          </cell>
          <cell r="I22">
            <v>0.89</v>
          </cell>
          <cell r="J22">
            <v>2.39</v>
          </cell>
          <cell r="K22">
            <v>2.39</v>
          </cell>
          <cell r="L22">
            <v>3.95</v>
          </cell>
          <cell r="M22">
            <v>4.41</v>
          </cell>
          <cell r="N22">
            <v>4.8</v>
          </cell>
          <cell r="O22">
            <v>5.3</v>
          </cell>
          <cell r="P22">
            <v>6.5650000000000004</v>
          </cell>
          <cell r="Q22">
            <v>8.0340000000000007</v>
          </cell>
        </row>
        <row r="23">
          <cell r="C23" t="str">
            <v>SCH.MANPOWER</v>
          </cell>
          <cell r="R23">
            <v>392.44503999999995</v>
          </cell>
          <cell r="S23">
            <v>517.92000000000007</v>
          </cell>
          <cell r="T23">
            <v>655.32799999999997</v>
          </cell>
          <cell r="U23">
            <v>688.78400000000011</v>
          </cell>
          <cell r="V23">
            <v>668.27200000000005</v>
          </cell>
          <cell r="W23">
            <v>551.024</v>
          </cell>
          <cell r="X23">
            <v>565.06399999999996</v>
          </cell>
          <cell r="Y23">
            <v>588.67999999999995</v>
          </cell>
          <cell r="Z23">
            <v>628.1840000000002</v>
          </cell>
          <cell r="AA23">
            <v>611.78400000000011</v>
          </cell>
          <cell r="AB23">
            <v>587.92000000000007</v>
          </cell>
          <cell r="AC23">
            <v>454.72000000000008</v>
          </cell>
          <cell r="AD23">
            <v>284.56000000000006</v>
          </cell>
          <cell r="AE23">
            <v>179.34400000000002</v>
          </cell>
        </row>
        <row r="24">
          <cell r="C24" t="str">
            <v>ACT.MANPOWER</v>
          </cell>
          <cell r="H24">
            <v>30</v>
          </cell>
          <cell r="I24">
            <v>50</v>
          </cell>
          <cell r="J24">
            <v>90</v>
          </cell>
          <cell r="K24" t="str">
            <v>-</v>
          </cell>
          <cell r="L24">
            <v>595</v>
          </cell>
          <cell r="M24">
            <v>300</v>
          </cell>
          <cell r="N24">
            <v>240</v>
          </cell>
          <cell r="O24">
            <v>180</v>
          </cell>
          <cell r="P24">
            <v>367.5</v>
          </cell>
          <cell r="Q24">
            <v>332.08333333333331</v>
          </cell>
        </row>
        <row r="26">
          <cell r="C26" t="str">
            <v>SCH.PROGRESS</v>
          </cell>
          <cell r="E26" t="str">
            <v xml:space="preserve"> </v>
          </cell>
          <cell r="F26">
            <v>3</v>
          </cell>
          <cell r="J26">
            <v>36174</v>
          </cell>
          <cell r="V26" t="str">
            <v>PRODUCT JETTY - UNIT 7600</v>
          </cell>
        </row>
        <row r="27">
          <cell r="C27" t="str">
            <v xml:space="preserve"> ACT.PROGRESS</v>
          </cell>
          <cell r="F27">
            <v>2</v>
          </cell>
          <cell r="J27">
            <v>36047</v>
          </cell>
          <cell r="V27" t="str">
            <v>OVERALL CONSTRUCTION S - CURVE</v>
          </cell>
        </row>
        <row r="28">
          <cell r="C28" t="str">
            <v>SCH.MANPOWER</v>
          </cell>
          <cell r="F28">
            <v>1</v>
          </cell>
          <cell r="J28">
            <v>35819</v>
          </cell>
          <cell r="V28" t="str">
            <v>ESSAR OIL LIMITED - INDIA</v>
          </cell>
        </row>
        <row r="29">
          <cell r="F29" t="str">
            <v>REV.</v>
          </cell>
          <cell r="G29" t="str">
            <v>PREPARED BY</v>
          </cell>
          <cell r="J29" t="str">
            <v>DATE</v>
          </cell>
          <cell r="L29" t="str">
            <v>CHECKED BY</v>
          </cell>
          <cell r="O29" t="str">
            <v>DATE</v>
          </cell>
          <cell r="Q29" t="str">
            <v>APPROVED BY</v>
          </cell>
          <cell r="T29" t="str">
            <v>DATE</v>
          </cell>
          <cell r="V29" t="str">
            <v>JOB.NO.0-7988</v>
          </cell>
          <cell r="Y29" t="str">
            <v>DEPT:</v>
          </cell>
          <cell r="AC29" t="str">
            <v>STATUS AS OF 31 DEC 98</v>
          </cell>
        </row>
      </sheetData>
      <sheetData sheetId="3" refreshError="1"/>
      <sheetData sheetId="4" refreshError="1">
        <row r="3">
          <cell r="B3" t="str">
            <v>PRODUCT JETTY  (7600)</v>
          </cell>
        </row>
        <row r="5">
          <cell r="D5" t="str">
            <v xml:space="preserve">Wtd </v>
          </cell>
          <cell r="E5" t="str">
            <v>%</v>
          </cell>
          <cell r="F5" t="str">
            <v>Wtd %</v>
          </cell>
          <cell r="G5">
            <v>1998</v>
          </cell>
          <cell r="R5">
            <v>1999</v>
          </cell>
        </row>
        <row r="6">
          <cell r="B6" t="str">
            <v>SL.NO.</v>
          </cell>
          <cell r="C6" t="str">
            <v>ACTIVITY</v>
          </cell>
          <cell r="D6" t="str">
            <v xml:space="preserve">  %</v>
          </cell>
          <cell r="E6" t="str">
            <v>COMP</v>
          </cell>
          <cell r="F6" t="str">
            <v xml:space="preserve"> COMP</v>
          </cell>
          <cell r="G6" t="str">
            <v>FEB</v>
          </cell>
          <cell r="H6" t="str">
            <v>MAR</v>
          </cell>
          <cell r="I6" t="str">
            <v>APR</v>
          </cell>
          <cell r="J6" t="str">
            <v>MAY</v>
          </cell>
          <cell r="K6" t="str">
            <v>JUN</v>
          </cell>
          <cell r="L6" t="str">
            <v>JUL</v>
          </cell>
          <cell r="M6" t="str">
            <v>AUG</v>
          </cell>
          <cell r="N6" t="str">
            <v>SEP</v>
          </cell>
          <cell r="O6" t="str">
            <v>OCT</v>
          </cell>
          <cell r="P6" t="str">
            <v>NOV</v>
          </cell>
          <cell r="Q6" t="str">
            <v>DEC</v>
          </cell>
          <cell r="R6" t="str">
            <v>JAN</v>
          </cell>
          <cell r="S6" t="str">
            <v>FEB</v>
          </cell>
          <cell r="T6" t="str">
            <v>MAR</v>
          </cell>
          <cell r="U6" t="str">
            <v>APR</v>
          </cell>
          <cell r="V6" t="str">
            <v>MAY</v>
          </cell>
          <cell r="W6" t="str">
            <v>JUN</v>
          </cell>
          <cell r="X6" t="str">
            <v>JUL</v>
          </cell>
          <cell r="Y6" t="str">
            <v>AUG</v>
          </cell>
          <cell r="Z6" t="str">
            <v>SEP</v>
          </cell>
          <cell r="AA6" t="str">
            <v>OCT</v>
          </cell>
          <cell r="AB6" t="str">
            <v>NOV</v>
          </cell>
          <cell r="AC6" t="str">
            <v>DEC</v>
          </cell>
        </row>
        <row r="8">
          <cell r="B8" t="str">
            <v>1</v>
          </cell>
          <cell r="C8" t="str">
            <v>Marine Works -                  Onshore</v>
          </cell>
          <cell r="D8">
            <v>3.35</v>
          </cell>
          <cell r="E8">
            <v>73.134328358208961</v>
          </cell>
          <cell r="F8">
            <v>2.4500000000000002</v>
          </cell>
        </row>
        <row r="9">
          <cell r="B9" t="str">
            <v>2</v>
          </cell>
          <cell r="C9" t="str">
            <v>Onshore Facilities</v>
          </cell>
          <cell r="D9">
            <v>41.43</v>
          </cell>
          <cell r="E9">
            <v>5.9618633840212407</v>
          </cell>
          <cell r="F9">
            <v>2.4700000000000002</v>
          </cell>
        </row>
        <row r="10">
          <cell r="B10" t="str">
            <v>3</v>
          </cell>
          <cell r="C10" t="str">
            <v>Central Platform -                Marine Works</v>
          </cell>
          <cell r="D10">
            <v>3.86</v>
          </cell>
          <cell r="E10">
            <v>11.917098445595856</v>
          </cell>
          <cell r="F10">
            <v>0.46</v>
          </cell>
        </row>
        <row r="11">
          <cell r="B11" t="str">
            <v>4</v>
          </cell>
          <cell r="C11" t="str">
            <v>Central Platform -              Other works</v>
          </cell>
          <cell r="D11">
            <v>16.440000000000001</v>
          </cell>
        </row>
        <row r="12">
          <cell r="B12" t="str">
            <v>5</v>
          </cell>
          <cell r="C12" t="str">
            <v>Approach Jetty to Platform - Marine Works</v>
          </cell>
          <cell r="D12">
            <v>8.8800000000000008</v>
          </cell>
          <cell r="E12">
            <v>8.108108108108107</v>
          </cell>
          <cell r="F12">
            <v>0.72</v>
          </cell>
        </row>
        <row r="13">
          <cell r="B13" t="str">
            <v>6</v>
          </cell>
          <cell r="C13" t="str">
            <v>Approach Jetty to Platform - Other Works</v>
          </cell>
          <cell r="D13">
            <v>3.12</v>
          </cell>
        </row>
        <row r="14">
          <cell r="B14" t="str">
            <v>7</v>
          </cell>
          <cell r="C14" t="str">
            <v>Breasting Dolphins - Marine Works</v>
          </cell>
          <cell r="D14">
            <v>5.4</v>
          </cell>
          <cell r="E14">
            <v>16.666666666666664</v>
          </cell>
          <cell r="F14">
            <v>0.9</v>
          </cell>
        </row>
        <row r="15">
          <cell r="B15" t="str">
            <v>8</v>
          </cell>
          <cell r="C15" t="str">
            <v>Mooring Dolphins 1&amp; 2 - Marine Works</v>
          </cell>
          <cell r="D15">
            <v>6.18</v>
          </cell>
          <cell r="E15">
            <v>12.459546925566343</v>
          </cell>
          <cell r="F15">
            <v>0.77</v>
          </cell>
        </row>
        <row r="16">
          <cell r="B16" t="str">
            <v>9</v>
          </cell>
          <cell r="C16" t="str">
            <v>Mooring Dolphins 3&amp; 4 - Marine Works</v>
          </cell>
          <cell r="D16">
            <v>6.18</v>
          </cell>
          <cell r="E16">
            <v>4.3689320388349522</v>
          </cell>
          <cell r="F16">
            <v>0.27</v>
          </cell>
        </row>
        <row r="17">
          <cell r="B17" t="str">
            <v>10</v>
          </cell>
          <cell r="C17" t="str">
            <v>Walkway -                           Marine Works</v>
          </cell>
          <cell r="D17">
            <v>5.2</v>
          </cell>
        </row>
        <row r="20">
          <cell r="B20" t="str">
            <v>WEIGHTED OVERALL %</v>
          </cell>
          <cell r="D20">
            <v>100.04</v>
          </cell>
          <cell r="F20">
            <v>8.0399999999999991</v>
          </cell>
        </row>
        <row r="21">
          <cell r="C21" t="str">
            <v>PLANNED %</v>
          </cell>
          <cell r="M21">
            <v>4.3894599999999997</v>
          </cell>
          <cell r="N21">
            <v>8.2471999999999994</v>
          </cell>
          <cell r="O21">
            <v>13.4221</v>
          </cell>
          <cell r="P21">
            <v>19.3918</v>
          </cell>
          <cell r="Q21">
            <v>23.442499999999999</v>
          </cell>
          <cell r="R21">
            <v>31.723600000000005</v>
          </cell>
          <cell r="S21">
            <v>44.155700000000003</v>
          </cell>
          <cell r="T21">
            <v>57.589299999999994</v>
          </cell>
          <cell r="U21">
            <v>71.812300000000008</v>
          </cell>
          <cell r="V21">
            <v>84.773599999999988</v>
          </cell>
          <cell r="W21">
            <v>94.648499999999999</v>
          </cell>
          <cell r="X21">
            <v>99.447800000000001</v>
          </cell>
          <cell r="Y21">
            <v>100</v>
          </cell>
        </row>
        <row r="22">
          <cell r="C22" t="str">
            <v>ACTUAL %</v>
          </cell>
          <cell r="H22">
            <v>0.17</v>
          </cell>
          <cell r="I22">
            <v>0.89</v>
          </cell>
          <cell r="J22">
            <v>2.39</v>
          </cell>
          <cell r="K22">
            <v>2.39</v>
          </cell>
          <cell r="L22">
            <v>3.95</v>
          </cell>
          <cell r="M22">
            <v>4.41</v>
          </cell>
          <cell r="N22">
            <v>4.8</v>
          </cell>
          <cell r="O22">
            <v>5.3</v>
          </cell>
          <cell r="P22">
            <v>6.5650000000000004</v>
          </cell>
          <cell r="Q22">
            <v>8.0340000000000007</v>
          </cell>
        </row>
        <row r="23">
          <cell r="C23" t="str">
            <v>SCH.MANPOWER</v>
          </cell>
          <cell r="M23">
            <v>70.278400000000005</v>
          </cell>
          <cell r="N23">
            <v>308.61920000000003</v>
          </cell>
          <cell r="O23">
            <v>413.99200000000002</v>
          </cell>
          <cell r="P23">
            <v>477.57600000000002</v>
          </cell>
          <cell r="Q23">
            <v>508.44799999999998</v>
          </cell>
          <cell r="R23">
            <v>662.48799999999994</v>
          </cell>
          <cell r="S23">
            <v>810.17600000000004</v>
          </cell>
          <cell r="T23">
            <v>1074.6880000000001</v>
          </cell>
          <cell r="U23">
            <v>1137.8399999999999</v>
          </cell>
          <cell r="V23">
            <v>1036.904</v>
          </cell>
          <cell r="W23">
            <v>789.99199999999996</v>
          </cell>
          <cell r="X23">
            <v>383.94400000000002</v>
          </cell>
          <cell r="Y23">
            <v>44.175999999999995</v>
          </cell>
        </row>
        <row r="24">
          <cell r="C24" t="str">
            <v>ACT.MANPOWER</v>
          </cell>
          <cell r="H24">
            <v>30</v>
          </cell>
          <cell r="I24">
            <v>50</v>
          </cell>
          <cell r="J24">
            <v>90</v>
          </cell>
          <cell r="K24" t="str">
            <v>-</v>
          </cell>
          <cell r="L24">
            <v>595</v>
          </cell>
          <cell r="M24">
            <v>300</v>
          </cell>
          <cell r="N24">
            <v>240</v>
          </cell>
          <cell r="O24">
            <v>180</v>
          </cell>
          <cell r="P24">
            <v>367.5</v>
          </cell>
          <cell r="Q24">
            <v>332.08333333333331</v>
          </cell>
        </row>
        <row r="26">
          <cell r="E26" t="str">
            <v>SCH.PROG. AS PER 15SEP99 OLN</v>
          </cell>
          <cell r="R26" t="str">
            <v xml:space="preserve">PRODUCT JETTY </v>
          </cell>
        </row>
        <row r="27">
          <cell r="C27" t="str">
            <v xml:space="preserve"> ACT.PROGRESS</v>
          </cell>
          <cell r="F27">
            <v>2</v>
          </cell>
          <cell r="G27">
            <v>36047</v>
          </cell>
          <cell r="R27" t="str">
            <v>OVERALL CONSTRUCTION S- CURVE</v>
          </cell>
        </row>
        <row r="28">
          <cell r="C28" t="str">
            <v>SCH.MANPOWER</v>
          </cell>
          <cell r="F28">
            <v>1</v>
          </cell>
          <cell r="G28">
            <v>35819</v>
          </cell>
          <cell r="R28" t="str">
            <v>ESSAR OIL LIMITED - INDIA</v>
          </cell>
        </row>
        <row r="29">
          <cell r="E29" t="str">
            <v>SCH.PROG. AS PER 20DEC99 OLN</v>
          </cell>
          <cell r="F29" t="str">
            <v>REV.</v>
          </cell>
          <cell r="G29" t="str">
            <v>DATE</v>
          </cell>
          <cell r="I29" t="str">
            <v>PREPARED BY</v>
          </cell>
          <cell r="L29" t="str">
            <v>CHECKED BY</v>
          </cell>
          <cell r="O29" t="str">
            <v>APPROVED BY</v>
          </cell>
          <cell r="R29" t="str">
            <v>JOB.NO.0-7988</v>
          </cell>
          <cell r="U29" t="str">
            <v>DEPT:</v>
          </cell>
          <cell r="W29" t="str">
            <v>STATUS AS OF 31 DEC 98</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Info"/>
      <sheetName val="Dashboard"/>
      <sheetName val="Summary Facesheet"/>
      <sheetName val="Change Order Details"/>
      <sheetName val="Change Order Summary"/>
      <sheetName val="DPMD"/>
      <sheetName val="Non Cap"/>
      <sheetName val="EandHO"/>
      <sheetName val="IFC"/>
      <sheetName val="LS Contract"/>
      <sheetName val="Engr Equip"/>
      <sheetName val="Field Lab"/>
      <sheetName val="Field Mat"/>
      <sheetName val="Others"/>
      <sheetName val="Definitions"/>
    </sheetNames>
    <sheetDataSet>
      <sheetData sheetId="0" refreshError="1"/>
      <sheetData sheetId="1" refreshError="1"/>
      <sheetData sheetId="2" refreshError="1"/>
      <sheetData sheetId="3" refreshError="1"/>
      <sheetData sheetId="4" refreshError="1"/>
      <sheetData sheetId="5">
        <row r="2">
          <cell r="B2" t="str">
            <v>Project_nr</v>
          </cell>
        </row>
        <row r="3">
          <cell r="B3" t="str">
            <v>Project_name</v>
          </cell>
        </row>
        <row r="4">
          <cell r="B4" t="str">
            <v>Site_name</v>
          </cell>
        </row>
        <row r="8">
          <cell r="D8" t="str">
            <v>A</v>
          </cell>
          <cell r="L8">
            <v>0</v>
          </cell>
        </row>
        <row r="9">
          <cell r="D9" t="str">
            <v>A</v>
          </cell>
          <cell r="L9">
            <v>0</v>
          </cell>
        </row>
        <row r="10">
          <cell r="D10" t="str">
            <v>A</v>
          </cell>
          <cell r="L10">
            <v>0</v>
          </cell>
        </row>
        <row r="11">
          <cell r="D11" t="str">
            <v>A</v>
          </cell>
          <cell r="L11">
            <v>0</v>
          </cell>
        </row>
        <row r="12">
          <cell r="D12" t="str">
            <v>A</v>
          </cell>
          <cell r="L12">
            <v>0</v>
          </cell>
        </row>
        <row r="13">
          <cell r="D13" t="str">
            <v>A</v>
          </cell>
          <cell r="L13">
            <v>0</v>
          </cell>
        </row>
        <row r="14">
          <cell r="D14" t="str">
            <v>A</v>
          </cell>
          <cell r="L14">
            <v>0</v>
          </cell>
        </row>
        <row r="15">
          <cell r="D15" t="str">
            <v>A</v>
          </cell>
          <cell r="L15">
            <v>0</v>
          </cell>
        </row>
        <row r="16">
          <cell r="D16" t="str">
            <v>A</v>
          </cell>
          <cell r="L16">
            <v>0</v>
          </cell>
        </row>
        <row r="17">
          <cell r="D17" t="str">
            <v>A</v>
          </cell>
          <cell r="L17">
            <v>0</v>
          </cell>
        </row>
        <row r="18">
          <cell r="D18" t="str">
            <v>A</v>
          </cell>
          <cell r="L18">
            <v>0</v>
          </cell>
        </row>
        <row r="19">
          <cell r="D19" t="str">
            <v>A</v>
          </cell>
          <cell r="L19">
            <v>0</v>
          </cell>
        </row>
        <row r="20">
          <cell r="D20" t="str">
            <v>A</v>
          </cell>
          <cell r="L20">
            <v>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_full_total"/>
      <sheetName val="Summary_winning"/>
      <sheetName val="Summary_baseline"/>
      <sheetName val="Channel Financial_winning"/>
      <sheetName val="Channel Financial baseline"/>
      <sheetName val="MI_full_baseline"/>
      <sheetName val="by product composition_baseline"/>
      <sheetName val="by channel_baseline"/>
      <sheetName val="by channel_Initiatives"/>
      <sheetName val="Vol_GM_winning"/>
      <sheetName val="by channel_Total"/>
      <sheetName val="Market Map"/>
      <sheetName val="LBM_Projection"/>
      <sheetName val="Sheet3"/>
      <sheetName val="Finance"/>
      <sheetName val="Cost assumption"/>
      <sheetName val="Direct cost_winning_USD"/>
      <sheetName val="Direct cost_winning"/>
      <sheetName val="Direct cost_baseline"/>
      <sheetName val="Direct cost_additional"/>
      <sheetName val="Pocket margin_baseline"/>
      <sheetName val="Vol_GM_baseline"/>
      <sheetName val="Sheet1"/>
      <sheetName val="Pocket margin_winning"/>
      <sheetName val="Sheet2"/>
      <sheetName val="MI_database_winning_final_revis"/>
    </sheetNames>
    <sheetDataSet>
      <sheetData sheetId="0">
        <row r="4">
          <cell r="H4">
            <v>59.290280000000003</v>
          </cell>
        </row>
      </sheetData>
      <sheetData sheetId="1">
        <row r="13">
          <cell r="P13">
            <v>85557.624395562612</v>
          </cell>
        </row>
      </sheetData>
      <sheetData sheetId="2">
        <row r="13">
          <cell r="H13">
            <v>71077.196523104867</v>
          </cell>
        </row>
      </sheetData>
      <sheetData sheetId="3"/>
      <sheetData sheetId="4"/>
      <sheetData sheetId="5"/>
      <sheetData sheetId="6">
        <row r="1">
          <cell r="B1">
            <v>0</v>
          </cell>
          <cell r="C1">
            <v>0</v>
          </cell>
          <cell r="D1">
            <v>0</v>
          </cell>
          <cell r="E1">
            <v>0</v>
          </cell>
          <cell r="O1" t="str">
            <v>X005</v>
          </cell>
          <cell r="P1" t="str">
            <v>X006</v>
          </cell>
          <cell r="Q1" t="str">
            <v>X007</v>
          </cell>
          <cell r="R1" t="str">
            <v>X008</v>
          </cell>
          <cell r="S1" t="str">
            <v>X009</v>
          </cell>
          <cell r="T1" t="str">
            <v>X010</v>
          </cell>
          <cell r="U1" t="str">
            <v>X011</v>
          </cell>
          <cell r="V1" t="str">
            <v>X012</v>
          </cell>
          <cell r="W1" t="str">
            <v>X013</v>
          </cell>
          <cell r="X1">
            <v>0</v>
          </cell>
          <cell r="Y1">
            <v>0</v>
          </cell>
          <cell r="Z1">
            <v>0</v>
          </cell>
          <cell r="AA1">
            <v>0</v>
          </cell>
          <cell r="AB1">
            <v>0</v>
          </cell>
          <cell r="AC1">
            <v>0</v>
          </cell>
          <cell r="AD1">
            <v>0</v>
          </cell>
          <cell r="AE1">
            <v>0</v>
          </cell>
          <cell r="AF1">
            <v>0</v>
          </cell>
          <cell r="AG1">
            <v>0</v>
          </cell>
          <cell r="AH1">
            <v>0</v>
          </cell>
          <cell r="AI1">
            <v>0</v>
          </cell>
          <cell r="AJ1" t="str">
            <v>X015</v>
          </cell>
          <cell r="AK1" t="str">
            <v>X016</v>
          </cell>
          <cell r="AL1" t="str">
            <v>X017</v>
          </cell>
          <cell r="AM1" t="str">
            <v>X018</v>
          </cell>
          <cell r="AN1" t="str">
            <v>X019</v>
          </cell>
          <cell r="AO1" t="str">
            <v>X020</v>
          </cell>
          <cell r="AP1" t="str">
            <v>X021</v>
          </cell>
          <cell r="AQ1" t="str">
            <v>X022</v>
          </cell>
          <cell r="AR1" t="str">
            <v>X023</v>
          </cell>
          <cell r="AS1">
            <v>0</v>
          </cell>
          <cell r="AT1">
            <v>0</v>
          </cell>
        </row>
        <row r="4">
          <cell r="B4" t="str">
            <v>VolumeIndustrialSynthetics</v>
          </cell>
          <cell r="C4" t="str">
            <v>Volume</v>
          </cell>
          <cell r="D4" t="str">
            <v>Industrial</v>
          </cell>
          <cell r="E4" t="str">
            <v>Synthetics</v>
          </cell>
          <cell r="F4">
            <v>978.51131576470596</v>
          </cell>
          <cell r="G4">
            <v>934.89700500000004</v>
          </cell>
          <cell r="H4">
            <v>1003.7276424999999</v>
          </cell>
          <cell r="I4">
            <v>1069.47069938</v>
          </cell>
          <cell r="J4">
            <v>1137.4937419207199</v>
          </cell>
          <cell r="K4">
            <v>1207.8794503105096</v>
          </cell>
          <cell r="L4">
            <v>1284.5449264281879</v>
          </cell>
          <cell r="M4">
            <v>1387.7098376901697</v>
          </cell>
          <cell r="N4">
            <v>1497.1616647279714</v>
          </cell>
          <cell r="O4">
            <v>0.02</v>
          </cell>
          <cell r="P4">
            <v>2.1000000000000001E-2</v>
          </cell>
          <cell r="Q4">
            <v>2.1999999999999999E-2</v>
          </cell>
          <cell r="R4">
            <v>2.3E-2</v>
          </cell>
          <cell r="S4">
            <v>2.4E-2</v>
          </cell>
          <cell r="T4">
            <v>2.5000000000000001E-2</v>
          </cell>
          <cell r="U4">
            <v>2.5999999999999999E-2</v>
          </cell>
          <cell r="V4">
            <v>2.7E-2</v>
          </cell>
          <cell r="W4">
            <v>2.8000000000000001E-2</v>
          </cell>
          <cell r="X4">
            <v>0</v>
          </cell>
          <cell r="Y4">
            <v>0</v>
          </cell>
          <cell r="AA4">
            <v>27.487096000000001</v>
          </cell>
          <cell r="AB4">
            <v>24.231766</v>
          </cell>
          <cell r="AC4">
            <v>27.005700000000001</v>
          </cell>
          <cell r="AD4">
            <v>27.620025000000002</v>
          </cell>
          <cell r="AE4">
            <v>28.263692250000005</v>
          </cell>
          <cell r="AF4">
            <v>28.924188394500003</v>
          </cell>
          <cell r="AG4">
            <v>29.626429127065006</v>
          </cell>
          <cell r="AH4">
            <v>31.042552828487658</v>
          </cell>
          <cell r="AI4">
            <v>32.527590376131798</v>
          </cell>
          <cell r="AJ4">
            <v>2E-3</v>
          </cell>
          <cell r="AK4">
            <v>2E-3</v>
          </cell>
          <cell r="AL4">
            <v>2E-3</v>
          </cell>
          <cell r="AM4">
            <v>2E-3</v>
          </cell>
          <cell r="AN4">
            <v>2E-3</v>
          </cell>
          <cell r="AO4">
            <v>2E-3</v>
          </cell>
          <cell r="AP4">
            <v>2E-3</v>
          </cell>
          <cell r="AQ4">
            <v>2E-3</v>
          </cell>
          <cell r="AR4">
            <v>2E-3</v>
          </cell>
          <cell r="AS4">
            <v>0</v>
          </cell>
          <cell r="AT4">
            <v>0</v>
          </cell>
        </row>
        <row r="5">
          <cell r="B5" t="str">
            <v>VolumeIndustrialPart Synthetics</v>
          </cell>
          <cell r="C5" t="str">
            <v>Volume</v>
          </cell>
          <cell r="D5" t="str">
            <v>Industrial</v>
          </cell>
          <cell r="E5" t="str">
            <v>Part Synthetics</v>
          </cell>
          <cell r="F5">
            <v>244.62782894117649</v>
          </cell>
          <cell r="G5">
            <v>222.594525</v>
          </cell>
          <cell r="H5">
            <v>228.11991875000001</v>
          </cell>
          <cell r="I5">
            <v>232.49363030000001</v>
          </cell>
          <cell r="J5">
            <v>236.97786290015</v>
          </cell>
          <cell r="K5">
            <v>241.57589006210191</v>
          </cell>
          <cell r="L5">
            <v>247.02787046695923</v>
          </cell>
          <cell r="M5">
            <v>256.98330327595738</v>
          </cell>
          <cell r="N5">
            <v>267.35029727285206</v>
          </cell>
          <cell r="O5">
            <v>5.0000000000000001E-3</v>
          </cell>
          <cell r="P5">
            <v>5.0000000000000001E-3</v>
          </cell>
          <cell r="Q5">
            <v>5.0000000000000001E-3</v>
          </cell>
          <cell r="R5">
            <v>5.0000000000000001E-3</v>
          </cell>
          <cell r="S5">
            <v>5.0000000000000001E-3</v>
          </cell>
          <cell r="T5">
            <v>5.0000000000000001E-3</v>
          </cell>
          <cell r="U5">
            <v>5.0000000000000001E-3</v>
          </cell>
          <cell r="V5">
            <v>5.0000000000000001E-3</v>
          </cell>
          <cell r="W5">
            <v>5.0000000000000001E-3</v>
          </cell>
          <cell r="X5">
            <v>0</v>
          </cell>
          <cell r="Y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row>
        <row r="6">
          <cell r="B6" t="str">
            <v>VolumeIndustrialMineral Multigrades</v>
          </cell>
          <cell r="C6" t="str">
            <v>Volume</v>
          </cell>
          <cell r="D6" t="str">
            <v>Industrial</v>
          </cell>
          <cell r="E6" t="str">
            <v>Mineral Multigrades</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row>
        <row r="7">
          <cell r="B7" t="str">
            <v>VolumeIndustrialMineral Monogrades</v>
          </cell>
          <cell r="C7" t="str">
            <v>Volume</v>
          </cell>
          <cell r="D7" t="str">
            <v>Industrial</v>
          </cell>
          <cell r="E7" t="str">
            <v>Mineral Monogrades</v>
          </cell>
          <cell r="F7">
            <v>42809.870064705887</v>
          </cell>
          <cell r="G7">
            <v>38909.522969999998</v>
          </cell>
          <cell r="H7">
            <v>39829.737813749998</v>
          </cell>
          <cell r="I7">
            <v>40546.889124319998</v>
          </cell>
          <cell r="J7">
            <v>41281.543717206128</v>
          </cell>
          <cell r="K7">
            <v>42034.204870805734</v>
          </cell>
          <cell r="L7">
            <v>42933.443887157511</v>
          </cell>
          <cell r="M7">
            <v>44612.301448706196</v>
          </cell>
          <cell r="N7">
            <v>46358.541547112545</v>
          </cell>
          <cell r="O7">
            <v>0.875</v>
          </cell>
          <cell r="P7">
            <v>0.874</v>
          </cell>
          <cell r="Q7">
            <v>0.873</v>
          </cell>
          <cell r="R7">
            <v>0.872</v>
          </cell>
          <cell r="S7">
            <v>0.871</v>
          </cell>
          <cell r="T7">
            <v>0.87</v>
          </cell>
          <cell r="U7">
            <v>0.86899999999999999</v>
          </cell>
          <cell r="V7">
            <v>0.86799999999999999</v>
          </cell>
          <cell r="W7">
            <v>0.86699999999999999</v>
          </cell>
          <cell r="X7">
            <v>0</v>
          </cell>
          <cell r="Y7">
            <v>0</v>
          </cell>
          <cell r="AA7">
            <v>11929.399664</v>
          </cell>
          <cell r="AB7">
            <v>10516.586444</v>
          </cell>
          <cell r="AC7">
            <v>11720.4738</v>
          </cell>
          <cell r="AD7">
            <v>11987.090850000001</v>
          </cell>
          <cell r="AE7">
            <v>12266.442436500001</v>
          </cell>
          <cell r="AF7">
            <v>12553.097763213002</v>
          </cell>
          <cell r="AG7">
            <v>12857.870241146213</v>
          </cell>
          <cell r="AH7">
            <v>13472.467927563643</v>
          </cell>
          <cell r="AI7">
            <v>14116.974223241199</v>
          </cell>
          <cell r="AJ7">
            <v>0.86799999999999999</v>
          </cell>
          <cell r="AK7">
            <v>0.86799999999999999</v>
          </cell>
          <cell r="AL7">
            <v>0.86799999999999999</v>
          </cell>
          <cell r="AM7">
            <v>0.86799999999999999</v>
          </cell>
          <cell r="AN7">
            <v>0.86799999999999999</v>
          </cell>
          <cell r="AO7">
            <v>0.86799999999999999</v>
          </cell>
          <cell r="AP7">
            <v>0.86799999999999999</v>
          </cell>
          <cell r="AQ7">
            <v>0.86799999999999999</v>
          </cell>
          <cell r="AR7">
            <v>0.86799999999999999</v>
          </cell>
          <cell r="AS7">
            <v>0</v>
          </cell>
          <cell r="AT7">
            <v>0</v>
          </cell>
        </row>
        <row r="8">
          <cell r="B8" t="str">
            <v>VolumeIndustrialSpecialities</v>
          </cell>
          <cell r="C8" t="str">
            <v>Volume</v>
          </cell>
          <cell r="D8" t="str">
            <v>Industrial</v>
          </cell>
          <cell r="E8" t="str">
            <v>Specialities</v>
          </cell>
          <cell r="F8">
            <v>4892.5565788235299</v>
          </cell>
          <cell r="G8">
            <v>4451.8905000000004</v>
          </cell>
          <cell r="H8">
            <v>4562.3983749999998</v>
          </cell>
          <cell r="I8">
            <v>4649.8726059999999</v>
          </cell>
          <cell r="J8">
            <v>4739.5572580030002</v>
          </cell>
          <cell r="K8">
            <v>4831.5178012420383</v>
          </cell>
          <cell r="L8">
            <v>4940.5574093391842</v>
          </cell>
          <cell r="M8">
            <v>5139.6660655191481</v>
          </cell>
          <cell r="N8">
            <v>5347.005945457041</v>
          </cell>
          <cell r="O8">
            <v>0.1</v>
          </cell>
          <cell r="P8">
            <v>0.1</v>
          </cell>
          <cell r="Q8">
            <v>0.1</v>
          </cell>
          <cell r="R8">
            <v>0.1</v>
          </cell>
          <cell r="S8">
            <v>0.1</v>
          </cell>
          <cell r="T8">
            <v>0.1</v>
          </cell>
          <cell r="U8">
            <v>0.1</v>
          </cell>
          <cell r="V8">
            <v>0.1</v>
          </cell>
          <cell r="W8">
            <v>0.1</v>
          </cell>
          <cell r="X8">
            <v>0</v>
          </cell>
          <cell r="Y8">
            <v>0</v>
          </cell>
          <cell r="AA8">
            <v>1786.6612400000001</v>
          </cell>
          <cell r="AB8">
            <v>1575.0647900000001</v>
          </cell>
          <cell r="AC8">
            <v>1755.3705000000002</v>
          </cell>
          <cell r="AD8">
            <v>1795.3016250000001</v>
          </cell>
          <cell r="AE8">
            <v>1837.1399962500002</v>
          </cell>
          <cell r="AF8">
            <v>1880.0722456425003</v>
          </cell>
          <cell r="AG8">
            <v>1925.7178932592255</v>
          </cell>
          <cell r="AH8">
            <v>2017.7659338516978</v>
          </cell>
          <cell r="AI8">
            <v>2114.2933744485667</v>
          </cell>
          <cell r="AJ8">
            <v>0.13</v>
          </cell>
          <cell r="AK8">
            <v>0.13</v>
          </cell>
          <cell r="AL8">
            <v>0.13</v>
          </cell>
          <cell r="AM8">
            <v>0.13</v>
          </cell>
          <cell r="AN8">
            <v>0.13</v>
          </cell>
          <cell r="AO8">
            <v>0.13</v>
          </cell>
          <cell r="AP8">
            <v>0.13</v>
          </cell>
          <cell r="AQ8">
            <v>0.13</v>
          </cell>
          <cell r="AR8">
            <v>0.13</v>
          </cell>
          <cell r="AS8">
            <v>0</v>
          </cell>
          <cell r="AT8">
            <v>0</v>
          </cell>
        </row>
        <row r="9">
          <cell r="B9" t="str">
            <v>VolumePCOSynthetics</v>
          </cell>
          <cell r="C9" t="str">
            <v>Volume</v>
          </cell>
          <cell r="D9" t="str">
            <v>PCO</v>
          </cell>
          <cell r="E9" t="str">
            <v>Synthetics</v>
          </cell>
          <cell r="F9">
            <v>791.37615250330089</v>
          </cell>
          <cell r="G9">
            <v>879.97596393097308</v>
          </cell>
          <cell r="H9">
            <v>898.66313072493392</v>
          </cell>
          <cell r="I9">
            <v>899.26208480530954</v>
          </cell>
          <cell r="J9">
            <v>970.36908794833096</v>
          </cell>
          <cell r="K9">
            <v>1007.7370989681721</v>
          </cell>
          <cell r="L9">
            <v>1118.3434976741908</v>
          </cell>
          <cell r="M9">
            <v>1183.094088878313</v>
          </cell>
          <cell r="N9">
            <v>1289.1991512998336</v>
          </cell>
          <cell r="O9">
            <v>7.4999999999999997E-2</v>
          </cell>
          <cell r="P9">
            <v>0.08</v>
          </cell>
          <cell r="Q9">
            <v>8.0000000000000016E-2</v>
          </cell>
          <cell r="R9">
            <v>0.08</v>
          </cell>
          <cell r="S9">
            <v>8.500000000000002E-2</v>
          </cell>
          <cell r="T9">
            <v>8.500000000000002E-2</v>
          </cell>
          <cell r="U9">
            <v>0.09</v>
          </cell>
          <cell r="V9">
            <v>9.0000000000000011E-2</v>
          </cell>
          <cell r="W9">
            <v>0.09</v>
          </cell>
          <cell r="X9">
            <v>0</v>
          </cell>
          <cell r="Y9">
            <v>0</v>
          </cell>
          <cell r="Z9">
            <v>0</v>
          </cell>
          <cell r="AA9">
            <v>98.419145033203705</v>
          </cell>
          <cell r="AB9">
            <v>111.55309050382502</v>
          </cell>
          <cell r="AC9">
            <v>216.00801161143841</v>
          </cell>
          <cell r="AD9">
            <v>219.28272808492071</v>
          </cell>
          <cell r="AE9">
            <v>251.79159886067794</v>
          </cell>
          <cell r="AF9">
            <v>289.22290861792487</v>
          </cell>
          <cell r="AG9">
            <v>332.33377644147561</v>
          </cell>
          <cell r="AH9">
            <v>381.99910002572733</v>
          </cell>
          <cell r="AI9">
            <v>439.23002552714155</v>
          </cell>
          <cell r="AJ9">
            <v>4.2688279404858566E-2</v>
          </cell>
          <cell r="AK9">
            <v>4.0915000631641503E-2</v>
          </cell>
          <cell r="AL9">
            <v>6.8015648367606416E-2</v>
          </cell>
          <cell r="AM9">
            <v>6.5384941634241259E-2</v>
          </cell>
          <cell r="AN9">
            <v>7.1070588732870921E-2</v>
          </cell>
          <cell r="AO9">
            <v>7.7250639927033612E-2</v>
          </cell>
          <cell r="AP9">
            <v>8.3968086877210482E-2</v>
          </cell>
          <cell r="AQ9">
            <v>9.1269659649141827E-2</v>
          </cell>
          <cell r="AR9">
            <v>9.9206151792545466E-2</v>
          </cell>
          <cell r="AS9">
            <v>0</v>
          </cell>
          <cell r="AT9">
            <v>0</v>
          </cell>
        </row>
        <row r="10">
          <cell r="B10" t="str">
            <v>VolumePCOPart Synthetics</v>
          </cell>
          <cell r="C10" t="str">
            <v>Volume</v>
          </cell>
          <cell r="D10" t="str">
            <v>PCO</v>
          </cell>
          <cell r="E10" t="str">
            <v>Part Synthetics</v>
          </cell>
          <cell r="F10">
            <v>1002.4097931708478</v>
          </cell>
          <cell r="G10">
            <v>1099.9699549137165</v>
          </cell>
          <cell r="H10">
            <v>1123.3289134061674</v>
          </cell>
          <cell r="I10">
            <v>1236.4853666073006</v>
          </cell>
          <cell r="J10">
            <v>1598.2549683854863</v>
          </cell>
          <cell r="K10">
            <v>1896.9168921753826</v>
          </cell>
          <cell r="L10">
            <v>2236.6869953483815</v>
          </cell>
          <cell r="M10">
            <v>2629.0979752851399</v>
          </cell>
          <cell r="N10">
            <v>3151.3757031773712</v>
          </cell>
          <cell r="O10">
            <v>9.5000000000000001E-2</v>
          </cell>
          <cell r="P10">
            <v>0.1</v>
          </cell>
          <cell r="Q10">
            <v>0.10000000000000002</v>
          </cell>
          <cell r="R10">
            <v>0.11</v>
          </cell>
          <cell r="S10">
            <v>0.14000000000000004</v>
          </cell>
          <cell r="T10">
            <v>0.16000000000000003</v>
          </cell>
          <cell r="U10">
            <v>0.18</v>
          </cell>
          <cell r="V10">
            <v>0.20000000000000004</v>
          </cell>
          <cell r="W10">
            <v>0.22</v>
          </cell>
          <cell r="X10">
            <v>0</v>
          </cell>
          <cell r="Y10">
            <v>0</v>
          </cell>
          <cell r="Z10">
            <v>0</v>
          </cell>
          <cell r="AA10">
            <v>194.44942442846681</v>
          </cell>
          <cell r="AB10">
            <v>220.39852342110262</v>
          </cell>
          <cell r="AC10">
            <v>283.17972588515374</v>
          </cell>
          <cell r="AD10">
            <v>347.37548473549793</v>
          </cell>
          <cell r="AE10">
            <v>414.82919630399994</v>
          </cell>
          <cell r="AF10">
            <v>495.55756255834518</v>
          </cell>
          <cell r="AG10">
            <v>592.2011422815018</v>
          </cell>
          <cell r="AH10">
            <v>707.93019608285977</v>
          </cell>
          <cell r="AI10">
            <v>846.5516437054581</v>
          </cell>
          <cell r="AJ10">
            <v>8.4340413212448742E-2</v>
          </cell>
          <cell r="AK10">
            <v>8.083689733972961E-2</v>
          </cell>
          <cell r="AL10">
            <v>8.9166380991860708E-2</v>
          </cell>
          <cell r="AM10">
            <v>0.10357918287937744</v>
          </cell>
          <cell r="AN10">
            <v>0.11708951108103535</v>
          </cell>
          <cell r="AO10">
            <v>0.13236205600464868</v>
          </cell>
          <cell r="AP10">
            <v>0.14962667200525506</v>
          </cell>
          <cell r="AQ10">
            <v>0.16914319444072312</v>
          </cell>
          <cell r="AR10">
            <v>0.1912053502373392</v>
          </cell>
          <cell r="AS10">
            <v>0</v>
          </cell>
          <cell r="AT10">
            <v>0</v>
          </cell>
        </row>
        <row r="11">
          <cell r="B11" t="str">
            <v>VolumePCOMineral Multigrades</v>
          </cell>
          <cell r="C11" t="str">
            <v>Volume</v>
          </cell>
          <cell r="D11" t="str">
            <v>PCO</v>
          </cell>
          <cell r="E11" t="str">
            <v>Mineral Multigrades</v>
          </cell>
          <cell r="F11">
            <v>6542.042860693954</v>
          </cell>
          <cell r="G11">
            <v>6709.8167249736698</v>
          </cell>
          <cell r="H11">
            <v>6852.3063717776204</v>
          </cell>
          <cell r="I11">
            <v>6856.8733966404852</v>
          </cell>
          <cell r="J11">
            <v>6792.5836156383166</v>
          </cell>
          <cell r="K11">
            <v>6817.0450812552808</v>
          </cell>
          <cell r="L11">
            <v>6958.5817633060769</v>
          </cell>
          <cell r="M11">
            <v>7361.4743307983908</v>
          </cell>
          <cell r="N11">
            <v>8021.6836080878538</v>
          </cell>
          <cell r="O11">
            <v>0.62</v>
          </cell>
          <cell r="P11">
            <v>0.61</v>
          </cell>
          <cell r="Q11">
            <v>0.6100000000000001</v>
          </cell>
          <cell r="R11">
            <v>0.61</v>
          </cell>
          <cell r="S11">
            <v>0.59500000000000008</v>
          </cell>
          <cell r="T11">
            <v>0.57500000000000007</v>
          </cell>
          <cell r="U11">
            <v>0.56000000000000005</v>
          </cell>
          <cell r="V11">
            <v>0.56000000000000005</v>
          </cell>
          <cell r="W11">
            <v>0.55999999999999994</v>
          </cell>
          <cell r="X11">
            <v>0</v>
          </cell>
          <cell r="Y11">
            <v>0</v>
          </cell>
          <cell r="Z11">
            <v>0</v>
          </cell>
          <cell r="AA11">
            <v>1929.6583225725958</v>
          </cell>
          <cell r="AB11">
            <v>2300.4270865616782</v>
          </cell>
          <cell r="AC11">
            <v>2567.0842574379089</v>
          </cell>
          <cell r="AD11">
            <v>2659.1758856668039</v>
          </cell>
          <cell r="AE11">
            <v>2741.1208806986956</v>
          </cell>
          <cell r="AF11">
            <v>2816.4087927614582</v>
          </cell>
          <cell r="AG11">
            <v>2882.4010076363843</v>
          </cell>
          <cell r="AH11">
            <v>2935.8619557851275</v>
          </cell>
          <cell r="AI11">
            <v>2972.8370622768698</v>
          </cell>
          <cell r="AJ11">
            <v>0.83696920555547594</v>
          </cell>
          <cell r="AK11">
            <v>0.84374153396036089</v>
          </cell>
          <cell r="AL11">
            <v>0.80831214954190622</v>
          </cell>
          <cell r="AM11">
            <v>0.79290357976653703</v>
          </cell>
          <cell r="AN11">
            <v>0.77370760446624931</v>
          </cell>
          <cell r="AO11">
            <v>0.75225500834847336</v>
          </cell>
          <cell r="AP11">
            <v>0.72827294539769016</v>
          </cell>
          <cell r="AQ11">
            <v>0.70145485019029075</v>
          </cell>
          <cell r="AR11">
            <v>0.67145620225027103</v>
          </cell>
          <cell r="AS11">
            <v>0</v>
          </cell>
          <cell r="AT11">
            <v>0</v>
          </cell>
        </row>
        <row r="12">
          <cell r="B12" t="str">
            <v>VolumePCOMineral Monogrades</v>
          </cell>
          <cell r="C12" t="str">
            <v>Volume</v>
          </cell>
          <cell r="D12" t="str">
            <v>PCO</v>
          </cell>
          <cell r="E12" t="str">
            <v>Mineral Monogrades</v>
          </cell>
          <cell r="F12">
            <v>1371.7186643390548</v>
          </cell>
          <cell r="G12">
            <v>1429.9609413878313</v>
          </cell>
          <cell r="H12">
            <v>1460.3275874280175</v>
          </cell>
          <cell r="I12">
            <v>1348.8931272079642</v>
          </cell>
          <cell r="J12">
            <v>1141.6106917039187</v>
          </cell>
          <cell r="K12">
            <v>1185.5730576096141</v>
          </cell>
          <cell r="L12">
            <v>1118.3434976741908</v>
          </cell>
          <cell r="M12">
            <v>920.18429134979908</v>
          </cell>
          <cell r="N12">
            <v>716.22175072212985</v>
          </cell>
          <cell r="O12">
            <v>0.13</v>
          </cell>
          <cell r="P12">
            <v>0.13</v>
          </cell>
          <cell r="Q12">
            <v>0.13000000000000003</v>
          </cell>
          <cell r="R12">
            <v>0.11999999999999998</v>
          </cell>
          <cell r="S12">
            <v>0.10000000000000002</v>
          </cell>
          <cell r="T12">
            <v>0.10000000000000002</v>
          </cell>
          <cell r="U12">
            <v>0.09</v>
          </cell>
          <cell r="V12">
            <v>7.0000000000000021E-2</v>
          </cell>
          <cell r="W12">
            <v>0.05</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B13" t="str">
            <v>VolumePCOSpecialities</v>
          </cell>
          <cell r="C13" t="str">
            <v>Volume</v>
          </cell>
          <cell r="D13" t="str">
            <v>PCO</v>
          </cell>
          <cell r="E13" t="str">
            <v>Specialities</v>
          </cell>
          <cell r="F13">
            <v>844.13456267018762</v>
          </cell>
          <cell r="G13">
            <v>879.97596393097308</v>
          </cell>
          <cell r="H13">
            <v>898.66313072493392</v>
          </cell>
          <cell r="I13">
            <v>899.26208480530954</v>
          </cell>
          <cell r="J13">
            <v>913.28855336313507</v>
          </cell>
          <cell r="K13">
            <v>948.4584460876913</v>
          </cell>
          <cell r="L13">
            <v>994.08310904372513</v>
          </cell>
          <cell r="M13">
            <v>1051.639190114056</v>
          </cell>
          <cell r="N13">
            <v>1145.9548011554077</v>
          </cell>
          <cell r="O13">
            <v>0.08</v>
          </cell>
          <cell r="P13">
            <v>0.08</v>
          </cell>
          <cell r="Q13">
            <v>8.0000000000000016E-2</v>
          </cell>
          <cell r="R13">
            <v>0.08</v>
          </cell>
          <cell r="S13">
            <v>8.0000000000000016E-2</v>
          </cell>
          <cell r="T13">
            <v>8.0000000000000016E-2</v>
          </cell>
          <cell r="U13">
            <v>0.08</v>
          </cell>
          <cell r="V13">
            <v>8.0000000000000016E-2</v>
          </cell>
          <cell r="W13">
            <v>0.08</v>
          </cell>
          <cell r="X13">
            <v>0</v>
          </cell>
          <cell r="Y13">
            <v>0</v>
          </cell>
          <cell r="Z13">
            <v>0</v>
          </cell>
          <cell r="AA13">
            <v>83.003956370041266</v>
          </cell>
          <cell r="AB13">
            <v>94.080758921436768</v>
          </cell>
          <cell r="AC13">
            <v>109.58557307650725</v>
          </cell>
          <cell r="AD13">
            <v>127.88500875879765</v>
          </cell>
          <cell r="AE13">
            <v>135.09655511108841</v>
          </cell>
          <cell r="AF13">
            <v>142.76559379688402</v>
          </cell>
          <cell r="AG13">
            <v>150.92221714531448</v>
          </cell>
          <cell r="AH13">
            <v>159.59852050387701</v>
          </cell>
          <cell r="AI13">
            <v>168.82873611971195</v>
          </cell>
          <cell r="AJ13">
            <v>3.6002101827216734E-2</v>
          </cell>
          <cell r="AK13">
            <v>3.450656806826799E-2</v>
          </cell>
          <cell r="AL13">
            <v>3.4505821098626606E-2</v>
          </cell>
          <cell r="AM13">
            <v>3.8132295719844361E-2</v>
          </cell>
          <cell r="AN13">
            <v>3.8132295719844347E-2</v>
          </cell>
          <cell r="AO13">
            <v>3.8132295719844347E-2</v>
          </cell>
          <cell r="AP13">
            <v>3.8132295719844354E-2</v>
          </cell>
          <cell r="AQ13">
            <v>3.8132295719844354E-2</v>
          </cell>
          <cell r="AR13">
            <v>3.8132295719844354E-2</v>
          </cell>
          <cell r="AS13">
            <v>0</v>
          </cell>
          <cell r="AT13">
            <v>0</v>
          </cell>
        </row>
        <row r="14">
          <cell r="B14" t="str">
            <v>VolumeOEMSynthetics</v>
          </cell>
          <cell r="C14" t="str">
            <v>Volume</v>
          </cell>
          <cell r="D14" t="str">
            <v>OEM</v>
          </cell>
          <cell r="E14" t="str">
            <v>Synthetics</v>
          </cell>
          <cell r="F14">
            <v>405</v>
          </cell>
          <cell r="G14">
            <v>455.25</v>
          </cell>
          <cell r="H14">
            <v>486.50000000000006</v>
          </cell>
          <cell r="I14">
            <v>596.93550000000016</v>
          </cell>
          <cell r="J14">
            <v>728.26131000000021</v>
          </cell>
          <cell r="K14">
            <v>888.47879820000026</v>
          </cell>
          <cell r="L14">
            <v>1083.9441338040003</v>
          </cell>
          <cell r="M14">
            <v>1322.4118432408804</v>
          </cell>
          <cell r="N14">
            <v>1613.3424487538741</v>
          </cell>
          <cell r="O14">
            <v>0.14658703913923302</v>
          </cell>
          <cell r="P14">
            <v>0.15463824958042824</v>
          </cell>
          <cell r="Q14">
            <v>0.13830452581305439</v>
          </cell>
          <cell r="R14">
            <v>0.177799888478677</v>
          </cell>
          <cell r="S14">
            <v>0.18138188911692912</v>
          </cell>
          <cell r="T14">
            <v>0.19572496478391688</v>
          </cell>
          <cell r="U14">
            <v>0.20179923485638773</v>
          </cell>
          <cell r="V14">
            <v>0.20398578708373755</v>
          </cell>
          <cell r="W14">
            <v>0.20088935234146235</v>
          </cell>
          <cell r="X14">
            <v>0</v>
          </cell>
          <cell r="Y14">
            <v>0</v>
          </cell>
          <cell r="AA14">
            <v>294</v>
          </cell>
          <cell r="AB14">
            <v>278.19499999999994</v>
          </cell>
          <cell r="AC14">
            <v>297.29200000000003</v>
          </cell>
          <cell r="AD14">
            <v>301.62120000000016</v>
          </cell>
          <cell r="AE14">
            <v>321.17532000000028</v>
          </cell>
          <cell r="AF14">
            <v>342.47269200000022</v>
          </cell>
          <cell r="AG14">
            <v>365.68339800000035</v>
          </cell>
          <cell r="AH14">
            <v>390.99444333600036</v>
          </cell>
          <cell r="AI14">
            <v>418.61144731632044</v>
          </cell>
          <cell r="AJ14">
            <v>0.49494949494949497</v>
          </cell>
          <cell r="AK14">
            <v>0.48114390473802088</v>
          </cell>
          <cell r="AL14">
            <v>0.45928576283964578</v>
          </cell>
          <cell r="AM14">
            <v>0.42989179916456355</v>
          </cell>
          <cell r="AN14">
            <v>0.4219465759872511</v>
          </cell>
          <cell r="AO14">
            <v>0.41437871488680728</v>
          </cell>
          <cell r="AP14">
            <v>0.40718200427083295</v>
          </cell>
          <cell r="AQ14">
            <v>0.40034881628835095</v>
          </cell>
          <cell r="AR14">
            <v>0.39387030775036441</v>
          </cell>
          <cell r="AS14">
            <v>0</v>
          </cell>
          <cell r="AT14">
            <v>0</v>
          </cell>
        </row>
        <row r="15">
          <cell r="B15" t="str">
            <v>VolumeOEMPart Synthetics</v>
          </cell>
          <cell r="C15" t="str">
            <v>Volume</v>
          </cell>
          <cell r="D15" t="str">
            <v>OEM</v>
          </cell>
          <cell r="E15" t="str">
            <v>Part Synthetics</v>
          </cell>
          <cell r="F15">
            <v>110</v>
          </cell>
          <cell r="G15">
            <v>126.5</v>
          </cell>
          <cell r="H15">
            <v>119.00000000000001</v>
          </cell>
          <cell r="I15">
            <v>147.322</v>
          </cell>
          <cell r="J15">
            <v>181.50070400000001</v>
          </cell>
          <cell r="K15">
            <v>223.608867328</v>
          </cell>
          <cell r="L15">
            <v>275.48612454809597</v>
          </cell>
          <cell r="M15">
            <v>339.39890544325425</v>
          </cell>
          <cell r="N15">
            <v>418.13945150608924</v>
          </cell>
          <cell r="O15">
            <v>3.9813763716828723E-2</v>
          </cell>
          <cell r="P15">
            <v>4.2969222563260127E-2</v>
          </cell>
          <cell r="Q15">
            <v>3.3829884011826253E-2</v>
          </cell>
          <cell r="R15">
            <v>4.3880511664083716E-2</v>
          </cell>
          <cell r="S15">
            <v>4.5204846276362766E-2</v>
          </cell>
          <cell r="T15">
            <v>4.9259293268236741E-2</v>
          </cell>
          <cell r="U15">
            <v>5.1287596300982105E-2</v>
          </cell>
          <cell r="V15">
            <v>5.235324624175372E-2</v>
          </cell>
          <cell r="W15">
            <v>5.2065675000588348E-2</v>
          </cell>
          <cell r="X15">
            <v>0</v>
          </cell>
          <cell r="Y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row>
        <row r="16">
          <cell r="B16" t="str">
            <v>VolumeOEMMineral Multigrades</v>
          </cell>
          <cell r="C16" t="str">
            <v>Volume</v>
          </cell>
          <cell r="D16" t="str">
            <v>OEM</v>
          </cell>
          <cell r="E16" t="str">
            <v>Mineral Multigrades</v>
          </cell>
          <cell r="F16">
            <v>1970.0909090909092</v>
          </cell>
          <cell r="G16">
            <v>2063.2681818181818</v>
          </cell>
          <cell r="H16">
            <v>2541.9816981763634</v>
          </cell>
          <cell r="I16">
            <v>2186.2042043079773</v>
          </cell>
          <cell r="J16">
            <v>2581.2333892763631</v>
          </cell>
          <cell r="K16">
            <v>2805.9960356651814</v>
          </cell>
          <cell r="L16">
            <v>3246.278325318357</v>
          </cell>
          <cell r="M16">
            <v>3854.8220760165186</v>
          </cell>
          <cell r="N16">
            <v>4756.4490490011158</v>
          </cell>
          <cell r="O16">
            <v>0.71306121777470688</v>
          </cell>
          <cell r="P16">
            <v>0.70084608468172738</v>
          </cell>
          <cell r="Q16">
            <v>0.72264660512177714</v>
          </cell>
          <cell r="R16">
            <v>0.65117062683920302</v>
          </cell>
          <cell r="S16">
            <v>0.642885983327386</v>
          </cell>
          <cell r="T16">
            <v>0.61813908939304818</v>
          </cell>
          <cell r="U16">
            <v>0.60436369527746836</v>
          </cell>
          <cell r="V16">
            <v>0.59461726637059842</v>
          </cell>
          <cell r="W16">
            <v>0.59226109722522369</v>
          </cell>
          <cell r="X16">
            <v>0</v>
          </cell>
          <cell r="Y16">
            <v>0</v>
          </cell>
          <cell r="AA16">
            <v>300</v>
          </cell>
          <cell r="AB16">
            <v>300</v>
          </cell>
          <cell r="AC16">
            <v>350</v>
          </cell>
          <cell r="AD16">
            <v>400</v>
          </cell>
          <cell r="AE16">
            <v>440</v>
          </cell>
          <cell r="AF16">
            <v>484.00000000000006</v>
          </cell>
          <cell r="AG16">
            <v>532.40000000000009</v>
          </cell>
          <cell r="AH16">
            <v>585.6400000000001</v>
          </cell>
          <cell r="AI16">
            <v>644.20400000000018</v>
          </cell>
          <cell r="AJ16">
            <v>0.50505050505050508</v>
          </cell>
          <cell r="AK16">
            <v>0.51885609526197918</v>
          </cell>
          <cell r="AL16">
            <v>0.54071423716035416</v>
          </cell>
          <cell r="AM16">
            <v>0.57010820083543645</v>
          </cell>
          <cell r="AN16">
            <v>0.57805342401274895</v>
          </cell>
          <cell r="AO16">
            <v>0.58562128511319267</v>
          </cell>
          <cell r="AP16">
            <v>0.59281799572916705</v>
          </cell>
          <cell r="AQ16">
            <v>0.59965118371164905</v>
          </cell>
          <cell r="AR16">
            <v>0.60612969224963553</v>
          </cell>
          <cell r="AS16">
            <v>0</v>
          </cell>
          <cell r="AT16">
            <v>0</v>
          </cell>
        </row>
        <row r="17">
          <cell r="B17" t="str">
            <v>VolumeOEMMineral Monogrades</v>
          </cell>
          <cell r="C17" t="str">
            <v>Volume</v>
          </cell>
          <cell r="D17" t="str">
            <v>OEM</v>
          </cell>
          <cell r="E17" t="str">
            <v>Mineral Monogrades</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row>
        <row r="18">
          <cell r="B18" t="str">
            <v>VolumeOEMSpecialities</v>
          </cell>
          <cell r="C18" t="str">
            <v>Volume</v>
          </cell>
          <cell r="D18" t="str">
            <v>OEM</v>
          </cell>
          <cell r="E18" t="str">
            <v>Specialities</v>
          </cell>
          <cell r="F18">
            <v>277.77272727272725</v>
          </cell>
          <cell r="G18">
            <v>298.94944090909092</v>
          </cell>
          <cell r="H18">
            <v>370.11830182363639</v>
          </cell>
          <cell r="I18">
            <v>426.8829212011031</v>
          </cell>
          <cell r="J18">
            <v>524.07640761717823</v>
          </cell>
          <cell r="K18">
            <v>621.34129847864551</v>
          </cell>
          <cell r="L18">
            <v>765.69004712910817</v>
          </cell>
          <cell r="M18">
            <v>966.22984012815391</v>
          </cell>
          <cell r="N18">
            <v>1243.0693499065433</v>
          </cell>
          <cell r="O18">
            <v>0.10053797936923153</v>
          </cell>
          <cell r="P18">
            <v>0.10154644317458426</v>
          </cell>
          <cell r="Q18">
            <v>0.10521898505334217</v>
          </cell>
          <cell r="R18">
            <v>0.12714897301803624</v>
          </cell>
          <cell r="S18">
            <v>0.13052728127932203</v>
          </cell>
          <cell r="T18">
            <v>0.13687665255479817</v>
          </cell>
          <cell r="U18">
            <v>0.14254947356516176</v>
          </cell>
          <cell r="V18">
            <v>0.14904370030391029</v>
          </cell>
          <cell r="W18">
            <v>0.15478387543272559</v>
          </cell>
          <cell r="X18">
            <v>0</v>
          </cell>
          <cell r="Y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row>
        <row r="19">
          <cell r="B19" t="str">
            <v>VolumeCVOSynthetics</v>
          </cell>
          <cell r="C19" t="str">
            <v>Volume</v>
          </cell>
          <cell r="D19" t="str">
            <v>CVO</v>
          </cell>
          <cell r="E19" t="str">
            <v>Synthetics</v>
          </cell>
          <cell r="F19">
            <v>120.2285744</v>
          </cell>
          <cell r="G19">
            <v>114.72808066105441</v>
          </cell>
          <cell r="H19">
            <v>109.22758692210883</v>
          </cell>
          <cell r="I19">
            <v>146.33006426518887</v>
          </cell>
          <cell r="J19">
            <v>185.83296909457982</v>
          </cell>
          <cell r="K19">
            <v>228.00338888165936</v>
          </cell>
          <cell r="L19">
            <v>273.13947487823737</v>
          </cell>
          <cell r="M19">
            <v>321.57398278850764</v>
          </cell>
          <cell r="N19">
            <v>333.64125739107783</v>
          </cell>
          <cell r="O19">
            <v>1.0000000000000002E-3</v>
          </cell>
          <cell r="P19">
            <v>1E-3</v>
          </cell>
          <cell r="Q19">
            <v>1E-3</v>
          </cell>
          <cell r="R19">
            <v>1.2999999999999999E-3</v>
          </cell>
          <cell r="S19">
            <v>1.6000000000000001E-3</v>
          </cell>
          <cell r="T19">
            <v>1.8999999999999998E-3</v>
          </cell>
          <cell r="U19">
            <v>2.2000000000000001E-3</v>
          </cell>
          <cell r="V19">
            <v>2.4999999999999996E-3</v>
          </cell>
          <cell r="W19">
            <v>2.5000000000000001E-3</v>
          </cell>
          <cell r="X19">
            <v>0</v>
          </cell>
          <cell r="Y19">
            <v>0</v>
          </cell>
          <cell r="Z19">
            <v>0</v>
          </cell>
          <cell r="AA19">
            <v>0</v>
          </cell>
          <cell r="AB19">
            <v>0</v>
          </cell>
          <cell r="AC19">
            <v>0</v>
          </cell>
          <cell r="AD19">
            <v>0</v>
          </cell>
          <cell r="AE19">
            <v>0</v>
          </cell>
          <cell r="AF19">
            <v>0</v>
          </cell>
          <cell r="AG19">
            <v>0</v>
          </cell>
          <cell r="AH19">
            <v>0</v>
          </cell>
          <cell r="AI19">
            <v>33.364125739107784</v>
          </cell>
          <cell r="AJ19">
            <v>0</v>
          </cell>
          <cell r="AK19">
            <v>0</v>
          </cell>
          <cell r="AL19">
            <v>0</v>
          </cell>
          <cell r="AM19">
            <v>0</v>
          </cell>
          <cell r="AN19">
            <v>0</v>
          </cell>
          <cell r="AO19">
            <v>0</v>
          </cell>
          <cell r="AP19">
            <v>0</v>
          </cell>
          <cell r="AQ19">
            <v>0</v>
          </cell>
          <cell r="AR19">
            <v>1.3059357376215166E-3</v>
          </cell>
          <cell r="AS19">
            <v>0</v>
          </cell>
          <cell r="AT19">
            <v>0</v>
          </cell>
        </row>
        <row r="20">
          <cell r="B20" t="str">
            <v>VolumeCVOPart Synthetics</v>
          </cell>
          <cell r="C20" t="str">
            <v>Volume</v>
          </cell>
          <cell r="D20" t="str">
            <v>CVO</v>
          </cell>
          <cell r="E20" t="str">
            <v>Part Synthetics</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row>
        <row r="21">
          <cell r="B21" t="str">
            <v>VolumeCVOMineral Multigrades</v>
          </cell>
          <cell r="C21" t="str">
            <v>Volume</v>
          </cell>
          <cell r="D21" t="str">
            <v>CVO</v>
          </cell>
          <cell r="E21" t="str">
            <v>Mineral Multigrades</v>
          </cell>
          <cell r="F21">
            <v>45686.858271999998</v>
          </cell>
          <cell r="G21">
            <v>45235.084455032309</v>
          </cell>
          <cell r="H21">
            <v>44783.310638064613</v>
          </cell>
          <cell r="I21">
            <v>50652.714553334605</v>
          </cell>
          <cell r="J21">
            <v>56911.346785215064</v>
          </cell>
          <cell r="K21">
            <v>63600.945319620769</v>
          </cell>
          <cell r="L21">
            <v>70767.954854816038</v>
          </cell>
          <cell r="M21">
            <v>78464.051800395871</v>
          </cell>
          <cell r="N21">
            <v>81408.466803422984</v>
          </cell>
          <cell r="O21">
            <v>0.38000000000000006</v>
          </cell>
          <cell r="P21">
            <v>0.39428084383867679</v>
          </cell>
          <cell r="Q21">
            <v>0.41</v>
          </cell>
          <cell r="R21">
            <v>0.44999999999999996</v>
          </cell>
          <cell r="S21">
            <v>0.49</v>
          </cell>
          <cell r="T21">
            <v>0.52999999999999992</v>
          </cell>
          <cell r="U21">
            <v>0.56999999999999995</v>
          </cell>
          <cell r="V21">
            <v>0.61</v>
          </cell>
          <cell r="W21">
            <v>0.61</v>
          </cell>
          <cell r="X21">
            <v>0</v>
          </cell>
          <cell r="Y21">
            <v>0</v>
          </cell>
          <cell r="Z21">
            <v>0</v>
          </cell>
          <cell r="AA21">
            <v>19937.905254666664</v>
          </cell>
          <cell r="AB21">
            <v>17213.086287338894</v>
          </cell>
          <cell r="AC21">
            <v>18892.959175433509</v>
          </cell>
          <cell r="AD21">
            <v>20744.116626770581</v>
          </cell>
          <cell r="AE21">
            <v>21171.710282990811</v>
          </cell>
          <cell r="AF21">
            <v>21570.203964236305</v>
          </cell>
          <cell r="AG21">
            <v>21959.373590532188</v>
          </cell>
          <cell r="AH21">
            <v>22355.450457580289</v>
          </cell>
          <cell r="AI21">
            <v>22794.370704958437</v>
          </cell>
          <cell r="AJ21">
            <v>0.78019972478291666</v>
          </cell>
          <cell r="AK21">
            <v>0.78392268995185399</v>
          </cell>
          <cell r="AL21">
            <v>0.82990951370931298</v>
          </cell>
          <cell r="AM21">
            <v>0.85519209985597611</v>
          </cell>
          <cell r="AN21">
            <v>0.86712899929242104</v>
          </cell>
          <cell r="AO21">
            <v>0.87628382706780317</v>
          </cell>
          <cell r="AP21">
            <v>0.88335682530588155</v>
          </cell>
          <cell r="AQ21">
            <v>0.88888697004838158</v>
          </cell>
          <cell r="AR21">
            <v>0.89221529594302018</v>
          </cell>
          <cell r="AS21">
            <v>0</v>
          </cell>
          <cell r="AT21">
            <v>0</v>
          </cell>
        </row>
        <row r="22">
          <cell r="B22" t="str">
            <v>VolumeCVOMineral Monogrades</v>
          </cell>
          <cell r="C22" t="str">
            <v>Volume</v>
          </cell>
          <cell r="D22" t="str">
            <v>CVO</v>
          </cell>
          <cell r="E22" t="str">
            <v>Mineral Monogrades</v>
          </cell>
          <cell r="F22">
            <v>56971.073153599995</v>
          </cell>
          <cell r="G22">
            <v>52802.491998251047</v>
          </cell>
          <cell r="H22">
            <v>48633.9108429021</v>
          </cell>
          <cell r="I22">
            <v>45439.620002539195</v>
          </cell>
          <cell r="J22">
            <v>42058.701433222697</v>
          </cell>
          <cell r="K22">
            <v>38467.076479261239</v>
          </cell>
          <cell r="L22">
            <v>34637.554436165694</v>
          </cell>
          <cell r="M22">
            <v>30539.453622184166</v>
          </cell>
          <cell r="N22">
            <v>31685.466648100264</v>
          </cell>
          <cell r="O22">
            <v>0.47385634769366441</v>
          </cell>
          <cell r="P22">
            <v>0.46024034999981811</v>
          </cell>
          <cell r="Q22">
            <v>0.44525300076054397</v>
          </cell>
          <cell r="R22">
            <v>0.40368673587300369</v>
          </cell>
          <cell r="S22">
            <v>0.36212047098546346</v>
          </cell>
          <cell r="T22">
            <v>0.32055420609792312</v>
          </cell>
          <cell r="U22">
            <v>0.27898794121038284</v>
          </cell>
          <cell r="V22">
            <v>0.23742167632284256</v>
          </cell>
          <cell r="W22">
            <v>0.2374216763228425</v>
          </cell>
          <cell r="X22">
            <v>0</v>
          </cell>
          <cell r="Y22">
            <v>0</v>
          </cell>
          <cell r="Z22">
            <v>0</v>
          </cell>
          <cell r="AA22">
            <v>2603.2476309202107</v>
          </cell>
          <cell r="AB22">
            <v>2107.685856282279</v>
          </cell>
          <cell r="AC22">
            <v>1612.1240816443474</v>
          </cell>
          <cell r="AD22">
            <v>1229.2552519374169</v>
          </cell>
          <cell r="AE22">
            <v>937.31524243124659</v>
          </cell>
          <cell r="AF22">
            <v>714.70905843945525</v>
          </cell>
          <cell r="AG22">
            <v>544.97037399120416</v>
          </cell>
          <cell r="AH22">
            <v>415.54350685940256</v>
          </cell>
          <cell r="AI22">
            <v>316.85466648100265</v>
          </cell>
          <cell r="AJ22">
            <v>0.10186893052420039</v>
          </cell>
          <cell r="AK22">
            <v>9.5988757533017458E-2</v>
          </cell>
          <cell r="AL22">
            <v>7.0815646199893612E-2</v>
          </cell>
          <cell r="AM22">
            <v>5.0676989484656779E-2</v>
          </cell>
          <cell r="AN22">
            <v>3.8389587677473351E-2</v>
          </cell>
          <cell r="AO22">
            <v>2.903486633727461E-2</v>
          </cell>
          <cell r="AP22">
            <v>2.1922451360916174E-2</v>
          </cell>
          <cell r="AQ22">
            <v>1.6522646655517816E-2</v>
          </cell>
          <cell r="AR22">
            <v>1.2402298079840331E-2</v>
          </cell>
          <cell r="AS22">
            <v>0</v>
          </cell>
          <cell r="AT22">
            <v>0</v>
          </cell>
        </row>
        <row r="23">
          <cell r="B23" t="str">
            <v>VolumeCVOSpecialities</v>
          </cell>
          <cell r="C23" t="str">
            <v>Volume</v>
          </cell>
          <cell r="D23" t="str">
            <v>CVO</v>
          </cell>
          <cell r="E23" t="str">
            <v>Specialities</v>
          </cell>
          <cell r="F23">
            <v>17450.414400000001</v>
          </cell>
          <cell r="G23">
            <v>16575.776127109995</v>
          </cell>
          <cell r="H23">
            <v>15701.137854219991</v>
          </cell>
          <cell r="I23">
            <v>16322.923276160132</v>
          </cell>
          <cell r="J23">
            <v>16989.724496580042</v>
          </cell>
          <cell r="K23">
            <v>17705.758434162311</v>
          </cell>
          <cell r="L23">
            <v>18475.657996975187</v>
          </cell>
          <cell r="M23">
            <v>19304.51371003452</v>
          </cell>
          <cell r="N23">
            <v>20028.928247516793</v>
          </cell>
          <cell r="O23">
            <v>0.14514365230633564</v>
          </cell>
          <cell r="P23">
            <v>0.14447880616150505</v>
          </cell>
          <cell r="Q23">
            <v>0.143746999239456</v>
          </cell>
          <cell r="R23">
            <v>0.14501326412699628</v>
          </cell>
          <cell r="S23">
            <v>0.14627952901453659</v>
          </cell>
          <cell r="T23">
            <v>0.14754579390207684</v>
          </cell>
          <cell r="U23">
            <v>0.14881205878961715</v>
          </cell>
          <cell r="V23">
            <v>0.1500783236771574</v>
          </cell>
          <cell r="W23">
            <v>0.15007832367715745</v>
          </cell>
          <cell r="X23">
            <v>0</v>
          </cell>
          <cell r="Y23">
            <v>0</v>
          </cell>
          <cell r="Z23">
            <v>0</v>
          </cell>
          <cell r="AA23">
            <v>3013.720592757662</v>
          </cell>
          <cell r="AB23">
            <v>2636.8602963788317</v>
          </cell>
          <cell r="AC23">
            <v>2260.0000000000018</v>
          </cell>
          <cell r="AD23">
            <v>2283.30288508381</v>
          </cell>
          <cell r="AE23">
            <v>2306.8460464743566</v>
          </cell>
          <cell r="AF23">
            <v>2330.6319616633073</v>
          </cell>
          <cell r="AG23">
            <v>2354.6631336877717</v>
          </cell>
          <cell r="AH23">
            <v>2378.9420913937033</v>
          </cell>
          <cell r="AI23">
            <v>2403.4713897020151</v>
          </cell>
          <cell r="AJ23">
            <v>0.11793134469288294</v>
          </cell>
          <cell r="AK23">
            <v>0.12008855251512859</v>
          </cell>
          <cell r="AL23">
            <v>9.9274840090793362E-2</v>
          </cell>
          <cell r="AM23">
            <v>9.4130910659367045E-2</v>
          </cell>
          <cell r="AN23">
            <v>9.4481413030105502E-2</v>
          </cell>
          <cell r="AO23">
            <v>9.4681306594922229E-2</v>
          </cell>
          <cell r="AP23">
            <v>9.4720723333202292E-2</v>
          </cell>
          <cell r="AQ23">
            <v>9.4590383296100686E-2</v>
          </cell>
          <cell r="AR23">
            <v>9.4076470239518081E-2</v>
          </cell>
          <cell r="AS23">
            <v>0</v>
          </cell>
          <cell r="AT23">
            <v>0</v>
          </cell>
        </row>
        <row r="24">
          <cell r="B24" t="str">
            <v>VolumeMCOSynthetics</v>
          </cell>
          <cell r="C24" t="str">
            <v>Volume</v>
          </cell>
          <cell r="D24" t="str">
            <v>MCO</v>
          </cell>
          <cell r="E24" t="str">
            <v>Synthetics</v>
          </cell>
          <cell r="F24">
            <v>2436.4355794120729</v>
          </cell>
          <cell r="G24">
            <v>2997.2587998573326</v>
          </cell>
          <cell r="H24">
            <v>3558.0820203025924</v>
          </cell>
          <cell r="I24">
            <v>4342.8254461073811</v>
          </cell>
          <cell r="J24">
            <v>5169.2305189455492</v>
          </cell>
          <cell r="K24">
            <v>6041.0532021591798</v>
          </cell>
          <cell r="L24">
            <v>6966.1954611903348</v>
          </cell>
          <cell r="M24">
            <v>7953.7378531552622</v>
          </cell>
          <cell r="N24">
            <v>8213.5645779751994</v>
          </cell>
          <cell r="O24">
            <v>0.03</v>
          </cell>
          <cell r="P24">
            <v>3.5227351682588254E-2</v>
          </cell>
          <cell r="Q24">
            <v>0.04</v>
          </cell>
          <cell r="R24">
            <v>4.7999999999999994E-2</v>
          </cell>
          <cell r="S24">
            <v>5.6000000000000001E-2</v>
          </cell>
          <cell r="T24">
            <v>6.4000000000000001E-2</v>
          </cell>
          <cell r="U24">
            <v>7.2000000000000008E-2</v>
          </cell>
          <cell r="V24">
            <v>8.0000000000000016E-2</v>
          </cell>
          <cell r="W24">
            <v>8.0000000000000016E-2</v>
          </cell>
          <cell r="X24">
            <v>0</v>
          </cell>
          <cell r="Y24">
            <v>0</v>
          </cell>
          <cell r="AA24">
            <v>73.2</v>
          </cell>
          <cell r="AB24">
            <v>54.131</v>
          </cell>
          <cell r="AC24">
            <v>35.061999999999991</v>
          </cell>
          <cell r="AD24">
            <v>59.308806397563799</v>
          </cell>
          <cell r="AE24">
            <v>100.32327067205823</v>
          </cell>
          <cell r="AF24">
            <v>169.70091373736506</v>
          </cell>
          <cell r="AG24">
            <v>287.05603326504655</v>
          </cell>
          <cell r="AH24">
            <v>485.56701563428453</v>
          </cell>
          <cell r="AI24">
            <v>821.35645779751997</v>
          </cell>
          <cell r="AJ24">
            <v>2.5478602618006834E-3</v>
          </cell>
          <cell r="AK24">
            <v>2.1335966763576394E-3</v>
          </cell>
          <cell r="AL24">
            <v>1.4271980959602924E-3</v>
          </cell>
          <cell r="AM24">
            <v>2.4715573073327869E-3</v>
          </cell>
          <cell r="AN24">
            <v>4.2328777616670752E-3</v>
          </cell>
          <cell r="AO24">
            <v>7.1679022488301295E-3</v>
          </cell>
          <cell r="AP24">
            <v>1.1918794468397385E-2</v>
          </cell>
          <cell r="AQ24">
            <v>1.970821350944061E-2</v>
          </cell>
          <cell r="AR24">
            <v>3.3062983850008928E-2</v>
          </cell>
          <cell r="AS24">
            <v>0</v>
          </cell>
          <cell r="AT24">
            <v>0</v>
          </cell>
        </row>
        <row r="25">
          <cell r="B25" t="str">
            <v>VolumeMCOPart Synthetics</v>
          </cell>
          <cell r="C25" t="str">
            <v>Volume</v>
          </cell>
          <cell r="D25" t="str">
            <v>MCO</v>
          </cell>
          <cell r="E25" t="str">
            <v>Part Synthetics</v>
          </cell>
          <cell r="F25">
            <v>21927.920214708658</v>
          </cell>
          <cell r="G25">
            <v>24306.767683489052</v>
          </cell>
          <cell r="H25">
            <v>26685.615152269442</v>
          </cell>
          <cell r="I25">
            <v>30761.68024326062</v>
          </cell>
          <cell r="J25">
            <v>35076.921378559084</v>
          </cell>
          <cell r="K25">
            <v>39644.411639169615</v>
          </cell>
          <cell r="L25">
            <v>44506.248779827132</v>
          </cell>
          <cell r="M25">
            <v>49710.861582220386</v>
          </cell>
          <cell r="N25">
            <v>51334.778612344991</v>
          </cell>
          <cell r="O25">
            <v>0.27</v>
          </cell>
          <cell r="P25">
            <v>0.28568205504776478</v>
          </cell>
          <cell r="Q25">
            <v>0.3</v>
          </cell>
          <cell r="R25">
            <v>0.34</v>
          </cell>
          <cell r="S25">
            <v>0.38</v>
          </cell>
          <cell r="T25">
            <v>0.42</v>
          </cell>
          <cell r="U25">
            <v>0.45999999999999996</v>
          </cell>
          <cell r="V25">
            <v>0.50000000000000011</v>
          </cell>
          <cell r="W25">
            <v>0.50000000000000011</v>
          </cell>
          <cell r="X25">
            <v>0</v>
          </cell>
          <cell r="Y25">
            <v>0</v>
          </cell>
          <cell r="AA25">
            <v>6623</v>
          </cell>
          <cell r="AB25">
            <v>7570.5</v>
          </cell>
          <cell r="AC25">
            <v>8518</v>
          </cell>
          <cell r="AD25">
            <v>8634.3317170953214</v>
          </cell>
          <cell r="AE25">
            <v>8752.2521954494296</v>
          </cell>
          <cell r="AF25">
            <v>8871.7831330342997</v>
          </cell>
          <cell r="AG25">
            <v>8992.946524154655</v>
          </cell>
          <cell r="AH25">
            <v>9115.7646634950288</v>
          </cell>
          <cell r="AI25">
            <v>9240.2601502220987</v>
          </cell>
          <cell r="AJ25">
            <v>0.23052566275827768</v>
          </cell>
          <cell r="AK25">
            <v>0.29839451771379633</v>
          </cell>
          <cell r="AL25">
            <v>0.34672504082453293</v>
          </cell>
          <cell r="AM25">
            <v>0.35981580047779843</v>
          </cell>
          <cell r="AN25">
            <v>0.36927836816366888</v>
          </cell>
          <cell r="AO25">
            <v>0.3747302997367889</v>
          </cell>
          <cell r="AP25">
            <v>0.37339428148413495</v>
          </cell>
          <cell r="AQ25">
            <v>0.36999102184750848</v>
          </cell>
          <cell r="AR25">
            <v>0.37195856831260043</v>
          </cell>
          <cell r="AS25">
            <v>0</v>
          </cell>
          <cell r="AT25">
            <v>0</v>
          </cell>
        </row>
        <row r="26">
          <cell r="B26" t="str">
            <v>VolumeMCOMineral Multigrades</v>
          </cell>
          <cell r="C26" t="str">
            <v>Volume</v>
          </cell>
          <cell r="D26" t="str">
            <v>MCO</v>
          </cell>
          <cell r="E26" t="str">
            <v>Mineral Multigrades</v>
          </cell>
          <cell r="F26">
            <v>54740.35462246972</v>
          </cell>
          <cell r="G26">
            <v>55681.605047237972</v>
          </cell>
          <cell r="H26">
            <v>56622.855472006224</v>
          </cell>
          <cell r="I26">
            <v>53380.353436375997</v>
          </cell>
          <cell r="J26">
            <v>50163.741943168396</v>
          </cell>
          <cell r="K26">
            <v>46901.55167671894</v>
          </cell>
          <cell r="L26">
            <v>43570.293940678654</v>
          </cell>
          <cell r="M26">
            <v>40143.429366378456</v>
          </cell>
          <cell r="N26">
            <v>41454.804718178471</v>
          </cell>
          <cell r="O26">
            <v>0.67402177695597731</v>
          </cell>
          <cell r="P26">
            <v>0.65443647486943735</v>
          </cell>
          <cell r="Q26">
            <v>0.6365548084491971</v>
          </cell>
          <cell r="R26">
            <v>0.58999768623965387</v>
          </cell>
          <cell r="S26">
            <v>0.54344056403011054</v>
          </cell>
          <cell r="T26">
            <v>0.49688344182056726</v>
          </cell>
          <cell r="U26">
            <v>0.45032631961102398</v>
          </cell>
          <cell r="V26">
            <v>0.40376919740148076</v>
          </cell>
          <cell r="W26">
            <v>0.40376919740148076</v>
          </cell>
          <cell r="X26">
            <v>0</v>
          </cell>
          <cell r="Y26">
            <v>0</v>
          </cell>
          <cell r="AA26">
            <v>22021.790061647407</v>
          </cell>
          <cell r="AB26">
            <v>17665.143429780939</v>
          </cell>
          <cell r="AC26">
            <v>15863.955080000005</v>
          </cell>
          <cell r="AD26">
            <v>15159.049240171054</v>
          </cell>
          <cell r="AE26">
            <v>14710.4464078156</v>
          </cell>
          <cell r="AF26">
            <v>14501.354115803362</v>
          </cell>
          <cell r="AG26">
            <v>14677.467216152929</v>
          </cell>
          <cell r="AH26">
            <v>14914.826490647371</v>
          </cell>
          <cell r="AI26">
            <v>14663.910555666407</v>
          </cell>
          <cell r="AJ26">
            <v>0.7665087949697903</v>
          </cell>
          <cell r="AK26">
            <v>0.69627923572743167</v>
          </cell>
          <cell r="AL26">
            <v>0.64574201370645201</v>
          </cell>
          <cell r="AM26">
            <v>0.63171830959830766</v>
          </cell>
          <cell r="AN26">
            <v>0.62066877451973412</v>
          </cell>
          <cell r="AO26">
            <v>0.61251460872283048</v>
          </cell>
          <cell r="AP26">
            <v>0.60942009501135552</v>
          </cell>
          <cell r="AQ26">
            <v>0.60536357592157786</v>
          </cell>
          <cell r="AR26">
            <v>0.5902828586507497</v>
          </cell>
          <cell r="AS26">
            <v>0</v>
          </cell>
          <cell r="AT26">
            <v>0</v>
          </cell>
        </row>
        <row r="27">
          <cell r="B27" t="str">
            <v>VolumeMCOMineral Monogrades</v>
          </cell>
          <cell r="C27" t="str">
            <v>Volume</v>
          </cell>
          <cell r="D27" t="str">
            <v>MCO</v>
          </cell>
          <cell r="E27" t="str">
            <v>Mineral Monogrades</v>
          </cell>
          <cell r="F27">
            <v>1624.2903862747155</v>
          </cell>
          <cell r="G27">
            <v>1479.2855719440938</v>
          </cell>
          <cell r="H27">
            <v>1334.2807576134721</v>
          </cell>
          <cell r="I27">
            <v>1085.7063615268453</v>
          </cell>
          <cell r="J27">
            <v>830.76919054482028</v>
          </cell>
          <cell r="K27">
            <v>566.34873770242302</v>
          </cell>
          <cell r="L27">
            <v>290.25814421626393</v>
          </cell>
          <cell r="M27">
            <v>0</v>
          </cell>
          <cell r="N27">
            <v>0</v>
          </cell>
          <cell r="O27">
            <v>0.02</v>
          </cell>
          <cell r="P27">
            <v>1.738632415870587E-2</v>
          </cell>
          <cell r="Q27">
            <v>1.4999999999999999E-2</v>
          </cell>
          <cell r="R27">
            <v>1.1999999999999999E-2</v>
          </cell>
          <cell r="S27">
            <v>8.9999999999999993E-3</v>
          </cell>
          <cell r="T27">
            <v>5.9999999999999993E-3</v>
          </cell>
          <cell r="U27">
            <v>3.0000000000000001E-3</v>
          </cell>
          <cell r="V27">
            <v>0</v>
          </cell>
          <cell r="W27">
            <v>0</v>
          </cell>
          <cell r="X27">
            <v>0</v>
          </cell>
          <cell r="Y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row>
        <row r="28">
          <cell r="B28" t="str">
            <v>VolumeMCOSpecialities</v>
          </cell>
          <cell r="C28" t="str">
            <v>Volume</v>
          </cell>
          <cell r="D28" t="str">
            <v>MCO</v>
          </cell>
          <cell r="E28" t="str">
            <v>Specialities</v>
          </cell>
          <cell r="F28">
            <v>485.51851087059998</v>
          </cell>
          <cell r="G28">
            <v>618.36780812183997</v>
          </cell>
          <cell r="H28">
            <v>751.2171053730799</v>
          </cell>
          <cell r="I28">
            <v>904.96463996627745</v>
          </cell>
          <cell r="J28">
            <v>1067.0248070955231</v>
          </cell>
          <cell r="K28">
            <v>1238.0910279870138</v>
          </cell>
          <cell r="L28">
            <v>1419.7184128422452</v>
          </cell>
          <cell r="M28">
            <v>1613.6943626866591</v>
          </cell>
          <cell r="N28">
            <v>1666.4093161913113</v>
          </cell>
          <cell r="O28">
            <v>5.9782230440226774E-3</v>
          </cell>
          <cell r="P28">
            <v>7.2677942415036653E-3</v>
          </cell>
          <cell r="Q28">
            <v>8.445191550802908E-3</v>
          </cell>
          <cell r="R28">
            <v>1.0002313760346162E-2</v>
          </cell>
          <cell r="S28">
            <v>1.1559435969889413E-2</v>
          </cell>
          <cell r="T28">
            <v>1.3116558179432667E-2</v>
          </cell>
          <cell r="U28">
            <v>1.4673680388975917E-2</v>
          </cell>
          <cell r="V28">
            <v>1.6230802598519174E-2</v>
          </cell>
          <cell r="W28">
            <v>1.6230802598519178E-2</v>
          </cell>
          <cell r="X28">
            <v>0</v>
          </cell>
          <cell r="Y28">
            <v>0</v>
          </cell>
          <cell r="AA28">
            <v>12</v>
          </cell>
          <cell r="AB28">
            <v>81</v>
          </cell>
          <cell r="AC28">
            <v>150</v>
          </cell>
          <cell r="AD28">
            <v>143.84320022985045</v>
          </cell>
          <cell r="AE28">
            <v>137.939108349099</v>
          </cell>
          <cell r="AF28">
            <v>132.27735187857658</v>
          </cell>
          <cell r="AG28">
            <v>126.84798408096319</v>
          </cell>
          <cell r="AH28">
            <v>121.64146648607247</v>
          </cell>
          <cell r="AI28">
            <v>116.64865213339181</v>
          </cell>
          <cell r="AJ28">
            <v>4.176820101312596E-4</v>
          </cell>
          <cell r="AK28">
            <v>3.1926498824143058E-3</v>
          </cell>
          <cell r="AL28">
            <v>6.1057473730547008E-3</v>
          </cell>
          <cell r="AM28">
            <v>5.9943326165610286E-3</v>
          </cell>
          <cell r="AN28">
            <v>5.8199795549299894E-3</v>
          </cell>
          <cell r="AO28">
            <v>5.5871892915505131E-3</v>
          </cell>
          <cell r="AP28">
            <v>5.2668290361122241E-3</v>
          </cell>
          <cell r="AQ28">
            <v>4.9371887214731802E-3</v>
          </cell>
          <cell r="AR28">
            <v>4.6955891866408217E-3</v>
          </cell>
          <cell r="AS28">
            <v>0</v>
          </cell>
          <cell r="AT28">
            <v>0</v>
          </cell>
        </row>
        <row r="29">
          <cell r="B29" t="str">
            <v>GMIndustrialSynthetics</v>
          </cell>
          <cell r="C29" t="str">
            <v>GM</v>
          </cell>
          <cell r="D29" t="str">
            <v>Industrial</v>
          </cell>
          <cell r="E29" t="str">
            <v>Synthetics</v>
          </cell>
          <cell r="F29">
            <v>0</v>
          </cell>
          <cell r="G29">
            <v>0</v>
          </cell>
          <cell r="H29">
            <v>0</v>
          </cell>
          <cell r="I29">
            <v>0</v>
          </cell>
          <cell r="J29">
            <v>0</v>
          </cell>
          <cell r="K29">
            <v>0</v>
          </cell>
          <cell r="L29">
            <v>0</v>
          </cell>
          <cell r="M29">
            <v>0</v>
          </cell>
          <cell r="N29">
            <v>0</v>
          </cell>
          <cell r="O29">
            <v>0.1</v>
          </cell>
          <cell r="P29">
            <v>0.10199999999999999</v>
          </cell>
          <cell r="Q29">
            <v>0.104</v>
          </cell>
          <cell r="R29">
            <v>0.106</v>
          </cell>
          <cell r="S29">
            <v>0.108</v>
          </cell>
          <cell r="T29">
            <v>0.11</v>
          </cell>
          <cell r="U29">
            <v>0.112</v>
          </cell>
          <cell r="V29">
            <v>0.114</v>
          </cell>
          <cell r="W29">
            <v>0.11600000000000001</v>
          </cell>
          <cell r="X29">
            <v>0</v>
          </cell>
          <cell r="Y29">
            <v>0</v>
          </cell>
          <cell r="Z29">
            <v>0</v>
          </cell>
          <cell r="AA29">
            <v>0</v>
          </cell>
          <cell r="AB29">
            <v>0</v>
          </cell>
          <cell r="AC29">
            <v>0</v>
          </cell>
          <cell r="AD29">
            <v>0</v>
          </cell>
          <cell r="AE29">
            <v>0</v>
          </cell>
          <cell r="AF29">
            <v>0</v>
          </cell>
          <cell r="AG29">
            <v>0</v>
          </cell>
          <cell r="AH29">
            <v>0</v>
          </cell>
          <cell r="AI29">
            <v>0</v>
          </cell>
          <cell r="AJ29">
            <v>1.4999999999999999E-2</v>
          </cell>
          <cell r="AK29">
            <v>1.4999999999999999E-2</v>
          </cell>
          <cell r="AL29">
            <v>1.4999999999999999E-2</v>
          </cell>
          <cell r="AM29">
            <v>1.2999999999999999E-2</v>
          </cell>
          <cell r="AN29">
            <v>1.2E-2</v>
          </cell>
          <cell r="AO29">
            <v>1.2E-2</v>
          </cell>
          <cell r="AP29">
            <v>1.2E-2</v>
          </cell>
          <cell r="AQ29">
            <v>1.2E-2</v>
          </cell>
          <cell r="AR29">
            <v>1.2E-2</v>
          </cell>
          <cell r="AS29">
            <v>0</v>
          </cell>
          <cell r="AT29">
            <v>0</v>
          </cell>
        </row>
        <row r="30">
          <cell r="B30" t="str">
            <v>GMIndustrialPart Synthetics</v>
          </cell>
          <cell r="C30" t="str">
            <v>GM</v>
          </cell>
          <cell r="D30" t="str">
            <v>Industrial</v>
          </cell>
          <cell r="E30" t="str">
            <v>Part Synthetics</v>
          </cell>
          <cell r="F30">
            <v>0</v>
          </cell>
          <cell r="G30">
            <v>0</v>
          </cell>
          <cell r="H30">
            <v>0</v>
          </cell>
          <cell r="I30">
            <v>0</v>
          </cell>
          <cell r="J30">
            <v>0</v>
          </cell>
          <cell r="K30">
            <v>0</v>
          </cell>
          <cell r="L30">
            <v>0</v>
          </cell>
          <cell r="M30">
            <v>0</v>
          </cell>
          <cell r="N30">
            <v>0</v>
          </cell>
          <cell r="O30">
            <v>1.4999999999999999E-2</v>
          </cell>
          <cell r="P30">
            <v>1.4999999999999999E-2</v>
          </cell>
          <cell r="Q30">
            <v>1.4999999999999999E-2</v>
          </cell>
          <cell r="R30">
            <v>1.4999999999999999E-2</v>
          </cell>
          <cell r="S30">
            <v>1.4999999999999999E-2</v>
          </cell>
          <cell r="T30">
            <v>1.4999999999999999E-2</v>
          </cell>
          <cell r="U30">
            <v>1.4999999999999999E-2</v>
          </cell>
          <cell r="V30">
            <v>1.4999999999999999E-2</v>
          </cell>
          <cell r="W30">
            <v>1.4999999999999999E-2</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row>
        <row r="31">
          <cell r="B31" t="str">
            <v>GMIndustrialMineral Multigrades</v>
          </cell>
          <cell r="C31" t="str">
            <v>GM</v>
          </cell>
          <cell r="D31" t="str">
            <v>Industrial</v>
          </cell>
          <cell r="E31" t="str">
            <v>Mineral Multigrades</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row>
        <row r="32">
          <cell r="B32" t="str">
            <v>GMIndustrialMineral Monogrades</v>
          </cell>
          <cell r="C32" t="str">
            <v>GM</v>
          </cell>
          <cell r="D32" t="str">
            <v>Industrial</v>
          </cell>
          <cell r="E32" t="str">
            <v>Mineral Monogrades</v>
          </cell>
          <cell r="F32">
            <v>0</v>
          </cell>
          <cell r="G32">
            <v>0</v>
          </cell>
          <cell r="H32">
            <v>0</v>
          </cell>
          <cell r="I32">
            <v>0</v>
          </cell>
          <cell r="J32">
            <v>0</v>
          </cell>
          <cell r="K32">
            <v>0</v>
          </cell>
          <cell r="L32">
            <v>0</v>
          </cell>
          <cell r="M32">
            <v>0</v>
          </cell>
          <cell r="N32">
            <v>0</v>
          </cell>
          <cell r="O32">
            <v>0.76500000000000001</v>
          </cell>
          <cell r="P32">
            <v>0.7629999999999999</v>
          </cell>
          <cell r="Q32">
            <v>0.76100000000000001</v>
          </cell>
          <cell r="R32">
            <v>0.75900000000000001</v>
          </cell>
          <cell r="S32">
            <v>0.75734999999999986</v>
          </cell>
          <cell r="T32">
            <v>0.755</v>
          </cell>
          <cell r="U32">
            <v>0.75299999999999978</v>
          </cell>
          <cell r="V32">
            <v>0.75100000000000022</v>
          </cell>
          <cell r="W32">
            <v>0.74899999999999989</v>
          </cell>
          <cell r="X32">
            <v>0</v>
          </cell>
          <cell r="Y32">
            <v>0</v>
          </cell>
          <cell r="Z32">
            <v>0</v>
          </cell>
          <cell r="AA32">
            <v>0</v>
          </cell>
          <cell r="AB32">
            <v>0</v>
          </cell>
          <cell r="AC32">
            <v>0</v>
          </cell>
          <cell r="AD32">
            <v>0</v>
          </cell>
          <cell r="AE32">
            <v>0</v>
          </cell>
          <cell r="AF32">
            <v>0</v>
          </cell>
          <cell r="AG32">
            <v>0</v>
          </cell>
          <cell r="AH32">
            <v>0</v>
          </cell>
          <cell r="AI32">
            <v>0</v>
          </cell>
          <cell r="AJ32">
            <v>0.84499999999999986</v>
          </cell>
          <cell r="AK32">
            <v>0.84499999999999986</v>
          </cell>
          <cell r="AL32">
            <v>0.84499999999999986</v>
          </cell>
          <cell r="AM32">
            <v>0.84699999999999998</v>
          </cell>
          <cell r="AN32">
            <v>0.84799999999999998</v>
          </cell>
          <cell r="AO32">
            <v>0.84799999999999998</v>
          </cell>
          <cell r="AP32">
            <v>0.84799999999999998</v>
          </cell>
          <cell r="AQ32">
            <v>0.84799999999999998</v>
          </cell>
          <cell r="AR32">
            <v>0.84799999999999998</v>
          </cell>
          <cell r="AS32">
            <v>0</v>
          </cell>
          <cell r="AT32">
            <v>0</v>
          </cell>
        </row>
        <row r="33">
          <cell r="B33" t="str">
            <v>GMIndustrialSpecialities</v>
          </cell>
          <cell r="C33" t="str">
            <v>GM</v>
          </cell>
          <cell r="D33" t="str">
            <v>Industrial</v>
          </cell>
          <cell r="E33" t="str">
            <v>Specialities</v>
          </cell>
          <cell r="F33">
            <v>0</v>
          </cell>
          <cell r="G33">
            <v>0</v>
          </cell>
          <cell r="H33">
            <v>0</v>
          </cell>
          <cell r="I33">
            <v>0</v>
          </cell>
          <cell r="J33">
            <v>0</v>
          </cell>
          <cell r="K33">
            <v>0</v>
          </cell>
          <cell r="L33">
            <v>0</v>
          </cell>
          <cell r="M33">
            <v>0</v>
          </cell>
          <cell r="N33">
            <v>0</v>
          </cell>
          <cell r="O33">
            <v>0.12</v>
          </cell>
          <cell r="P33">
            <v>0.12</v>
          </cell>
          <cell r="Q33">
            <v>0.12</v>
          </cell>
          <cell r="R33">
            <v>0.12</v>
          </cell>
          <cell r="S33">
            <v>0.12</v>
          </cell>
          <cell r="T33">
            <v>0.12</v>
          </cell>
          <cell r="U33">
            <v>0.12</v>
          </cell>
          <cell r="V33">
            <v>0.12</v>
          </cell>
          <cell r="W33">
            <v>0.12</v>
          </cell>
          <cell r="X33">
            <v>0</v>
          </cell>
          <cell r="Y33">
            <v>0</v>
          </cell>
          <cell r="Z33">
            <v>0</v>
          </cell>
          <cell r="AA33">
            <v>0</v>
          </cell>
          <cell r="AB33">
            <v>0</v>
          </cell>
          <cell r="AC33">
            <v>0</v>
          </cell>
          <cell r="AD33">
            <v>0</v>
          </cell>
          <cell r="AE33">
            <v>0</v>
          </cell>
          <cell r="AF33">
            <v>0</v>
          </cell>
          <cell r="AG33">
            <v>0</v>
          </cell>
          <cell r="AH33">
            <v>0</v>
          </cell>
          <cell r="AI33">
            <v>0</v>
          </cell>
          <cell r="AJ33">
            <v>0.14000000000000001</v>
          </cell>
          <cell r="AK33">
            <v>0.14000000000000001</v>
          </cell>
          <cell r="AL33">
            <v>0.14000000000000001</v>
          </cell>
          <cell r="AM33">
            <v>0.14000000000000001</v>
          </cell>
          <cell r="AN33">
            <v>0.14000000000000001</v>
          </cell>
          <cell r="AO33">
            <v>0.14000000000000001</v>
          </cell>
          <cell r="AP33">
            <v>0.14000000000000001</v>
          </cell>
          <cell r="AQ33">
            <v>0.14000000000000001</v>
          </cell>
          <cell r="AR33">
            <v>0.14000000000000001</v>
          </cell>
          <cell r="AS33">
            <v>0</v>
          </cell>
          <cell r="AT33">
            <v>0</v>
          </cell>
        </row>
        <row r="34">
          <cell r="B34" t="str">
            <v>GMPCOSynthetics</v>
          </cell>
          <cell r="C34" t="str">
            <v>GM</v>
          </cell>
          <cell r="D34" t="str">
            <v>PCO</v>
          </cell>
          <cell r="E34" t="str">
            <v>Synthetics</v>
          </cell>
          <cell r="F34">
            <v>1406.7255919624395</v>
          </cell>
          <cell r="G34">
            <v>1683.3827830319653</v>
          </cell>
          <cell r="H34">
            <v>1882.0604911935063</v>
          </cell>
          <cell r="I34">
            <v>1891.8497680206706</v>
          </cell>
          <cell r="J34">
            <v>2085.2312664344772</v>
          </cell>
          <cell r="K34">
            <v>2211.7406089099113</v>
          </cell>
          <cell r="L34">
            <v>2505.1466046199748</v>
          </cell>
          <cell r="M34">
            <v>2717.1011281775241</v>
          </cell>
          <cell r="N34">
            <v>3035.6523262108922</v>
          </cell>
          <cell r="O34">
            <v>0.16206896464164783</v>
          </cell>
          <cell r="P34">
            <v>0.16138815100936646</v>
          </cell>
          <cell r="Q34">
            <v>0.15615600381022654</v>
          </cell>
          <cell r="R34">
            <v>0.15251088902205337</v>
          </cell>
          <cell r="S34">
            <v>0.15619782328261028</v>
          </cell>
          <cell r="T34">
            <v>0.1552012975407393</v>
          </cell>
          <cell r="U34">
            <v>0.16147663761984468</v>
          </cell>
          <cell r="V34">
            <v>0.15929477119459792</v>
          </cell>
          <cell r="W34">
            <v>0.15697990569631415</v>
          </cell>
          <cell r="X34">
            <v>0</v>
          </cell>
          <cell r="Y34">
            <v>0</v>
          </cell>
          <cell r="Z34">
            <v>0</v>
          </cell>
          <cell r="AA34">
            <v>223.3874052709582</v>
          </cell>
          <cell r="AB34">
            <v>258.69627253169813</v>
          </cell>
          <cell r="AC34">
            <v>502.60692416168945</v>
          </cell>
          <cell r="AD34">
            <v>517.27612719872479</v>
          </cell>
          <cell r="AE34">
            <v>607.4301448353616</v>
          </cell>
          <cell r="AF34">
            <v>712.6425231570114</v>
          </cell>
          <cell r="AG34">
            <v>835.18258762053608</v>
          </cell>
          <cell r="AH34">
            <v>977.88619504189205</v>
          </cell>
          <cell r="AI34">
            <v>1143.3655648618731</v>
          </cell>
          <cell r="AJ34">
            <v>8.477463187870414E-2</v>
          </cell>
          <cell r="AK34">
            <v>7.6692828013945821E-2</v>
          </cell>
          <cell r="AL34">
            <v>0.11734306773222157</v>
          </cell>
          <cell r="AM34">
            <v>0.11098597597837868</v>
          </cell>
          <cell r="AN34">
            <v>0.11875732087286971</v>
          </cell>
          <cell r="AO34">
            <v>0.12687984277392797</v>
          </cell>
          <cell r="AP34">
            <v>0.13533491175082552</v>
          </cell>
          <cell r="AQ34">
            <v>0.14414074808044103</v>
          </cell>
          <cell r="AR34">
            <v>0.15322430099766685</v>
          </cell>
          <cell r="AS34">
            <v>0</v>
          </cell>
          <cell r="AT34">
            <v>0</v>
          </cell>
        </row>
        <row r="35">
          <cell r="B35" t="str">
            <v>GMPCOPart Synthetics</v>
          </cell>
          <cell r="C35" t="str">
            <v>GM</v>
          </cell>
          <cell r="D35" t="str">
            <v>PCO</v>
          </cell>
          <cell r="E35" t="str">
            <v>Part Synthetics</v>
          </cell>
          <cell r="F35">
            <v>1331.4450064399039</v>
          </cell>
          <cell r="G35">
            <v>1756.2922161126376</v>
          </cell>
          <cell r="H35">
            <v>2257.1158686169556</v>
          </cell>
          <cell r="I35">
            <v>2531.8920641812265</v>
          </cell>
          <cell r="J35">
            <v>3309.8479058487746</v>
          </cell>
          <cell r="K35">
            <v>3982.0971541491276</v>
          </cell>
          <cell r="L35">
            <v>4755.4233271505454</v>
          </cell>
          <cell r="M35">
            <v>5649.8558732359306</v>
          </cell>
          <cell r="N35">
            <v>6876.1713635411479</v>
          </cell>
          <cell r="O35">
            <v>0.15339588254023104</v>
          </cell>
          <cell r="P35">
            <v>0.16837807553196232</v>
          </cell>
          <cell r="Q35">
            <v>0.18727463640467723</v>
          </cell>
          <cell r="R35">
            <v>0.20410770249487467</v>
          </cell>
          <cell r="S35">
            <v>0.24792983234616664</v>
          </cell>
          <cell r="T35">
            <v>0.2794299850387218</v>
          </cell>
          <cell r="U35">
            <v>0.30652488277975726</v>
          </cell>
          <cell r="V35">
            <v>0.33123261010650579</v>
          </cell>
          <cell r="W35">
            <v>0.3555811457327594</v>
          </cell>
          <cell r="X35">
            <v>0</v>
          </cell>
          <cell r="Y35">
            <v>0</v>
          </cell>
          <cell r="Z35">
            <v>0</v>
          </cell>
          <cell r="AA35">
            <v>331.01450204265592</v>
          </cell>
          <cell r="AB35">
            <v>427.90887135331968</v>
          </cell>
          <cell r="AC35">
            <v>644.57795355989083</v>
          </cell>
          <cell r="AD35">
            <v>801.62611696178772</v>
          </cell>
          <cell r="AE35">
            <v>978.9919086456382</v>
          </cell>
          <cell r="AF35">
            <v>1194.5046202494418</v>
          </cell>
          <cell r="AG35">
            <v>1455.8977388198969</v>
          </cell>
          <cell r="AH35">
            <v>1772.8463382007224</v>
          </cell>
          <cell r="AI35">
            <v>2155.7640590227065</v>
          </cell>
          <cell r="AJ35">
            <v>0.12561868706582316</v>
          </cell>
          <cell r="AK35">
            <v>0.12685741914708365</v>
          </cell>
          <cell r="AL35">
            <v>0.15048888271770522</v>
          </cell>
          <cell r="AM35">
            <v>0.17199567558350154</v>
          </cell>
          <cell r="AN35">
            <v>0.1914005375193967</v>
          </cell>
          <cell r="AO35">
            <v>0.21267122503239666</v>
          </cell>
          <cell r="AP35">
            <v>0.23591702571622475</v>
          </cell>
          <cell r="AQ35">
            <v>0.26131813570491763</v>
          </cell>
          <cell r="AR35">
            <v>0.28889748931659642</v>
          </cell>
          <cell r="AS35">
            <v>0</v>
          </cell>
          <cell r="AT35">
            <v>0</v>
          </cell>
        </row>
        <row r="36">
          <cell r="B36" t="str">
            <v>GMPCOMineral Multigrades</v>
          </cell>
          <cell r="C36" t="str">
            <v>GM</v>
          </cell>
          <cell r="D36" t="str">
            <v>PCO</v>
          </cell>
          <cell r="E36" t="str">
            <v>Mineral Multigrades</v>
          </cell>
          <cell r="F36">
            <v>5260.4148160003915</v>
          </cell>
          <cell r="G36">
            <v>6203.3227904382175</v>
          </cell>
          <cell r="H36">
            <v>7045.5369198091803</v>
          </cell>
          <cell r="I36">
            <v>7122.7378778818838</v>
          </cell>
          <cell r="J36">
            <v>7088.1833593384117</v>
          </cell>
          <cell r="K36">
            <v>7133.1156723668792</v>
          </cell>
          <cell r="L36">
            <v>7274.9985473625575</v>
          </cell>
          <cell r="M36">
            <v>7668.4400549883185</v>
          </cell>
          <cell r="N36">
            <v>8327.1780998441536</v>
          </cell>
          <cell r="O36">
            <v>0.60605279927084144</v>
          </cell>
          <cell r="P36">
            <v>0.59472082366193302</v>
          </cell>
          <cell r="Q36">
            <v>0.58457360708800699</v>
          </cell>
          <cell r="R36">
            <v>0.5741973302474993</v>
          </cell>
          <cell r="S36">
            <v>0.53095252770202483</v>
          </cell>
          <cell r="T36">
            <v>0.50054188244305819</v>
          </cell>
          <cell r="U36">
            <v>0.46893155951468396</v>
          </cell>
          <cell r="V36">
            <v>0.44957561251987516</v>
          </cell>
          <cell r="W36">
            <v>0.43061572682191745</v>
          </cell>
          <cell r="X36">
            <v>0</v>
          </cell>
          <cell r="Y36">
            <v>0</v>
          </cell>
          <cell r="Z36">
            <v>0</v>
          </cell>
          <cell r="AA36">
            <v>2014.7322776787414</v>
          </cell>
          <cell r="AB36">
            <v>2605.3608106238689</v>
          </cell>
          <cell r="AC36">
            <v>3038.4826254547283</v>
          </cell>
          <cell r="AD36">
            <v>3190.9727809597157</v>
          </cell>
          <cell r="AE36">
            <v>3363.8863828804988</v>
          </cell>
          <cell r="AF36">
            <v>3530.1467603689021</v>
          </cell>
          <cell r="AG36">
            <v>3684.8462812412331</v>
          </cell>
          <cell r="AH36">
            <v>3823.134987346948</v>
          </cell>
          <cell r="AI36">
            <v>3936.6084475961393</v>
          </cell>
          <cell r="AJ36">
            <v>0.764582886699402</v>
          </cell>
          <cell r="AK36">
            <v>0.77238255738287753</v>
          </cell>
          <cell r="AL36">
            <v>0.70939108751158308</v>
          </cell>
          <cell r="AM36">
            <v>0.68465024731210578</v>
          </cell>
          <cell r="AN36">
            <v>0.65766596858622073</v>
          </cell>
          <cell r="AO36">
            <v>0.6285121240594479</v>
          </cell>
          <cell r="AP36">
            <v>0.59710098567538394</v>
          </cell>
          <cell r="AQ36">
            <v>0.56353135966408552</v>
          </cell>
          <cell r="AR36">
            <v>0.52755137658645324</v>
          </cell>
          <cell r="AS36">
            <v>0</v>
          </cell>
          <cell r="AT36">
            <v>0</v>
          </cell>
        </row>
        <row r="37">
          <cell r="B37" t="str">
            <v>GMPCOMineral Monogrades</v>
          </cell>
          <cell r="C37" t="str">
            <v>GM</v>
          </cell>
          <cell r="D37" t="str">
            <v>PCO</v>
          </cell>
          <cell r="E37" t="str">
            <v>Mineral Monogrades</v>
          </cell>
          <cell r="F37">
            <v>164.60623972068657</v>
          </cell>
          <cell r="G37">
            <v>171.59531296653975</v>
          </cell>
          <cell r="H37">
            <v>175.23931049136209</v>
          </cell>
          <cell r="I37">
            <v>161.8671752649557</v>
          </cell>
          <cell r="J37">
            <v>136.99328300447024</v>
          </cell>
          <cell r="K37">
            <v>142.26876691315368</v>
          </cell>
          <cell r="L37">
            <v>134.20121972090288</v>
          </cell>
          <cell r="M37">
            <v>110.42211496197588</v>
          </cell>
          <cell r="N37">
            <v>85.946610086655582</v>
          </cell>
          <cell r="O37">
            <v>1.8964297655145575E-2</v>
          </cell>
          <cell r="P37">
            <v>1.6451071355063008E-2</v>
          </cell>
          <cell r="Q37">
            <v>1.4539740122506552E-2</v>
          </cell>
          <cell r="R37">
            <v>1.3048872706723927E-2</v>
          </cell>
          <cell r="S37">
            <v>1.0261716747718466E-2</v>
          </cell>
          <cell r="T37">
            <v>9.9832218730771735E-3</v>
          </cell>
          <cell r="U37">
            <v>8.650336744783339E-3</v>
          </cell>
          <cell r="V37">
            <v>6.4736882095697617E-3</v>
          </cell>
          <cell r="W37">
            <v>4.4444782526073014E-3</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row>
        <row r="38">
          <cell r="B38" t="str">
            <v>GMPCOSpecialities</v>
          </cell>
          <cell r="C38" t="str">
            <v>GM</v>
          </cell>
          <cell r="D38" t="str">
            <v>PCO</v>
          </cell>
          <cell r="E38" t="str">
            <v>Specialities</v>
          </cell>
          <cell r="F38">
            <v>516.60459849572237</v>
          </cell>
          <cell r="G38">
            <v>616.05358683657494</v>
          </cell>
          <cell r="H38">
            <v>692.48500608119116</v>
          </cell>
          <cell r="I38">
            <v>696.33962688518989</v>
          </cell>
          <cell r="J38">
            <v>729.68224860568921</v>
          </cell>
          <cell r="K38">
            <v>781.56464001541542</v>
          </cell>
          <cell r="L38">
            <v>844.21821633719208</v>
          </cell>
          <cell r="M38">
            <v>911.24496075553429</v>
          </cell>
          <cell r="N38">
            <v>1012.8917700234612</v>
          </cell>
          <cell r="O38">
            <v>5.9518055892134103E-2</v>
          </cell>
          <cell r="P38">
            <v>5.9061878441675299E-2</v>
          </cell>
          <cell r="Q38">
            <v>5.7456012574582618E-2</v>
          </cell>
          <cell r="R38">
            <v>5.6135205528848792E-2</v>
          </cell>
          <cell r="S38">
            <v>5.4658099921479623E-2</v>
          </cell>
          <cell r="T38">
            <v>5.4843613104403638E-2</v>
          </cell>
          <cell r="U38">
            <v>5.4416583340930691E-2</v>
          </cell>
          <cell r="V38">
            <v>5.3423317969451475E-2</v>
          </cell>
          <cell r="W38">
            <v>5.2378743496401765E-2</v>
          </cell>
          <cell r="X38">
            <v>0</v>
          </cell>
          <cell r="Y38">
            <v>0</v>
          </cell>
          <cell r="Z38">
            <v>0</v>
          </cell>
          <cell r="AA38">
            <v>65.939543084479482</v>
          </cell>
          <cell r="AB38">
            <v>81.182216329940701</v>
          </cell>
          <cell r="AC38">
            <v>97.558884842155962</v>
          </cell>
          <cell r="AD38">
            <v>150.85911393438508</v>
          </cell>
          <cell r="AE38">
            <v>164.57745337340549</v>
          </cell>
          <cell r="AF38">
            <v>179.37859184543396</v>
          </cell>
          <cell r="AG38">
            <v>195.30132468103952</v>
          </cell>
          <cell r="AH38">
            <v>210.3777956353839</v>
          </cell>
          <cell r="AI38">
            <v>226.2999826480652</v>
          </cell>
          <cell r="AJ38">
            <v>2.5023794356070776E-2</v>
          </cell>
          <cell r="AK38">
            <v>2.4067195456093017E-2</v>
          </cell>
          <cell r="AL38">
            <v>2.2776962038490178E-2</v>
          </cell>
          <cell r="AM38">
            <v>3.2368101126013904E-2</v>
          </cell>
          <cell r="AN38">
            <v>3.2176173021512953E-2</v>
          </cell>
          <cell r="AO38">
            <v>3.1936808134227515E-2</v>
          </cell>
          <cell r="AP38">
            <v>3.1647076857565813E-2</v>
          </cell>
          <cell r="AQ38">
            <v>3.1009756550555781E-2</v>
          </cell>
          <cell r="AR38">
            <v>3.0326833099283412E-2</v>
          </cell>
          <cell r="AS38">
            <v>0</v>
          </cell>
          <cell r="AT38">
            <v>0</v>
          </cell>
        </row>
        <row r="39">
          <cell r="B39" t="str">
            <v>GMOEMSynthetics</v>
          </cell>
          <cell r="C39" t="str">
            <v>GM</v>
          </cell>
          <cell r="D39" t="str">
            <v>OEM</v>
          </cell>
          <cell r="E39" t="str">
            <v>Synthetics</v>
          </cell>
          <cell r="F39">
            <v>950.74968002052685</v>
          </cell>
          <cell r="G39">
            <v>1192.7666722022318</v>
          </cell>
          <cell r="H39">
            <v>1157.8707976003884</v>
          </cell>
          <cell r="I39">
            <v>1521.8360614744156</v>
          </cell>
          <cell r="J39">
            <v>1292.5430532599978</v>
          </cell>
          <cell r="K39">
            <v>1607.3575562483713</v>
          </cell>
          <cell r="L39">
            <v>1925.23709482344</v>
          </cell>
          <cell r="M39">
            <v>2244.1687273907419</v>
          </cell>
          <cell r="N39">
            <v>2705.8917033107568</v>
          </cell>
          <cell r="O39">
            <v>0.45491066926237805</v>
          </cell>
          <cell r="P39">
            <v>0.46645863774713342</v>
          </cell>
          <cell r="Q39">
            <v>0.43049014518800299</v>
          </cell>
          <cell r="R39">
            <v>0.50335110269190497</v>
          </cell>
          <cell r="S39">
            <v>0.50264268041711724</v>
          </cell>
          <cell r="T39">
            <v>0.52942765718882567</v>
          </cell>
          <cell r="U39">
            <v>0.53788885232458206</v>
          </cell>
          <cell r="V39">
            <v>0.52530038113572197</v>
          </cell>
          <cell r="W39">
            <v>0.51978300181515857</v>
          </cell>
          <cell r="X39">
            <v>0</v>
          </cell>
          <cell r="Y39">
            <v>0</v>
          </cell>
          <cell r="Z39">
            <v>0</v>
          </cell>
          <cell r="AA39">
            <v>336.19444444444446</v>
          </cell>
          <cell r="AB39">
            <v>484.67711739347391</v>
          </cell>
          <cell r="AC39">
            <v>658.77049041124121</v>
          </cell>
          <cell r="AD39">
            <v>562.78661908758113</v>
          </cell>
          <cell r="AE39">
            <v>411.66386867225617</v>
          </cell>
          <cell r="AF39">
            <v>438.71959106326574</v>
          </cell>
          <cell r="AG39">
            <v>430.71383154798684</v>
          </cell>
          <cell r="AH39">
            <v>460.13733851410882</v>
          </cell>
          <cell r="AI39">
            <v>489.84142371404977</v>
          </cell>
          <cell r="AJ39">
            <v>0.68055555555555558</v>
          </cell>
          <cell r="AK39">
            <v>0.65502862851703103</v>
          </cell>
          <cell r="AL39">
            <v>0.6149659853711521</v>
          </cell>
          <cell r="AM39">
            <v>0.48286127050069072</v>
          </cell>
          <cell r="AN39">
            <v>0.47525538331152856</v>
          </cell>
          <cell r="AO39">
            <v>0.46743601971893528</v>
          </cell>
          <cell r="AP39">
            <v>0.46054131180002111</v>
          </cell>
          <cell r="AQ39">
            <v>0.45400078825747403</v>
          </cell>
          <cell r="AR39">
            <v>0.44542254306678525</v>
          </cell>
          <cell r="AS39">
            <v>0</v>
          </cell>
          <cell r="AT39">
            <v>0</v>
          </cell>
        </row>
        <row r="40">
          <cell r="B40" t="str">
            <v>GMOEMPart Synthetics</v>
          </cell>
          <cell r="C40" t="str">
            <v>GM</v>
          </cell>
          <cell r="D40" t="str">
            <v>OEM</v>
          </cell>
          <cell r="E40" t="str">
            <v>Part Synthetics</v>
          </cell>
          <cell r="F40">
            <v>120.87282509323221</v>
          </cell>
          <cell r="G40">
            <v>157.69807546334621</v>
          </cell>
          <cell r="H40">
            <v>135.94569364631903</v>
          </cell>
          <cell r="I40">
            <v>180.28072962538866</v>
          </cell>
          <cell r="J40">
            <v>154.62415211397069</v>
          </cell>
          <cell r="K40">
            <v>194.17606089255145</v>
          </cell>
          <cell r="L40">
            <v>234.86499256134434</v>
          </cell>
          <cell r="M40">
            <v>294.11190036110548</v>
          </cell>
          <cell r="N40">
            <v>358.11159205071493</v>
          </cell>
          <cell r="O40">
            <v>5.7834716029154451E-2</v>
          </cell>
          <cell r="P40">
            <v>6.1671432619895668E-2</v>
          </cell>
          <cell r="Q40">
            <v>5.0543878917037488E-2</v>
          </cell>
          <cell r="R40">
            <v>5.962830448578256E-2</v>
          </cell>
          <cell r="S40">
            <v>6.013006536205228E-2</v>
          </cell>
          <cell r="T40">
            <v>6.3957254937378166E-2</v>
          </cell>
          <cell r="U40">
            <v>6.5618547263462446E-2</v>
          </cell>
          <cell r="V40">
            <v>6.8843795687266091E-2</v>
          </cell>
          <cell r="W40">
            <v>6.8790749486824121E-2</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row>
        <row r="41">
          <cell r="B41" t="str">
            <v>GMOEMMineral Multigrades</v>
          </cell>
          <cell r="C41" t="str">
            <v>GM</v>
          </cell>
          <cell r="D41" t="str">
            <v>OEM</v>
          </cell>
          <cell r="E41" t="str">
            <v>Mineral Multigrades</v>
          </cell>
          <cell r="F41">
            <v>893.48120709115494</v>
          </cell>
          <cell r="G41">
            <v>1055.0059353905181</v>
          </cell>
          <cell r="H41">
            <v>1219.6639948052948</v>
          </cell>
          <cell r="I41">
            <v>1103.6315184762736</v>
          </cell>
          <cell r="J41">
            <v>934.57728569295023</v>
          </cell>
          <cell r="K41">
            <v>1005.1835827129213</v>
          </cell>
          <cell r="L41">
            <v>1141.7104596804638</v>
          </cell>
          <cell r="M41">
            <v>1378.0283938354678</v>
          </cell>
          <cell r="N41">
            <v>1680.4738232774355</v>
          </cell>
          <cell r="O41">
            <v>0.42750909354228683</v>
          </cell>
          <cell r="P41">
            <v>0.41258415657170849</v>
          </cell>
          <cell r="Q41">
            <v>0.45346452410100485</v>
          </cell>
          <cell r="R41">
            <v>0.36502889887651202</v>
          </cell>
          <cell r="S41">
            <v>0.36343735765926977</v>
          </cell>
          <cell r="T41">
            <v>0.33108500791975626</v>
          </cell>
          <cell r="U41">
            <v>0.31898062347526862</v>
          </cell>
          <cell r="V41">
            <v>0.32255990009238744</v>
          </cell>
          <cell r="W41">
            <v>0.32280734933560168</v>
          </cell>
          <cell r="X41">
            <v>0</v>
          </cell>
          <cell r="Y41">
            <v>0</v>
          </cell>
          <cell r="Z41">
            <v>0</v>
          </cell>
          <cell r="AA41">
            <v>157.80555555555557</v>
          </cell>
          <cell r="AB41">
            <v>255.25560660176768</v>
          </cell>
          <cell r="AC41">
            <v>412.4602867083284</v>
          </cell>
          <cell r="AD41">
            <v>602.73783580194424</v>
          </cell>
          <cell r="AE41">
            <v>454.53119850157884</v>
          </cell>
          <cell r="AF41">
            <v>499.84648548142059</v>
          </cell>
          <cell r="AG41">
            <v>504.52003458347076</v>
          </cell>
          <cell r="AH41">
            <v>553.37926853890497</v>
          </cell>
          <cell r="AI41">
            <v>609.88159511080676</v>
          </cell>
          <cell r="AJ41">
            <v>0.31944444444444448</v>
          </cell>
          <cell r="AK41">
            <v>0.34497137148296908</v>
          </cell>
          <cell r="AL41">
            <v>0.38503401462884779</v>
          </cell>
          <cell r="AM41">
            <v>0.51713872949930939</v>
          </cell>
          <cell r="AN41">
            <v>0.5247446166884715</v>
          </cell>
          <cell r="AO41">
            <v>0.53256398028106466</v>
          </cell>
          <cell r="AP41">
            <v>0.53945868819997889</v>
          </cell>
          <cell r="AQ41">
            <v>0.54599921174252597</v>
          </cell>
          <cell r="AR41">
            <v>0.5545774569332147</v>
          </cell>
          <cell r="AS41">
            <v>0</v>
          </cell>
          <cell r="AT41">
            <v>0</v>
          </cell>
        </row>
        <row r="42">
          <cell r="B42" t="str">
            <v>GMOEMMineral Monogrades</v>
          </cell>
          <cell r="C42" t="str">
            <v>GM</v>
          </cell>
          <cell r="D42" t="str">
            <v>OEM</v>
          </cell>
          <cell r="E42" t="str">
            <v>Mineral Monogrades</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row>
        <row r="43">
          <cell r="B43" t="str">
            <v>GMOEMSpecialities</v>
          </cell>
          <cell r="C43" t="str">
            <v>GM</v>
          </cell>
          <cell r="D43" t="str">
            <v>OEM</v>
          </cell>
          <cell r="E43" t="str">
            <v>Specialities</v>
          </cell>
          <cell r="F43">
            <v>124.86635062551984</v>
          </cell>
          <cell r="G43">
            <v>151.59778064084779</v>
          </cell>
          <cell r="H43">
            <v>176.17643302735257</v>
          </cell>
          <cell r="I43">
            <v>217.66030785951907</v>
          </cell>
          <cell r="J43">
            <v>189.75033740125488</v>
          </cell>
          <cell r="K43">
            <v>229.31148966188164</v>
          </cell>
          <cell r="L43">
            <v>277.43451578646648</v>
          </cell>
          <cell r="M43">
            <v>355.85374086633601</v>
          </cell>
          <cell r="N43">
            <v>461.33317885328808</v>
          </cell>
          <cell r="O43">
            <v>5.974552116618078E-2</v>
          </cell>
          <cell r="P43">
            <v>5.9285773061262349E-2</v>
          </cell>
          <cell r="Q43">
            <v>6.5501451793954502E-2</v>
          </cell>
          <cell r="R43">
            <v>7.1991693945800406E-2</v>
          </cell>
          <cell r="S43">
            <v>7.3789896561560722E-2</v>
          </cell>
          <cell r="T43">
            <v>7.5530079954039861E-2</v>
          </cell>
          <cell r="U43">
            <v>7.7511976936686919E-2</v>
          </cell>
          <cell r="V43">
            <v>8.329592308462444E-2</v>
          </cell>
          <cell r="W43">
            <v>8.8618899362415682E-2</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row>
        <row r="44">
          <cell r="B44" t="str">
            <v>GMCVOSynthetics</v>
          </cell>
          <cell r="C44" t="str">
            <v>GM</v>
          </cell>
          <cell r="D44" t="str">
            <v>CVO</v>
          </cell>
          <cell r="E44" t="str">
            <v>Synthetics</v>
          </cell>
          <cell r="F44">
            <v>380.84531993804876</v>
          </cell>
          <cell r="G44">
            <v>363.42153105690932</v>
          </cell>
          <cell r="H44">
            <v>345.99774217576987</v>
          </cell>
          <cell r="I44">
            <v>445.87742196082746</v>
          </cell>
          <cell r="J44">
            <v>543.83192332692408</v>
          </cell>
          <cell r="K44">
            <v>639.74209943149901</v>
          </cell>
          <cell r="L44">
            <v>733.44336235742185</v>
          </cell>
          <cell r="M44">
            <v>824.71603045668655</v>
          </cell>
          <cell r="N44">
            <v>815.42328430339001</v>
          </cell>
          <cell r="O44">
            <v>9.6826691277919867E-3</v>
          </cell>
          <cell r="P44">
            <v>7.809372861584455E-3</v>
          </cell>
          <cell r="Q44">
            <v>6.438306744214267E-3</v>
          </cell>
          <cell r="R44">
            <v>7.8479325058491717E-3</v>
          </cell>
          <cell r="S44">
            <v>9.0588866893057673E-3</v>
          </cell>
          <cell r="T44">
            <v>1.0080833809490829E-2</v>
          </cell>
          <cell r="U44">
            <v>1.0919698841528732E-2</v>
          </cell>
          <cell r="V44">
            <v>1.1579677170551743E-2</v>
          </cell>
          <cell r="W44">
            <v>1.0652355771667489E-2</v>
          </cell>
          <cell r="X44">
            <v>0</v>
          </cell>
          <cell r="Y44">
            <v>0</v>
          </cell>
          <cell r="Z44">
            <v>0</v>
          </cell>
          <cell r="AA44">
            <v>0</v>
          </cell>
          <cell r="AB44">
            <v>0</v>
          </cell>
          <cell r="AC44">
            <v>0</v>
          </cell>
          <cell r="AD44">
            <v>0</v>
          </cell>
          <cell r="AE44">
            <v>0</v>
          </cell>
          <cell r="AF44">
            <v>0</v>
          </cell>
          <cell r="AG44">
            <v>0</v>
          </cell>
          <cell r="AH44">
            <v>0</v>
          </cell>
          <cell r="AI44">
            <v>70.833383558496806</v>
          </cell>
          <cell r="AJ44">
            <v>0</v>
          </cell>
          <cell r="AK44">
            <v>0</v>
          </cell>
          <cell r="AL44">
            <v>0</v>
          </cell>
          <cell r="AM44">
            <v>0</v>
          </cell>
          <cell r="AN44">
            <v>0</v>
          </cell>
          <cell r="AO44">
            <v>0</v>
          </cell>
          <cell r="AP44">
            <v>0</v>
          </cell>
          <cell r="AQ44">
            <v>0</v>
          </cell>
          <cell r="AR44">
            <v>2.5678465719804022E-3</v>
          </cell>
          <cell r="AS44">
            <v>0</v>
          </cell>
          <cell r="AT44">
            <v>0</v>
          </cell>
        </row>
        <row r="45">
          <cell r="B45" t="str">
            <v>GMCVOPart Synthetics</v>
          </cell>
          <cell r="C45" t="str">
            <v>GM</v>
          </cell>
          <cell r="D45" t="str">
            <v>CVO</v>
          </cell>
          <cell r="E45" t="str">
            <v>Part Synthetics</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row>
        <row r="46">
          <cell r="B46" t="str">
            <v>GMCVOMineral Multigrades</v>
          </cell>
          <cell r="C46" t="str">
            <v>GM</v>
          </cell>
          <cell r="D46" t="str">
            <v>CVO</v>
          </cell>
          <cell r="E46" t="str">
            <v>Mineral Multigrades</v>
          </cell>
          <cell r="F46">
            <v>21517.351829648258</v>
          </cell>
          <cell r="G46">
            <v>26324.345245411641</v>
          </cell>
          <cell r="H46">
            <v>31131.338661175021</v>
          </cell>
          <cell r="I46">
            <v>35319.914380599745</v>
          </cell>
          <cell r="J46">
            <v>39581.238140563459</v>
          </cell>
          <cell r="K46">
            <v>43976.128472166602</v>
          </cell>
          <cell r="L46">
            <v>48566.352499175293</v>
          </cell>
          <cell r="M46">
            <v>53415.687569671398</v>
          </cell>
          <cell r="N46">
            <v>58591.013709008701</v>
          </cell>
          <cell r="O46">
            <v>0.5470604136783529</v>
          </cell>
          <cell r="P46">
            <v>0.5656699171362678</v>
          </cell>
          <cell r="Q46">
            <v>0.57929021848021112</v>
          </cell>
          <cell r="R46">
            <v>0.62166929859855224</v>
          </cell>
          <cell r="S46">
            <v>0.65932494205979686</v>
          </cell>
          <cell r="T46">
            <v>0.69296055880436536</v>
          </cell>
          <cell r="U46">
            <v>0.72306870624330488</v>
          </cell>
          <cell r="V46">
            <v>0.74999926648368143</v>
          </cell>
          <cell r="W46">
            <v>0.76540900298695713</v>
          </cell>
          <cell r="X46">
            <v>0</v>
          </cell>
          <cell r="Y46">
            <v>0</v>
          </cell>
          <cell r="Z46">
            <v>0</v>
          </cell>
          <cell r="AA46">
            <v>13378.910119326252</v>
          </cell>
          <cell r="AB46">
            <v>16156.24457849347</v>
          </cell>
          <cell r="AC46">
            <v>18933.579037660693</v>
          </cell>
          <cell r="AD46">
            <v>19723.617532660279</v>
          </cell>
          <cell r="AE46">
            <v>20546.621840533368</v>
          </cell>
          <cell r="AF46">
            <v>21403.967520604336</v>
          </cell>
          <cell r="AG46">
            <v>22297.087529946613</v>
          </cell>
          <cell r="AH46">
            <v>23227.474618409604</v>
          </cell>
          <cell r="AI46">
            <v>24196.683823582505</v>
          </cell>
          <cell r="AJ46">
            <v>0.79268593178380842</v>
          </cell>
          <cell r="AK46">
            <v>0.81274551173948029</v>
          </cell>
          <cell r="AL46">
            <v>0.82754339094563267</v>
          </cell>
          <cell r="AM46">
            <v>0.84140802156845584</v>
          </cell>
          <cell r="AN46">
            <v>0.85247756417634968</v>
          </cell>
          <cell r="AO46">
            <v>0.86136806755597572</v>
          </cell>
          <cell r="AP46">
            <v>0.86857704479529285</v>
          </cell>
          <cell r="AQ46">
            <v>0.87449743644825295</v>
          </cell>
          <cell r="AR46">
            <v>0.87717638898850525</v>
          </cell>
          <cell r="AS46">
            <v>0</v>
          </cell>
          <cell r="AT46">
            <v>0</v>
          </cell>
        </row>
        <row r="47">
          <cell r="B47" t="str">
            <v>GMCVOMineral Monogrades</v>
          </cell>
          <cell r="C47" t="str">
            <v>GM</v>
          </cell>
          <cell r="D47" t="str">
            <v>CVO</v>
          </cell>
          <cell r="E47" t="str">
            <v>Mineral Monogrades</v>
          </cell>
          <cell r="F47">
            <v>11492.305410769757</v>
          </cell>
          <cell r="G47">
            <v>12478.69727814627</v>
          </cell>
          <cell r="H47">
            <v>13465.089145522783</v>
          </cell>
          <cell r="I47">
            <v>11907.25010721467</v>
          </cell>
          <cell r="J47">
            <v>10397.955410070386</v>
          </cell>
          <cell r="K47">
            <v>8939.906944679411</v>
          </cell>
          <cell r="L47">
            <v>7536.5569230691053</v>
          </cell>
          <cell r="M47">
            <v>6192.2616600970914</v>
          </cell>
          <cell r="N47">
            <v>5955.0290601176575</v>
          </cell>
          <cell r="O47">
            <v>0.29218211431905788</v>
          </cell>
          <cell r="P47">
            <v>0.26814811876576228</v>
          </cell>
          <cell r="Q47">
            <v>0.25055762997732273</v>
          </cell>
          <cell r="R47">
            <v>0.20958068421750192</v>
          </cell>
          <cell r="S47">
            <v>0.17320406511637776</v>
          </cell>
          <cell r="T47">
            <v>0.14087194865198321</v>
          </cell>
          <cell r="U47">
            <v>0.11220625357823893</v>
          </cell>
          <cell r="V47">
            <v>8.6944340029140463E-2</v>
          </cell>
          <cell r="W47">
            <v>7.7794060336631263E-2</v>
          </cell>
          <cell r="X47">
            <v>0</v>
          </cell>
          <cell r="Y47">
            <v>0</v>
          </cell>
          <cell r="Z47">
            <v>0</v>
          </cell>
          <cell r="AA47">
            <v>1429.8722893478632</v>
          </cell>
          <cell r="AB47">
            <v>1328.8604010734871</v>
          </cell>
          <cell r="AC47">
            <v>1227.8485127991109</v>
          </cell>
          <cell r="AD47">
            <v>945.26660300596723</v>
          </cell>
          <cell r="AE47">
            <v>727.71921083446523</v>
          </cell>
          <cell r="AF47">
            <v>560.23903535095462</v>
          </cell>
          <cell r="AG47">
            <v>431.30340941674535</v>
          </cell>
          <cell r="AH47">
            <v>332.0415380516589</v>
          </cell>
          <cell r="AI47">
            <v>255.62418609397312</v>
          </cell>
          <cell r="AJ47">
            <v>8.4718384225951973E-2</v>
          </cell>
          <cell r="AK47">
            <v>6.6848785400196759E-2</v>
          </cell>
          <cell r="AL47">
            <v>5.3666447311848053E-2</v>
          </cell>
          <cell r="AM47">
            <v>4.0325001281988966E-2</v>
          </cell>
          <cell r="AN47">
            <v>3.0193007155690975E-2</v>
          </cell>
          <cell r="AO47">
            <v>2.2545914199558197E-2</v>
          </cell>
          <cell r="AP47">
            <v>1.6801308254191884E-2</v>
          </cell>
          <cell r="AQ47">
            <v>1.2501121133089951E-2</v>
          </cell>
          <cell r="AR47">
            <v>9.2668690524236649E-3</v>
          </cell>
          <cell r="AS47">
            <v>0</v>
          </cell>
          <cell r="AT47">
            <v>0</v>
          </cell>
        </row>
        <row r="48">
          <cell r="B48" t="str">
            <v>GMCVOSpecialities</v>
          </cell>
          <cell r="C48" t="str">
            <v>GM</v>
          </cell>
          <cell r="D48" t="str">
            <v>CVO</v>
          </cell>
          <cell r="E48" t="str">
            <v>Specialities</v>
          </cell>
          <cell r="F48">
            <v>5942.1767775049639</v>
          </cell>
          <cell r="G48">
            <v>7370.1192918709767</v>
          </cell>
          <cell r="H48">
            <v>8798.0618062369904</v>
          </cell>
          <cell r="I48">
            <v>9141.5932350235889</v>
          </cell>
          <cell r="J48">
            <v>9509.9500978532305</v>
          </cell>
          <cell r="K48">
            <v>9905.4511401456621</v>
          </cell>
          <cell r="L48">
            <v>10330.642661102389</v>
          </cell>
          <cell r="M48">
            <v>10788.321155011039</v>
          </cell>
          <cell r="N48">
            <v>11187.168049855181</v>
          </cell>
          <cell r="O48">
            <v>0.15107480287479719</v>
          </cell>
          <cell r="P48">
            <v>0.15837259123638542</v>
          </cell>
          <cell r="Q48">
            <v>0.16371384479825191</v>
          </cell>
          <cell r="R48">
            <v>0.16090208467809669</v>
          </cell>
          <cell r="S48">
            <v>0.15841210613451975</v>
          </cell>
          <cell r="T48">
            <v>0.15608665873416069</v>
          </cell>
          <cell r="U48">
            <v>0.1538053413369275</v>
          </cell>
          <cell r="V48">
            <v>0.1514767163166264</v>
          </cell>
          <cell r="W48">
            <v>0.14614458090474414</v>
          </cell>
          <cell r="X48">
            <v>0</v>
          </cell>
          <cell r="Y48">
            <v>0</v>
          </cell>
          <cell r="Z48">
            <v>0</v>
          </cell>
          <cell r="AA48">
            <v>2069.1632982961482</v>
          </cell>
          <cell r="AB48">
            <v>2393.4970491480753</v>
          </cell>
          <cell r="AC48">
            <v>2717.830800000002</v>
          </cell>
          <cell r="AD48">
            <v>2772.3204013356549</v>
          </cell>
          <cell r="AE48">
            <v>2827.9024609117978</v>
          </cell>
          <cell r="AF48">
            <v>2884.5988813479762</v>
          </cell>
          <cell r="AG48">
            <v>2942.4320043878361</v>
          </cell>
          <cell r="AH48">
            <v>3001.4246197030939</v>
          </cell>
          <cell r="AI48">
            <v>3061.5999738740138</v>
          </cell>
          <cell r="AJ48">
            <v>0.12259568399023965</v>
          </cell>
          <cell r="AK48">
            <v>0.12040570286032297</v>
          </cell>
          <cell r="AL48">
            <v>0.11879016174251913</v>
          </cell>
          <cell r="AM48">
            <v>0.11826697714955527</v>
          </cell>
          <cell r="AN48">
            <v>0.1173294286679593</v>
          </cell>
          <cell r="AO48">
            <v>0.11608601824446614</v>
          </cell>
          <cell r="AP48">
            <v>0.11462164695051526</v>
          </cell>
          <cell r="AQ48">
            <v>0.11300144241865694</v>
          </cell>
          <cell r="AR48">
            <v>0.11098889538709074</v>
          </cell>
          <cell r="AS48">
            <v>0</v>
          </cell>
          <cell r="AT48">
            <v>0</v>
          </cell>
        </row>
        <row r="49">
          <cell r="B49" t="str">
            <v>GMMCOSynthetics</v>
          </cell>
          <cell r="C49" t="str">
            <v>GM</v>
          </cell>
          <cell r="D49" t="str">
            <v>MCO</v>
          </cell>
          <cell r="E49" t="str">
            <v>Synthetics</v>
          </cell>
          <cell r="F49">
            <v>3938.9697339995832</v>
          </cell>
          <cell r="G49">
            <v>4110.3437818068951</v>
          </cell>
          <cell r="H49">
            <v>4006.5488943850951</v>
          </cell>
          <cell r="I49">
            <v>5041.1283197384391</v>
          </cell>
          <cell r="J49">
            <v>6185.6047353266858</v>
          </cell>
          <cell r="K49">
            <v>7451.9479391338982</v>
          </cell>
          <cell r="L49">
            <v>8858.3675138434774</v>
          </cell>
          <cell r="M49">
            <v>10426.299542857245</v>
          </cell>
          <cell r="N49">
            <v>11099.195153332337</v>
          </cell>
          <cell r="O49">
            <v>9.171338780435434E-2</v>
          </cell>
          <cell r="P49">
            <v>7.7700108673754473E-2</v>
          </cell>
          <cell r="Q49">
            <v>6.3771275018723594E-2</v>
          </cell>
          <cell r="R49">
            <v>7.7984286668228334E-2</v>
          </cell>
          <cell r="S49">
            <v>9.1397048246971146E-2</v>
          </cell>
          <cell r="T49">
            <v>0.10474763291974416</v>
          </cell>
          <cell r="U49">
            <v>0.1179546702086713</v>
          </cell>
          <cell r="V49">
            <v>0.13093373026246044</v>
          </cell>
          <cell r="W49">
            <v>0.13013813543837682</v>
          </cell>
          <cell r="X49">
            <v>0</v>
          </cell>
          <cell r="Y49">
            <v>0</v>
          </cell>
          <cell r="Z49">
            <v>0</v>
          </cell>
          <cell r="AA49">
            <v>256.2</v>
          </cell>
          <cell r="AB49">
            <v>211.58095238095234</v>
          </cell>
          <cell r="AC49">
            <v>166.96190476190472</v>
          </cell>
          <cell r="AD49">
            <v>274.33408479841546</v>
          </cell>
          <cell r="AE49">
            <v>450.75665727165278</v>
          </cell>
          <cell r="AF49">
            <v>740.6355073377589</v>
          </cell>
          <cell r="AG49">
            <v>1216.9336733697448</v>
          </cell>
          <cell r="AH49">
            <v>1999.5362775738749</v>
          </cell>
          <cell r="AI49">
            <v>3285.4258311900799</v>
          </cell>
          <cell r="AJ49">
            <v>1.0481137421809646E-2</v>
          </cell>
          <cell r="AK49">
            <v>7.7482313099554081E-3</v>
          </cell>
          <cell r="AL49">
            <v>5.1272611089167794E-3</v>
          </cell>
          <cell r="AM49">
            <v>7.9237112281832743E-3</v>
          </cell>
          <cell r="AN49">
            <v>1.2600267010661687E-2</v>
          </cell>
          <cell r="AO49">
            <v>1.9894058145484055E-2</v>
          </cell>
          <cell r="AP49">
            <v>3.1134842046994616E-2</v>
          </cell>
          <cell r="AQ49">
            <v>4.8477871293403696E-2</v>
          </cell>
          <cell r="AR49">
            <v>7.7526901946845153E-2</v>
          </cell>
          <cell r="AS49">
            <v>0</v>
          </cell>
          <cell r="AT49">
            <v>0</v>
          </cell>
        </row>
        <row r="50">
          <cell r="B50" t="str">
            <v>GMMCOPart Synthetics</v>
          </cell>
          <cell r="C50" t="str">
            <v>GM</v>
          </cell>
          <cell r="D50" t="str">
            <v>MCO</v>
          </cell>
          <cell r="E50" t="str">
            <v>Part Synthetics</v>
          </cell>
          <cell r="F50">
            <v>12262.892054659458</v>
          </cell>
          <cell r="G50">
            <v>16161.458552687365</v>
          </cell>
          <cell r="H50">
            <v>20562.718250035869</v>
          </cell>
          <cell r="I50">
            <v>23881.77509392966</v>
          </cell>
          <cell r="J50">
            <v>27436.661432473516</v>
          </cell>
          <cell r="K50">
            <v>31242.445140748488</v>
          </cell>
          <cell r="L50">
            <v>35337.618223862599</v>
          </cell>
          <cell r="M50">
            <v>39766.815816031791</v>
          </cell>
          <cell r="N50">
            <v>41374.662589101543</v>
          </cell>
          <cell r="O50">
            <v>0.2855242488674673</v>
          </cell>
          <cell r="P50">
            <v>0.30550901640596212</v>
          </cell>
          <cell r="Q50">
            <v>0.32729184024018193</v>
          </cell>
          <cell r="R50">
            <v>0.36944173545016962</v>
          </cell>
          <cell r="S50">
            <v>0.40539768963222589</v>
          </cell>
          <cell r="T50">
            <v>0.43915660735261686</v>
          </cell>
          <cell r="U50">
            <v>0.47054235411227896</v>
          </cell>
          <cell r="V50">
            <v>0.49939266698128693</v>
          </cell>
          <cell r="W50">
            <v>0.48511818824278097</v>
          </cell>
          <cell r="X50">
            <v>0</v>
          </cell>
          <cell r="Y50">
            <v>0</v>
          </cell>
          <cell r="Z50">
            <v>0</v>
          </cell>
          <cell r="AA50">
            <v>8344.98</v>
          </cell>
          <cell r="AB50">
            <v>11157.25</v>
          </cell>
          <cell r="AC50">
            <v>13969.519999999999</v>
          </cell>
          <cell r="AD50">
            <v>14755.994523192687</v>
          </cell>
          <cell r="AE50">
            <v>15586.747029854467</v>
          </cell>
          <cell r="AF50">
            <v>16464.270340492902</v>
          </cell>
          <cell r="AG50">
            <v>17391.197619723302</v>
          </cell>
          <cell r="AH50">
            <v>18370.310277547029</v>
          </cell>
          <cell r="AI50">
            <v>19404.546315466407</v>
          </cell>
          <cell r="AJ50">
            <v>0.34139298267858337</v>
          </cell>
          <cell r="AK50">
            <v>0.40858571062364962</v>
          </cell>
          <cell r="AL50">
            <v>0.42899233036647594</v>
          </cell>
          <cell r="AM50">
            <v>0.42620383672830481</v>
          </cell>
          <cell r="AN50">
            <v>0.43570554363536257</v>
          </cell>
          <cell r="AO50">
            <v>0.44224338184121476</v>
          </cell>
          <cell r="AP50">
            <v>0.4449479891527634</v>
          </cell>
          <cell r="AQ50">
            <v>0.44538003498259288</v>
          </cell>
          <cell r="AR50">
            <v>0.45789326462355412</v>
          </cell>
          <cell r="AS50">
            <v>0</v>
          </cell>
          <cell r="AT50">
            <v>0</v>
          </cell>
        </row>
        <row r="51">
          <cell r="B51" t="str">
            <v>GMMCOMineral Multigrades</v>
          </cell>
          <cell r="C51" t="str">
            <v>GM</v>
          </cell>
          <cell r="D51" t="str">
            <v>MCO</v>
          </cell>
          <cell r="E51" t="str">
            <v>Mineral Multigrades</v>
          </cell>
          <cell r="F51">
            <v>26143.485511053812</v>
          </cell>
          <cell r="G51">
            <v>31715.737940131748</v>
          </cell>
          <cell r="H51">
            <v>37002.15281877829</v>
          </cell>
          <cell r="I51">
            <v>34425.125818111279</v>
          </cell>
          <cell r="J51">
            <v>32743.499397307998</v>
          </cell>
          <cell r="K51">
            <v>31135.411266867522</v>
          </cell>
          <cell r="L51">
            <v>29606.798479690471</v>
          </cell>
          <cell r="M51">
            <v>28167.091854786508</v>
          </cell>
          <cell r="N51">
            <v>31654.45377699464</v>
          </cell>
          <cell r="O51">
            <v>0.6087144068502891</v>
          </cell>
          <cell r="P51">
            <v>0.59954018822563027</v>
          </cell>
          <cell r="Q51">
            <v>0.58895436593774542</v>
          </cell>
          <cell r="R51">
            <v>0.53254325423097171</v>
          </cell>
          <cell r="S51">
            <v>0.48381028569430179</v>
          </cell>
          <cell r="T51">
            <v>0.43765209537496541</v>
          </cell>
          <cell r="U51">
            <v>0.39423292668191129</v>
          </cell>
          <cell r="V51">
            <v>0.35372304354320228</v>
          </cell>
          <cell r="W51">
            <v>0.37114867663369033</v>
          </cell>
          <cell r="X51">
            <v>0</v>
          </cell>
          <cell r="Y51">
            <v>0</v>
          </cell>
          <cell r="Z51">
            <v>0</v>
          </cell>
          <cell r="AA51">
            <v>15782.731923803891</v>
          </cell>
          <cell r="AB51">
            <v>15608.169047619047</v>
          </cell>
          <cell r="AC51">
            <v>17827.083947490595</v>
          </cell>
          <cell r="AD51">
            <v>19078.991056584884</v>
          </cell>
          <cell r="AE51">
            <v>19298.146730713506</v>
          </cell>
          <cell r="AF51">
            <v>19649.938032027534</v>
          </cell>
          <cell r="AG51">
            <v>20158.14307720694</v>
          </cell>
          <cell r="AH51">
            <v>20603.448852045178</v>
          </cell>
          <cell r="AI51">
            <v>19454.611628894283</v>
          </cell>
          <cell r="AJ51">
            <v>0.64567128097178272</v>
          </cell>
          <cell r="AK51">
            <v>0.57158124464858995</v>
          </cell>
          <cell r="AL51">
            <v>0.54745490799059571</v>
          </cell>
          <cell r="AM51">
            <v>0.5510668343255869</v>
          </cell>
          <cell r="AN51">
            <v>0.53945249103969262</v>
          </cell>
          <cell r="AO51">
            <v>0.52781294697776449</v>
          </cell>
          <cell r="AP51">
            <v>0.51573936559060451</v>
          </cell>
          <cell r="AQ51">
            <v>0.49952149048357042</v>
          </cell>
          <cell r="AR51">
            <v>0.45907466662271446</v>
          </cell>
          <cell r="AS51">
            <v>0</v>
          </cell>
          <cell r="AT51">
            <v>0</v>
          </cell>
        </row>
        <row r="52">
          <cell r="B52" t="str">
            <v>GMMCOMineral Monogrades</v>
          </cell>
          <cell r="C52" t="str">
            <v>GM</v>
          </cell>
          <cell r="D52" t="str">
            <v>MCO</v>
          </cell>
          <cell r="E52" t="str">
            <v>Mineral Monogrades</v>
          </cell>
          <cell r="F52">
            <v>61.835054705078946</v>
          </cell>
          <cell r="G52">
            <v>116.91457003089188</v>
          </cell>
          <cell r="H52">
            <v>160.11369091361664</v>
          </cell>
          <cell r="I52">
            <v>128.40902105604428</v>
          </cell>
          <cell r="J52">
            <v>96.842377125083431</v>
          </cell>
          <cell r="K52">
            <v>65.068516070386067</v>
          </cell>
          <cell r="L52">
            <v>32.868000610386822</v>
          </cell>
          <cell r="M52">
            <v>0</v>
          </cell>
          <cell r="N52">
            <v>0</v>
          </cell>
          <cell r="O52">
            <v>1.4397425558058301E-3</v>
          </cell>
          <cell r="P52">
            <v>2.2101009743161087E-3</v>
          </cell>
          <cell r="Q52">
            <v>2.5484911046074307E-3</v>
          </cell>
          <cell r="R52">
            <v>1.9864374151342176E-3</v>
          </cell>
          <cell r="S52">
            <v>1.4309203049950724E-3</v>
          </cell>
          <cell r="T52">
            <v>9.1462971717505537E-4</v>
          </cell>
          <cell r="U52">
            <v>4.3765786036285782E-4</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row>
        <row r="53">
          <cell r="B53" t="str">
            <v>GMMCOSpecialities</v>
          </cell>
          <cell r="C53" t="str">
            <v>GM</v>
          </cell>
          <cell r="D53" t="str">
            <v>MCO</v>
          </cell>
          <cell r="E53" t="str">
            <v>Specialities</v>
          </cell>
          <cell r="F53">
            <v>541.50625364338214</v>
          </cell>
          <cell r="G53">
            <v>795.64853956508375</v>
          </cell>
          <cell r="H53">
            <v>1095.3251974429484</v>
          </cell>
          <cell r="I53">
            <v>1166.4344990192178</v>
          </cell>
          <cell r="J53">
            <v>1215.7783291928636</v>
          </cell>
          <cell r="K53">
            <v>1247.0492161583497</v>
          </cell>
          <cell r="L53">
            <v>1264.1085474830081</v>
          </cell>
          <cell r="M53">
            <v>1270.1487072733701</v>
          </cell>
          <cell r="N53">
            <v>1159.4876022059143</v>
          </cell>
          <cell r="O53">
            <v>1.260821392208337E-2</v>
          </cell>
          <cell r="P53">
            <v>1.5040585720337068E-2</v>
          </cell>
          <cell r="Q53">
            <v>1.7434027698741524E-2</v>
          </cell>
          <cell r="R53">
            <v>1.8044286235496119E-2</v>
          </cell>
          <cell r="S53">
            <v>1.7964056121506044E-2</v>
          </cell>
          <cell r="T53">
            <v>1.7529034635498465E-2</v>
          </cell>
          <cell r="U53">
            <v>1.6832391136775701E-2</v>
          </cell>
          <cell r="V53">
            <v>1.5950559213050348E-2</v>
          </cell>
          <cell r="W53">
            <v>1.3594999685151848E-2</v>
          </cell>
          <cell r="X53">
            <v>0</v>
          </cell>
          <cell r="Y53">
            <v>0</v>
          </cell>
          <cell r="Z53">
            <v>0</v>
          </cell>
          <cell r="AA53">
            <v>60</v>
          </cell>
          <cell r="AB53">
            <v>330</v>
          </cell>
          <cell r="AC53">
            <v>600</v>
          </cell>
          <cell r="AD53">
            <v>512.5988907919118</v>
          </cell>
          <cell r="AE53">
            <v>437.92937140183051</v>
          </cell>
          <cell r="AF53">
            <v>374.13685004296246</v>
          </cell>
          <cell r="AG53">
            <v>319.63689056067068</v>
          </cell>
          <cell r="AH53">
            <v>273.07585926262584</v>
          </cell>
          <cell r="AI53">
            <v>233.29730426678361</v>
          </cell>
          <cell r="AJ53">
            <v>2.4545989278242733E-3</v>
          </cell>
          <cell r="AK53">
            <v>1.2084813417804959E-2</v>
          </cell>
          <cell r="AL53">
            <v>1.8425500534011589E-2</v>
          </cell>
          <cell r="AM53">
            <v>1.4805617717925015E-2</v>
          </cell>
          <cell r="AN53">
            <v>1.224169831428314E-2</v>
          </cell>
          <cell r="AO53">
            <v>1.0049613035536788E-2</v>
          </cell>
          <cell r="AP53">
            <v>8.1778032096374454E-3</v>
          </cell>
          <cell r="AQ53">
            <v>6.6206032404331309E-3</v>
          </cell>
          <cell r="AR53">
            <v>5.5051668068862303E-3</v>
          </cell>
          <cell r="AS53">
            <v>0</v>
          </cell>
          <cell r="AT53">
            <v>0</v>
          </cell>
        </row>
        <row r="54">
          <cell r="B54" t="str">
            <v>GM plIndustrialSynthetics</v>
          </cell>
          <cell r="C54" t="str">
            <v>GM pl</v>
          </cell>
          <cell r="D54" t="str">
            <v>Industrial</v>
          </cell>
          <cell r="E54" t="str">
            <v>Synthetics</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row>
        <row r="55">
          <cell r="B55" t="str">
            <v>GM plIndustrialPart Synthetics</v>
          </cell>
          <cell r="C55" t="str">
            <v>GM pl</v>
          </cell>
          <cell r="D55" t="str">
            <v>Industrial</v>
          </cell>
          <cell r="E55" t="str">
            <v>Part Synthetics</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row>
        <row r="56">
          <cell r="B56" t="str">
            <v>GM plIndustrialMineral Multigrades</v>
          </cell>
          <cell r="C56" t="str">
            <v>GM pl</v>
          </cell>
          <cell r="D56" t="str">
            <v>Industrial</v>
          </cell>
          <cell r="E56" t="str">
            <v>Mineral Multigrades</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row>
        <row r="57">
          <cell r="B57" t="str">
            <v>GM plIndustrialMineral Monogrades</v>
          </cell>
          <cell r="C57" t="str">
            <v>GM pl</v>
          </cell>
          <cell r="D57" t="str">
            <v>Industrial</v>
          </cell>
          <cell r="E57" t="str">
            <v>Mineral Monogrades</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row>
        <row r="58">
          <cell r="B58" t="str">
            <v>GM plIndustrialSpecialities</v>
          </cell>
          <cell r="C58" t="str">
            <v>GM pl</v>
          </cell>
          <cell r="D58" t="str">
            <v>Industrial</v>
          </cell>
          <cell r="E58" t="str">
            <v>Specialities</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row>
        <row r="59">
          <cell r="B59" t="str">
            <v>GM plPCOSynthetics</v>
          </cell>
          <cell r="C59" t="str">
            <v>GM pl</v>
          </cell>
          <cell r="D59" t="str">
            <v>PCO</v>
          </cell>
          <cell r="E59" t="str">
            <v>Synthetics</v>
          </cell>
          <cell r="F59">
            <v>1.7775688432266374</v>
          </cell>
          <cell r="G59">
            <v>1.9129872315058063</v>
          </cell>
          <cell r="H59">
            <v>2.0942892023124227</v>
          </cell>
          <cell r="I59">
            <v>2.1037801993289382</v>
          </cell>
          <cell r="J59">
            <v>2.1489052900925767</v>
          </cell>
          <cell r="K59">
            <v>2.1947595371595683</v>
          </cell>
          <cell r="L59">
            <v>2.2400511200985265</v>
          </cell>
          <cell r="M59">
            <v>2.2966061226403367</v>
          </cell>
          <cell r="N59">
            <v>2.3546806737734811</v>
          </cell>
          <cell r="O59">
            <v>0</v>
          </cell>
          <cell r="P59">
            <v>0</v>
          </cell>
          <cell r="Q59">
            <v>0</v>
          </cell>
          <cell r="R59">
            <v>0</v>
          </cell>
          <cell r="S59">
            <v>0</v>
          </cell>
          <cell r="T59">
            <v>0</v>
          </cell>
          <cell r="U59">
            <v>0</v>
          </cell>
          <cell r="V59">
            <v>0</v>
          </cell>
          <cell r="W59">
            <v>0</v>
          </cell>
          <cell r="X59">
            <v>0</v>
          </cell>
          <cell r="Y59">
            <v>0</v>
          </cell>
          <cell r="Z59">
            <v>0</v>
          </cell>
          <cell r="AA59">
            <v>2.2697555967956631</v>
          </cell>
          <cell r="AB59">
            <v>2.319041734866393</v>
          </cell>
          <cell r="AC59">
            <v>2.3267976053860151</v>
          </cell>
          <cell r="AD59">
            <v>2.3589460588907003</v>
          </cell>
          <cell r="AE59">
            <v>2.4124321366713533</v>
          </cell>
          <cell r="AF59">
            <v>2.4639905827737905</v>
          </cell>
          <cell r="AG59">
            <v>2.5130836731776278</v>
          </cell>
          <cell r="AH59">
            <v>2.5599175363921858</v>
          </cell>
          <cell r="AI59">
            <v>2.6031133993848981</v>
          </cell>
          <cell r="AJ59">
            <v>0</v>
          </cell>
          <cell r="AK59">
            <v>0</v>
          </cell>
          <cell r="AL59">
            <v>0</v>
          </cell>
          <cell r="AM59">
            <v>0</v>
          </cell>
          <cell r="AN59">
            <v>0</v>
          </cell>
          <cell r="AO59">
            <v>0</v>
          </cell>
          <cell r="AP59">
            <v>0</v>
          </cell>
          <cell r="AQ59">
            <v>0</v>
          </cell>
          <cell r="AR59">
            <v>0</v>
          </cell>
          <cell r="AS59">
            <v>0</v>
          </cell>
          <cell r="AT59">
            <v>0</v>
          </cell>
        </row>
        <row r="60">
          <cell r="B60" t="str">
            <v>GM plPCOPart Synthetics</v>
          </cell>
          <cell r="C60" t="str">
            <v>GM pl</v>
          </cell>
          <cell r="D60" t="str">
            <v>PCO</v>
          </cell>
          <cell r="E60" t="str">
            <v>Part Synthetics</v>
          </cell>
          <cell r="F60">
            <v>1.328244212607145</v>
          </cell>
          <cell r="G60">
            <v>1.5966728984433072</v>
          </cell>
          <cell r="H60">
            <v>2.0093098661307573</v>
          </cell>
          <cell r="I60">
            <v>2.0476522671095534</v>
          </cell>
          <cell r="J60">
            <v>2.0709135721894816</v>
          </cell>
          <cell r="K60">
            <v>2.0992470311034355</v>
          </cell>
          <cell r="L60">
            <v>2.1261013888131677</v>
          </cell>
          <cell r="M60">
            <v>2.1489712161157377</v>
          </cell>
          <cell r="N60">
            <v>2.1819586146482806</v>
          </cell>
          <cell r="O60">
            <v>0</v>
          </cell>
          <cell r="P60">
            <v>0</v>
          </cell>
          <cell r="Q60">
            <v>0</v>
          </cell>
          <cell r="R60">
            <v>0</v>
          </cell>
          <cell r="S60">
            <v>0</v>
          </cell>
          <cell r="T60">
            <v>0</v>
          </cell>
          <cell r="U60">
            <v>0</v>
          </cell>
          <cell r="V60">
            <v>0</v>
          </cell>
          <cell r="W60">
            <v>0</v>
          </cell>
          <cell r="X60">
            <v>0</v>
          </cell>
          <cell r="Y60">
            <v>0</v>
          </cell>
          <cell r="Z60">
            <v>0</v>
          </cell>
          <cell r="AA60">
            <v>1.7023166975967474</v>
          </cell>
          <cell r="AB60">
            <v>1.9415233129113989</v>
          </cell>
          <cell r="AC60">
            <v>2.2762150487471891</v>
          </cell>
          <cell r="AD60">
            <v>2.3076646228278594</v>
          </cell>
          <cell r="AE60">
            <v>2.359987959787194</v>
          </cell>
          <cell r="AF60">
            <v>2.410425570104795</v>
          </cell>
          <cell r="AG60">
            <v>2.4584514194128966</v>
          </cell>
          <cell r="AH60">
            <v>2.5042671551662692</v>
          </cell>
          <cell r="AI60">
            <v>2.5465239776591404</v>
          </cell>
          <cell r="AJ60">
            <v>0</v>
          </cell>
          <cell r="AK60">
            <v>0</v>
          </cell>
          <cell r="AL60">
            <v>0</v>
          </cell>
          <cell r="AM60">
            <v>0</v>
          </cell>
          <cell r="AN60">
            <v>0</v>
          </cell>
          <cell r="AO60">
            <v>0</v>
          </cell>
          <cell r="AP60">
            <v>0</v>
          </cell>
          <cell r="AQ60">
            <v>0</v>
          </cell>
          <cell r="AR60">
            <v>0</v>
          </cell>
          <cell r="AS60">
            <v>0</v>
          </cell>
          <cell r="AT60">
            <v>0</v>
          </cell>
        </row>
        <row r="61">
          <cell r="B61" t="str">
            <v>GM plPCOMineral Multigrades</v>
          </cell>
          <cell r="C61" t="str">
            <v>GM pl</v>
          </cell>
          <cell r="D61" t="str">
            <v>PCO</v>
          </cell>
          <cell r="E61" t="str">
            <v>Mineral Multigrades</v>
          </cell>
          <cell r="F61">
            <v>0.80409360317801215</v>
          </cell>
          <cell r="G61">
            <v>0.92451449044050604</v>
          </cell>
          <cell r="H61">
            <v>1.0281993445049995</v>
          </cell>
          <cell r="I61">
            <v>1.0387734271674987</v>
          </cell>
          <cell r="J61">
            <v>1.043518013237194</v>
          </cell>
          <cell r="K61">
            <v>1.046364750026473</v>
          </cell>
          <cell r="L61">
            <v>1.0454714473177575</v>
          </cell>
          <cell r="M61">
            <v>1.041698946487617</v>
          </cell>
          <cell r="N61">
            <v>1.038083587770563</v>
          </cell>
          <cell r="O61">
            <v>0</v>
          </cell>
          <cell r="P61">
            <v>0</v>
          </cell>
          <cell r="Q61">
            <v>0</v>
          </cell>
          <cell r="R61">
            <v>0</v>
          </cell>
          <cell r="S61">
            <v>0</v>
          </cell>
          <cell r="T61">
            <v>0</v>
          </cell>
          <cell r="U61">
            <v>0</v>
          </cell>
          <cell r="V61">
            <v>0</v>
          </cell>
          <cell r="W61">
            <v>0</v>
          </cell>
          <cell r="X61">
            <v>0</v>
          </cell>
          <cell r="Y61">
            <v>0</v>
          </cell>
          <cell r="Z61">
            <v>0</v>
          </cell>
          <cell r="AA61">
            <v>1.0440875745260052</v>
          </cell>
          <cell r="AB61">
            <v>1.1325552658649827</v>
          </cell>
          <cell r="AC61">
            <v>1.1836318253485381</v>
          </cell>
          <cell r="AD61">
            <v>1.1999856038704866</v>
          </cell>
          <cell r="AE61">
            <v>1.2271937390893406</v>
          </cell>
          <cell r="AF61">
            <v>1.2534212964544935</v>
          </cell>
          <cell r="AG61">
            <v>1.2783947380947063</v>
          </cell>
          <cell r="AH61">
            <v>1.3022189206864598</v>
          </cell>
          <cell r="AI61">
            <v>1.3241924683827526</v>
          </cell>
          <cell r="AJ61">
            <v>0</v>
          </cell>
          <cell r="AK61">
            <v>0</v>
          </cell>
          <cell r="AL61">
            <v>0</v>
          </cell>
          <cell r="AM61">
            <v>0</v>
          </cell>
          <cell r="AN61">
            <v>0</v>
          </cell>
          <cell r="AO61">
            <v>0</v>
          </cell>
          <cell r="AP61">
            <v>0</v>
          </cell>
          <cell r="AQ61">
            <v>0</v>
          </cell>
          <cell r="AR61">
            <v>0</v>
          </cell>
          <cell r="AS61">
            <v>0</v>
          </cell>
          <cell r="AT61">
            <v>0</v>
          </cell>
        </row>
        <row r="62">
          <cell r="B62" t="str">
            <v>GM plPCOMineral Monogrades</v>
          </cell>
          <cell r="C62" t="str">
            <v>GM pl</v>
          </cell>
          <cell r="D62" t="str">
            <v>PCO</v>
          </cell>
          <cell r="E62" t="str">
            <v>Mineral Monogrades</v>
          </cell>
          <cell r="F62">
            <v>0.12</v>
          </cell>
          <cell r="G62">
            <v>0.12</v>
          </cell>
          <cell r="H62">
            <v>0.12</v>
          </cell>
          <cell r="I62">
            <v>0.12</v>
          </cell>
          <cell r="J62">
            <v>0.12</v>
          </cell>
          <cell r="K62">
            <v>0.12</v>
          </cell>
          <cell r="L62">
            <v>0.12</v>
          </cell>
          <cell r="M62">
            <v>0.12</v>
          </cell>
          <cell r="N62">
            <v>0.12</v>
          </cell>
          <cell r="O62">
            <v>0</v>
          </cell>
          <cell r="P62">
            <v>0</v>
          </cell>
          <cell r="Q62">
            <v>0</v>
          </cell>
          <cell r="R62">
            <v>0</v>
          </cell>
          <cell r="S62">
            <v>0</v>
          </cell>
          <cell r="T62">
            <v>0</v>
          </cell>
          <cell r="U62">
            <v>0</v>
          </cell>
          <cell r="V62">
            <v>0</v>
          </cell>
          <cell r="W62">
            <v>0</v>
          </cell>
          <cell r="X62">
            <v>0</v>
          </cell>
          <cell r="Y62">
            <v>0</v>
          </cell>
          <cell r="Z62">
            <v>0</v>
          </cell>
          <cell r="AA62">
            <v>0.68092667903869897</v>
          </cell>
          <cell r="AB62">
            <v>0.647174437637133</v>
          </cell>
          <cell r="AC62">
            <v>0.60699067966591713</v>
          </cell>
          <cell r="AD62">
            <v>0.8043044901959111</v>
          </cell>
          <cell r="AE62">
            <v>0.80641280726923603</v>
          </cell>
          <cell r="AF62">
            <v>0.80749749401473003</v>
          </cell>
          <cell r="AG62">
            <v>0.80743750168636319</v>
          </cell>
          <cell r="AH62">
            <v>0.8063577632315625</v>
          </cell>
          <cell r="AI62">
            <v>0.80388645656064117</v>
          </cell>
          <cell r="AJ62">
            <v>0</v>
          </cell>
          <cell r="AK62">
            <v>0</v>
          </cell>
          <cell r="AL62">
            <v>0</v>
          </cell>
          <cell r="AM62">
            <v>0</v>
          </cell>
          <cell r="AN62">
            <v>0</v>
          </cell>
          <cell r="AO62">
            <v>0</v>
          </cell>
          <cell r="AP62">
            <v>0</v>
          </cell>
          <cell r="AQ62">
            <v>0</v>
          </cell>
          <cell r="AR62">
            <v>0</v>
          </cell>
          <cell r="AS62">
            <v>0</v>
          </cell>
          <cell r="AT62">
            <v>0</v>
          </cell>
        </row>
        <row r="63">
          <cell r="B63" t="str">
            <v>GM plPCOSpecialities</v>
          </cell>
          <cell r="C63" t="str">
            <v>GM pl</v>
          </cell>
          <cell r="D63" t="str">
            <v>PCO</v>
          </cell>
          <cell r="E63" t="str">
            <v>Specialities</v>
          </cell>
          <cell r="F63">
            <v>0.61199318371893907</v>
          </cell>
          <cell r="G63">
            <v>0.70008001591836577</v>
          </cell>
          <cell r="H63">
            <v>0.7705724007199195</v>
          </cell>
          <cell r="I63">
            <v>0.774345586955273</v>
          </cell>
          <cell r="J63">
            <v>0.79896134241327599</v>
          </cell>
          <cell r="K63">
            <v>0.8240367759276136</v>
          </cell>
          <cell r="L63">
            <v>0.84924309512642449</v>
          </cell>
          <cell r="M63">
            <v>0.86649962203928976</v>
          </cell>
          <cell r="N63">
            <v>0.88388457293622236</v>
          </cell>
          <cell r="O63">
            <v>0</v>
          </cell>
          <cell r="P63">
            <v>0</v>
          </cell>
          <cell r="Q63">
            <v>0</v>
          </cell>
          <cell r="R63">
            <v>0</v>
          </cell>
          <cell r="S63">
            <v>0</v>
          </cell>
          <cell r="T63">
            <v>0</v>
          </cell>
          <cell r="U63">
            <v>0</v>
          </cell>
          <cell r="V63">
            <v>0</v>
          </cell>
          <cell r="W63">
            <v>0</v>
          </cell>
          <cell r="X63">
            <v>0</v>
          </cell>
          <cell r="Y63">
            <v>0</v>
          </cell>
          <cell r="Z63">
            <v>0</v>
          </cell>
          <cell r="AA63">
            <v>0.79441445887848217</v>
          </cell>
          <cell r="AB63">
            <v>0.86289925018284397</v>
          </cell>
          <cell r="AC63">
            <v>0.89025299684334502</v>
          </cell>
          <cell r="AD63">
            <v>1.1796465856206697</v>
          </cell>
          <cell r="AE63">
            <v>1.2182209475147259</v>
          </cell>
          <cell r="AF63">
            <v>1.2564553340536664</v>
          </cell>
          <cell r="AG63">
            <v>1.2940528463943444</v>
          </cell>
          <cell r="AH63">
            <v>1.3181688337159325</v>
          </cell>
          <cell r="AI63">
            <v>1.3404115190887997</v>
          </cell>
          <cell r="AJ63">
            <v>0</v>
          </cell>
          <cell r="AK63">
            <v>0</v>
          </cell>
          <cell r="AL63">
            <v>0</v>
          </cell>
          <cell r="AM63">
            <v>0</v>
          </cell>
          <cell r="AN63">
            <v>0</v>
          </cell>
          <cell r="AO63">
            <v>0</v>
          </cell>
          <cell r="AP63">
            <v>0</v>
          </cell>
          <cell r="AQ63">
            <v>0</v>
          </cell>
          <cell r="AR63">
            <v>0</v>
          </cell>
          <cell r="AS63">
            <v>0</v>
          </cell>
          <cell r="AT63">
            <v>0</v>
          </cell>
        </row>
        <row r="64">
          <cell r="B64" t="str">
            <v>GM plOEMSynthetics</v>
          </cell>
          <cell r="C64" t="str">
            <v>GM pl</v>
          </cell>
          <cell r="D64" t="str">
            <v>OEM</v>
          </cell>
          <cell r="E64" t="str">
            <v>Synthetics</v>
          </cell>
          <cell r="F64">
            <v>2.3475300741247578</v>
          </cell>
          <cell r="G64">
            <v>2.6200256391042984</v>
          </cell>
          <cell r="H64">
            <v>2.3800016394663683</v>
          </cell>
          <cell r="I64">
            <v>2.5494145707105962</v>
          </cell>
          <cell r="J64">
            <v>1.774834163934917</v>
          </cell>
          <cell r="K64">
            <v>1.8091118882124957</v>
          </cell>
          <cell r="L64">
            <v>1.7761405175624696</v>
          </cell>
          <cell r="M64">
            <v>1.6970270939882692</v>
          </cell>
          <cell r="N64">
            <v>1.6771961249769101</v>
          </cell>
          <cell r="O64">
            <v>0</v>
          </cell>
          <cell r="P64">
            <v>0</v>
          </cell>
          <cell r="Q64">
            <v>0</v>
          </cell>
          <cell r="R64">
            <v>0</v>
          </cell>
          <cell r="S64">
            <v>0</v>
          </cell>
          <cell r="T64">
            <v>0</v>
          </cell>
          <cell r="U64">
            <v>0</v>
          </cell>
          <cell r="V64">
            <v>0</v>
          </cell>
          <cell r="W64">
            <v>0</v>
          </cell>
          <cell r="X64">
            <v>0</v>
          </cell>
          <cell r="Y64">
            <v>0</v>
          </cell>
          <cell r="AA64">
            <v>1.1435185185185186</v>
          </cell>
          <cell r="AB64">
            <v>1.7422208069644458</v>
          </cell>
          <cell r="AC64">
            <v>2.215903860215684</v>
          </cell>
          <cell r="AD64">
            <v>1.8658722234630085</v>
          </cell>
          <cell r="AE64">
            <v>1.2817419117765829</v>
          </cell>
          <cell r="AF64">
            <v>1.2810352513106811</v>
          </cell>
          <cell r="AG64">
            <v>1.1778326112250423</v>
          </cell>
          <cell r="AH64">
            <v>1.1768385621753981</v>
          </cell>
          <cell r="AI64">
            <v>1.1701577366179978</v>
          </cell>
          <cell r="AJ64">
            <v>0</v>
          </cell>
          <cell r="AK64">
            <v>0</v>
          </cell>
          <cell r="AL64">
            <v>0</v>
          </cell>
          <cell r="AM64">
            <v>0</v>
          </cell>
          <cell r="AN64">
            <v>0</v>
          </cell>
          <cell r="AO64">
            <v>0</v>
          </cell>
          <cell r="AP64">
            <v>0</v>
          </cell>
          <cell r="AQ64">
            <v>0</v>
          </cell>
          <cell r="AR64">
            <v>0</v>
          </cell>
          <cell r="AS64">
            <v>0</v>
          </cell>
          <cell r="AT64">
            <v>0</v>
          </cell>
        </row>
        <row r="65">
          <cell r="B65" t="str">
            <v>GM plOEMPart Synthetics</v>
          </cell>
          <cell r="C65" t="str">
            <v>GM pl</v>
          </cell>
          <cell r="D65" t="str">
            <v>OEM</v>
          </cell>
          <cell r="E65" t="str">
            <v>Part Synthetics</v>
          </cell>
          <cell r="F65">
            <v>1.0988438644839291</v>
          </cell>
          <cell r="G65">
            <v>1.2466251024770452</v>
          </cell>
          <cell r="H65">
            <v>1.1424007869438573</v>
          </cell>
          <cell r="I65">
            <v>1.223718993941086</v>
          </cell>
          <cell r="J65">
            <v>0.85192039868876035</v>
          </cell>
          <cell r="K65">
            <v>0.86837370634199795</v>
          </cell>
          <cell r="L65">
            <v>0.8525474484299852</v>
          </cell>
          <cell r="M65">
            <v>0.8665670267174137</v>
          </cell>
          <cell r="N65">
            <v>0.8564405744562944</v>
          </cell>
          <cell r="O65">
            <v>0</v>
          </cell>
          <cell r="P65">
            <v>0</v>
          </cell>
          <cell r="Q65">
            <v>0</v>
          </cell>
          <cell r="R65">
            <v>0</v>
          </cell>
          <cell r="S65">
            <v>0</v>
          </cell>
          <cell r="T65">
            <v>0</v>
          </cell>
          <cell r="U65">
            <v>0</v>
          </cell>
          <cell r="V65">
            <v>0</v>
          </cell>
          <cell r="W65">
            <v>0</v>
          </cell>
          <cell r="X65">
            <v>0</v>
          </cell>
          <cell r="Y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row>
        <row r="66">
          <cell r="B66" t="str">
            <v>GM plOEMMineral Multigrades</v>
          </cell>
          <cell r="C66" t="str">
            <v>GM pl</v>
          </cell>
          <cell r="D66" t="str">
            <v>OEM</v>
          </cell>
          <cell r="E66" t="str">
            <v>Mineral Multigrades</v>
          </cell>
          <cell r="F66">
            <v>0.4535228313415488</v>
          </cell>
          <cell r="G66">
            <v>0.51132758440583892</v>
          </cell>
          <cell r="H66">
            <v>0.47980833051641986</v>
          </cell>
          <cell r="I66">
            <v>0.50481630046339521</v>
          </cell>
          <cell r="J66">
            <v>0.36206616944272313</v>
          </cell>
          <cell r="K66">
            <v>0.35822701455621814</v>
          </cell>
          <cell r="L66">
            <v>0.3516982665275622</v>
          </cell>
          <cell r="M66">
            <v>0.35748171164867082</v>
          </cell>
          <cell r="N66">
            <v>0.35330428350333021</v>
          </cell>
          <cell r="O66">
            <v>0</v>
          </cell>
          <cell r="P66">
            <v>0</v>
          </cell>
          <cell r="Q66">
            <v>0</v>
          </cell>
          <cell r="R66">
            <v>0</v>
          </cell>
          <cell r="S66">
            <v>0</v>
          </cell>
          <cell r="T66">
            <v>0</v>
          </cell>
          <cell r="U66">
            <v>0</v>
          </cell>
          <cell r="V66">
            <v>0</v>
          </cell>
          <cell r="W66">
            <v>0</v>
          </cell>
          <cell r="X66">
            <v>0</v>
          </cell>
          <cell r="Y66">
            <v>0</v>
          </cell>
          <cell r="AA66">
            <v>0.52601851851851855</v>
          </cell>
          <cell r="AB66">
            <v>0.85085202200589227</v>
          </cell>
          <cell r="AC66">
            <v>1.1784579620237954</v>
          </cell>
          <cell r="AD66">
            <v>1.5068445895048606</v>
          </cell>
          <cell r="AE66">
            <v>1.0330254511399519</v>
          </cell>
          <cell r="AF66">
            <v>1.0327406724822739</v>
          </cell>
          <cell r="AG66">
            <v>0.94763342333484346</v>
          </cell>
          <cell r="AH66">
            <v>0.94491371583038197</v>
          </cell>
          <cell r="AI66">
            <v>0.946721217364075</v>
          </cell>
          <cell r="AJ66">
            <v>0</v>
          </cell>
          <cell r="AK66">
            <v>0</v>
          </cell>
          <cell r="AL66">
            <v>0</v>
          </cell>
          <cell r="AM66">
            <v>0</v>
          </cell>
          <cell r="AN66">
            <v>0</v>
          </cell>
          <cell r="AO66">
            <v>0</v>
          </cell>
          <cell r="AP66">
            <v>0</v>
          </cell>
          <cell r="AQ66">
            <v>0</v>
          </cell>
          <cell r="AR66">
            <v>0</v>
          </cell>
          <cell r="AS66">
            <v>0</v>
          </cell>
          <cell r="AT66">
            <v>0</v>
          </cell>
        </row>
        <row r="67">
          <cell r="B67" t="str">
            <v>GM plOEMMineral Monogrades</v>
          </cell>
          <cell r="C67" t="str">
            <v>GM pl</v>
          </cell>
          <cell r="D67" t="str">
            <v>OEM</v>
          </cell>
          <cell r="E67" t="str">
            <v>Mineral Monogrades</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row>
        <row r="68">
          <cell r="B68" t="str">
            <v>GM plOEMSpecialities</v>
          </cell>
          <cell r="C68" t="str">
            <v>GM pl</v>
          </cell>
          <cell r="D68" t="str">
            <v>OEM</v>
          </cell>
          <cell r="E68" t="str">
            <v>Specialities</v>
          </cell>
          <cell r="F68">
            <v>0.44952703547069822</v>
          </cell>
          <cell r="G68">
            <v>0.50710173660083191</v>
          </cell>
          <cell r="H68">
            <v>0.47600032789327373</v>
          </cell>
          <cell r="I68">
            <v>0.50988291414211917</v>
          </cell>
          <cell r="J68">
            <v>0.36206616944272313</v>
          </cell>
          <cell r="K68">
            <v>0.36905882519534905</v>
          </cell>
          <cell r="L68">
            <v>0.3623326655827438</v>
          </cell>
          <cell r="M68">
            <v>0.36829098635490093</v>
          </cell>
          <cell r="N68">
            <v>0.37112424893106094</v>
          </cell>
          <cell r="O68">
            <v>0</v>
          </cell>
          <cell r="P68">
            <v>0</v>
          </cell>
          <cell r="Q68">
            <v>0</v>
          </cell>
          <cell r="R68">
            <v>0</v>
          </cell>
          <cell r="S68">
            <v>0</v>
          </cell>
          <cell r="T68">
            <v>0</v>
          </cell>
          <cell r="U68">
            <v>0</v>
          </cell>
          <cell r="V68">
            <v>0</v>
          </cell>
          <cell r="W68">
            <v>0</v>
          </cell>
          <cell r="X68">
            <v>0</v>
          </cell>
          <cell r="Y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row>
        <row r="69">
          <cell r="B69" t="str">
            <v>GM plCVOSynthetics</v>
          </cell>
          <cell r="C69" t="str">
            <v>GM pl</v>
          </cell>
          <cell r="D69" t="str">
            <v>CVO</v>
          </cell>
          <cell r="E69" t="str">
            <v>Synthetics</v>
          </cell>
          <cell r="F69">
            <v>3.1676772500934582</v>
          </cell>
          <cell r="G69">
            <v>3.1676772500934587</v>
          </cell>
          <cell r="H69">
            <v>3.1676772500934582</v>
          </cell>
          <cell r="I69">
            <v>3.0470663988281954</v>
          </cell>
          <cell r="J69">
            <v>2.9264555475629326</v>
          </cell>
          <cell r="K69">
            <v>2.8058446962976697</v>
          </cell>
          <cell r="L69">
            <v>2.6852338450324069</v>
          </cell>
          <cell r="M69">
            <v>2.5646229937671441</v>
          </cell>
          <cell r="N69">
            <v>2.4440121425018821</v>
          </cell>
          <cell r="O69">
            <v>0</v>
          </cell>
          <cell r="P69">
            <v>0</v>
          </cell>
          <cell r="Q69">
            <v>0</v>
          </cell>
          <cell r="R69">
            <v>0</v>
          </cell>
          <cell r="S69">
            <v>0</v>
          </cell>
          <cell r="T69">
            <v>0</v>
          </cell>
          <cell r="U69">
            <v>0</v>
          </cell>
          <cell r="V69">
            <v>0</v>
          </cell>
          <cell r="W69">
            <v>0</v>
          </cell>
          <cell r="X69">
            <v>0</v>
          </cell>
          <cell r="Y69">
            <v>0</v>
          </cell>
          <cell r="AA69">
            <v>0</v>
          </cell>
          <cell r="AB69">
            <v>0</v>
          </cell>
          <cell r="AC69">
            <v>0</v>
          </cell>
          <cell r="AD69">
            <v>0</v>
          </cell>
          <cell r="AE69">
            <v>0</v>
          </cell>
          <cell r="AF69">
            <v>0</v>
          </cell>
          <cell r="AG69">
            <v>0</v>
          </cell>
          <cell r="AH69">
            <v>0</v>
          </cell>
          <cell r="AI69">
            <v>2.1230403012020003</v>
          </cell>
          <cell r="AJ69">
            <v>0</v>
          </cell>
          <cell r="AK69">
            <v>0</v>
          </cell>
          <cell r="AL69">
            <v>0</v>
          </cell>
          <cell r="AM69">
            <v>0</v>
          </cell>
          <cell r="AN69">
            <v>0</v>
          </cell>
          <cell r="AO69">
            <v>0</v>
          </cell>
          <cell r="AP69">
            <v>0</v>
          </cell>
          <cell r="AQ69">
            <v>0</v>
          </cell>
          <cell r="AR69">
            <v>0</v>
          </cell>
          <cell r="AS69">
            <v>0</v>
          </cell>
          <cell r="AT69">
            <v>0</v>
          </cell>
        </row>
        <row r="70">
          <cell r="B70" t="str">
            <v>GM plCVOPart Synthetics</v>
          </cell>
          <cell r="C70" t="str">
            <v>GM pl</v>
          </cell>
          <cell r="D70" t="str">
            <v>CVO</v>
          </cell>
          <cell r="E70" t="str">
            <v>Part Synthetics</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row>
        <row r="71">
          <cell r="B71" t="str">
            <v>GM plCVOMineral Multigrades</v>
          </cell>
          <cell r="C71" t="str">
            <v>GM pl</v>
          </cell>
          <cell r="D71" t="str">
            <v>CVO</v>
          </cell>
          <cell r="E71" t="str">
            <v>Mineral Multigrades</v>
          </cell>
          <cell r="F71">
            <v>0.47097464442713827</v>
          </cell>
          <cell r="G71">
            <v>0.58194530998566785</v>
          </cell>
          <cell r="H71">
            <v>0.69515491859849721</v>
          </cell>
          <cell r="I71">
            <v>0.69729558804612057</v>
          </cell>
          <cell r="J71">
            <v>0.69548939493461825</v>
          </cell>
          <cell r="K71">
            <v>0.69143828367909577</v>
          </cell>
          <cell r="L71">
            <v>0.68627604964438449</v>
          </cell>
          <cell r="M71">
            <v>0.68076636808860158</v>
          </cell>
          <cell r="N71">
            <v>0.71971646205410567</v>
          </cell>
          <cell r="O71">
            <v>0</v>
          </cell>
          <cell r="P71">
            <v>0</v>
          </cell>
          <cell r="Q71">
            <v>0</v>
          </cell>
          <cell r="R71">
            <v>0</v>
          </cell>
          <cell r="S71">
            <v>0</v>
          </cell>
          <cell r="T71">
            <v>0</v>
          </cell>
          <cell r="U71">
            <v>0</v>
          </cell>
          <cell r="V71">
            <v>0</v>
          </cell>
          <cell r="W71">
            <v>0</v>
          </cell>
          <cell r="X71">
            <v>0</v>
          </cell>
          <cell r="Y71">
            <v>0</v>
          </cell>
          <cell r="AA71">
            <v>0.6710288743194216</v>
          </cell>
          <cell r="AB71">
            <v>0.93860242775737524</v>
          </cell>
          <cell r="AC71">
            <v>1.0021500000000001</v>
          </cell>
          <cell r="AD71">
            <v>0.95080537231489848</v>
          </cell>
          <cell r="AE71">
            <v>0.9704752977391895</v>
          </cell>
          <cell r="AF71">
            <v>0.99229323728660179</v>
          </cell>
          <cell r="AG71">
            <v>1.0153790333782577</v>
          </cell>
          <cell r="AH71">
            <v>1.0390072283483613</v>
          </cell>
          <cell r="AI71">
            <v>1.0615201506010001</v>
          </cell>
          <cell r="AJ71">
            <v>0</v>
          </cell>
          <cell r="AK71">
            <v>0</v>
          </cell>
          <cell r="AL71">
            <v>0</v>
          </cell>
          <cell r="AM71">
            <v>0</v>
          </cell>
          <cell r="AN71">
            <v>0</v>
          </cell>
          <cell r="AO71">
            <v>0</v>
          </cell>
          <cell r="AP71">
            <v>0</v>
          </cell>
          <cell r="AQ71">
            <v>0</v>
          </cell>
          <cell r="AR71">
            <v>0</v>
          </cell>
          <cell r="AS71">
            <v>0</v>
          </cell>
          <cell r="AT71">
            <v>0</v>
          </cell>
        </row>
        <row r="72">
          <cell r="B72" t="str">
            <v>GM plCVOMineral Monogrades</v>
          </cell>
          <cell r="C72" t="str">
            <v>GM pl</v>
          </cell>
          <cell r="D72" t="str">
            <v>CVO</v>
          </cell>
          <cell r="E72" t="str">
            <v>Mineral Monogrades</v>
          </cell>
          <cell r="F72">
            <v>0.20172176465388489</v>
          </cell>
          <cell r="G72">
            <v>0.23632780965261255</v>
          </cell>
          <cell r="H72">
            <v>0.27686626290486677</v>
          </cell>
          <cell r="I72">
            <v>0.26204554762010079</v>
          </cell>
          <cell r="J72">
            <v>0.24722483233533479</v>
          </cell>
          <cell r="K72">
            <v>0.23240411705056879</v>
          </cell>
          <cell r="L72">
            <v>0.21758340176580279</v>
          </cell>
          <cell r="M72">
            <v>0.20276268648103679</v>
          </cell>
          <cell r="N72">
            <v>0.18794197119627076</v>
          </cell>
          <cell r="O72">
            <v>0</v>
          </cell>
          <cell r="P72">
            <v>0</v>
          </cell>
          <cell r="Q72">
            <v>0</v>
          </cell>
          <cell r="R72">
            <v>0</v>
          </cell>
          <cell r="S72">
            <v>0</v>
          </cell>
          <cell r="T72">
            <v>0</v>
          </cell>
          <cell r="U72">
            <v>0</v>
          </cell>
          <cell r="V72">
            <v>0</v>
          </cell>
          <cell r="W72">
            <v>0</v>
          </cell>
          <cell r="X72">
            <v>0</v>
          </cell>
          <cell r="Y72">
            <v>0</v>
          </cell>
          <cell r="AA72">
            <v>0.5492648</v>
          </cell>
          <cell r="AB72">
            <v>0.63048314202641542</v>
          </cell>
          <cell r="AC72">
            <v>0.76163400000000003</v>
          </cell>
          <cell r="AD72">
            <v>0.76897503713418514</v>
          </cell>
          <cell r="AE72">
            <v>0.77638683112298201</v>
          </cell>
          <cell r="AF72">
            <v>0.78387006395891912</v>
          </cell>
          <cell r="AG72">
            <v>0.79142542420793427</v>
          </cell>
          <cell r="AH72">
            <v>0.79905360707273376</v>
          </cell>
          <cell r="AI72">
            <v>0.80675531445676008</v>
          </cell>
          <cell r="AJ72">
            <v>0</v>
          </cell>
          <cell r="AK72">
            <v>0</v>
          </cell>
          <cell r="AL72">
            <v>0</v>
          </cell>
          <cell r="AM72">
            <v>0</v>
          </cell>
          <cell r="AN72">
            <v>0</v>
          </cell>
          <cell r="AO72">
            <v>0</v>
          </cell>
          <cell r="AP72">
            <v>0</v>
          </cell>
          <cell r="AQ72">
            <v>0</v>
          </cell>
          <cell r="AR72">
            <v>0</v>
          </cell>
          <cell r="AS72">
            <v>0</v>
          </cell>
          <cell r="AT72">
            <v>0</v>
          </cell>
        </row>
        <row r="73">
          <cell r="B73" t="str">
            <v>GM plCVOSpecialities</v>
          </cell>
          <cell r="C73" t="str">
            <v>GM pl</v>
          </cell>
          <cell r="D73" t="str">
            <v>CVO</v>
          </cell>
          <cell r="E73" t="str">
            <v>Specialities</v>
          </cell>
          <cell r="F73">
            <v>0.34051780326230896</v>
          </cell>
          <cell r="G73">
            <v>0.44463192766081144</v>
          </cell>
          <cell r="H73">
            <v>0.56034549138566647</v>
          </cell>
          <cell r="I73">
            <v>0.56004632750893457</v>
          </cell>
          <cell r="J73">
            <v>0.55974716363220267</v>
          </cell>
          <cell r="K73">
            <v>0.55944799975547077</v>
          </cell>
          <cell r="L73">
            <v>0.55914883587873887</v>
          </cell>
          <cell r="M73">
            <v>0.55884967200200697</v>
          </cell>
          <cell r="N73">
            <v>0.55855050812527518</v>
          </cell>
          <cell r="O73">
            <v>0</v>
          </cell>
          <cell r="P73">
            <v>0</v>
          </cell>
          <cell r="Q73">
            <v>0</v>
          </cell>
          <cell r="R73">
            <v>0</v>
          </cell>
          <cell r="S73">
            <v>0</v>
          </cell>
          <cell r="T73">
            <v>0</v>
          </cell>
          <cell r="U73">
            <v>0</v>
          </cell>
          <cell r="V73">
            <v>0</v>
          </cell>
          <cell r="W73">
            <v>0</v>
          </cell>
          <cell r="X73">
            <v>0</v>
          </cell>
          <cell r="Y73">
            <v>0</v>
          </cell>
          <cell r="AA73">
            <v>0.686581</v>
          </cell>
          <cell r="AB73">
            <v>0.9077071896584874</v>
          </cell>
          <cell r="AC73">
            <v>1.20258</v>
          </cell>
          <cell r="AD73">
            <v>1.2141711112645028</v>
          </cell>
          <cell r="AE73">
            <v>1.2258739438783928</v>
          </cell>
          <cell r="AF73">
            <v>1.2376895746719778</v>
          </cell>
          <cell r="AG73">
            <v>1.2496190908546336</v>
          </cell>
          <cell r="AH73">
            <v>1.2616635901148434</v>
          </cell>
          <cell r="AI73">
            <v>1.2738241807212001</v>
          </cell>
          <cell r="AJ73">
            <v>0</v>
          </cell>
          <cell r="AK73">
            <v>0</v>
          </cell>
          <cell r="AL73">
            <v>0</v>
          </cell>
          <cell r="AM73">
            <v>0</v>
          </cell>
          <cell r="AN73">
            <v>0</v>
          </cell>
          <cell r="AO73">
            <v>0</v>
          </cell>
          <cell r="AP73">
            <v>0</v>
          </cell>
          <cell r="AQ73">
            <v>0</v>
          </cell>
          <cell r="AR73">
            <v>0</v>
          </cell>
          <cell r="AS73">
            <v>0</v>
          </cell>
          <cell r="AT73">
            <v>0</v>
          </cell>
        </row>
        <row r="74">
          <cell r="B74" t="str">
            <v>GM plMCOSynthetics</v>
          </cell>
          <cell r="C74" t="str">
            <v>GM pl</v>
          </cell>
          <cell r="D74" t="str">
            <v>MCO</v>
          </cell>
          <cell r="E74" t="str">
            <v>Synthetics</v>
          </cell>
          <cell r="F74">
            <v>1.6166935696079767</v>
          </cell>
          <cell r="G74">
            <v>1.3713676583425309</v>
          </cell>
          <cell r="H74">
            <v>1.1260417470770849</v>
          </cell>
          <cell r="I74">
            <v>1.1607945984236991</v>
          </cell>
          <cell r="J74">
            <v>1.1966200216175429</v>
          </cell>
          <cell r="K74">
            <v>1.2335511192767579</v>
          </cell>
          <cell r="L74">
            <v>1.2716220156604423</v>
          </cell>
          <cell r="M74">
            <v>1.3108678881993971</v>
          </cell>
          <cell r="N74">
            <v>1.3513250000000001</v>
          </cell>
          <cell r="O74">
            <v>0</v>
          </cell>
          <cell r="P74">
            <v>0</v>
          </cell>
          <cell r="Q74">
            <v>0</v>
          </cell>
          <cell r="R74">
            <v>0</v>
          </cell>
          <cell r="S74">
            <v>0</v>
          </cell>
          <cell r="T74">
            <v>0</v>
          </cell>
          <cell r="U74">
            <v>0</v>
          </cell>
          <cell r="V74">
            <v>0</v>
          </cell>
          <cell r="W74">
            <v>0</v>
          </cell>
          <cell r="X74">
            <v>0</v>
          </cell>
          <cell r="Y74">
            <v>0</v>
          </cell>
          <cell r="AA74">
            <v>3.4999999999999996</v>
          </cell>
          <cell r="AB74">
            <v>3.9086836079317275</v>
          </cell>
          <cell r="AC74">
            <v>4.7619047619047619</v>
          </cell>
          <cell r="AD74">
            <v>4.6255202466810079</v>
          </cell>
          <cell r="AE74">
            <v>4.4930418860157468</v>
          </cell>
          <cell r="AF74">
            <v>4.3643578047198481</v>
          </cell>
          <cell r="AG74">
            <v>4.239359331793306</v>
          </cell>
          <cell r="AH74">
            <v>4.1179409086548615</v>
          </cell>
          <cell r="AI74">
            <v>4</v>
          </cell>
          <cell r="AJ74">
            <v>0</v>
          </cell>
          <cell r="AK74">
            <v>0</v>
          </cell>
          <cell r="AL74">
            <v>0</v>
          </cell>
          <cell r="AM74">
            <v>0</v>
          </cell>
          <cell r="AN74">
            <v>0</v>
          </cell>
          <cell r="AO74">
            <v>0</v>
          </cell>
          <cell r="AP74">
            <v>0</v>
          </cell>
          <cell r="AQ74">
            <v>0</v>
          </cell>
          <cell r="AR74">
            <v>0</v>
          </cell>
          <cell r="AS74">
            <v>0</v>
          </cell>
          <cell r="AT74">
            <v>0</v>
          </cell>
        </row>
        <row r="75">
          <cell r="B75" t="str">
            <v>GM plMCOPart Synthetics</v>
          </cell>
          <cell r="C75" t="str">
            <v>GM pl</v>
          </cell>
          <cell r="D75" t="str">
            <v>MCO</v>
          </cell>
          <cell r="E75" t="str">
            <v>Part Synthetics</v>
          </cell>
          <cell r="F75">
            <v>0.55923644078355594</v>
          </cell>
          <cell r="G75">
            <v>0.66489542184851746</v>
          </cell>
          <cell r="H75">
            <v>0.77055440291347899</v>
          </cell>
          <cell r="I75">
            <v>0.77634820026327289</v>
          </cell>
          <cell r="J75">
            <v>0.78218556116627413</v>
          </cell>
          <cell r="K75">
            <v>0.78806681317677107</v>
          </cell>
          <cell r="L75">
            <v>0.79399228631193242</v>
          </cell>
          <cell r="M75">
            <v>0.79996231307032528</v>
          </cell>
          <cell r="N75">
            <v>0.80597722845057251</v>
          </cell>
          <cell r="O75">
            <v>0</v>
          </cell>
          <cell r="P75">
            <v>0</v>
          </cell>
          <cell r="Q75">
            <v>0</v>
          </cell>
          <cell r="R75">
            <v>0</v>
          </cell>
          <cell r="S75">
            <v>0</v>
          </cell>
          <cell r="T75">
            <v>0</v>
          </cell>
          <cell r="U75">
            <v>0</v>
          </cell>
          <cell r="V75">
            <v>0</v>
          </cell>
          <cell r="W75">
            <v>0</v>
          </cell>
          <cell r="X75">
            <v>0</v>
          </cell>
          <cell r="Y75">
            <v>0</v>
          </cell>
          <cell r="AA75">
            <v>1.26</v>
          </cell>
          <cell r="AB75">
            <v>1.4737798031834093</v>
          </cell>
          <cell r="AC75">
            <v>1.64</v>
          </cell>
          <cell r="AD75">
            <v>1.7089909221320438</v>
          </cell>
          <cell r="AE75">
            <v>1.7808841292254474</v>
          </cell>
          <cell r="AF75">
            <v>1.8558017135459264</v>
          </cell>
          <cell r="AG75">
            <v>1.933870903492122</v>
          </cell>
          <cell r="AH75">
            <v>2.0152242796605679</v>
          </cell>
          <cell r="AI75">
            <v>2.1</v>
          </cell>
          <cell r="AJ75">
            <v>0</v>
          </cell>
          <cell r="AK75">
            <v>0</v>
          </cell>
          <cell r="AL75">
            <v>0</v>
          </cell>
          <cell r="AM75">
            <v>0</v>
          </cell>
          <cell r="AN75">
            <v>0</v>
          </cell>
          <cell r="AO75">
            <v>0</v>
          </cell>
          <cell r="AP75">
            <v>0</v>
          </cell>
          <cell r="AQ75">
            <v>0</v>
          </cell>
          <cell r="AR75">
            <v>0</v>
          </cell>
          <cell r="AS75">
            <v>0</v>
          </cell>
          <cell r="AT75">
            <v>0</v>
          </cell>
        </row>
        <row r="76">
          <cell r="B76" t="str">
            <v>GM plMCOMineral Multigrades</v>
          </cell>
          <cell r="C76" t="str">
            <v>GM pl</v>
          </cell>
          <cell r="D76" t="str">
            <v>MCO</v>
          </cell>
          <cell r="E76" t="str">
            <v>Mineral Multigrades</v>
          </cell>
          <cell r="F76">
            <v>0.47759072244523754</v>
          </cell>
          <cell r="G76">
            <v>0.56959094324284343</v>
          </cell>
          <cell r="H76">
            <v>0.65348440148999176</v>
          </cell>
          <cell r="I76">
            <v>0.64490254563680549</v>
          </cell>
          <cell r="J76">
            <v>0.65273239453316356</v>
          </cell>
          <cell r="K76">
            <v>0.66384608086053076</v>
          </cell>
          <cell r="L76">
            <v>0.67951798810447306</v>
          </cell>
          <cell r="M76">
            <v>0.70166132538685011</v>
          </cell>
          <cell r="N76">
            <v>0.76358950409224213</v>
          </cell>
          <cell r="O76">
            <v>0</v>
          </cell>
          <cell r="P76">
            <v>0</v>
          </cell>
          <cell r="Q76">
            <v>0</v>
          </cell>
          <cell r="R76">
            <v>0</v>
          </cell>
          <cell r="S76">
            <v>0</v>
          </cell>
          <cell r="T76">
            <v>0</v>
          </cell>
          <cell r="U76">
            <v>0</v>
          </cell>
          <cell r="V76">
            <v>0</v>
          </cell>
          <cell r="W76">
            <v>0</v>
          </cell>
          <cell r="X76">
            <v>0</v>
          </cell>
          <cell r="Y76">
            <v>0</v>
          </cell>
          <cell r="AA76">
            <v>0.71668705766524843</v>
          </cell>
          <cell r="AB76">
            <v>0.88355744801402947</v>
          </cell>
          <cell r="AC76">
            <v>1.1237477575794164</v>
          </cell>
          <cell r="AD76">
            <v>1.2585875772489803</v>
          </cell>
          <cell r="AE76">
            <v>1.3118668322982014</v>
          </cell>
          <cell r="AF76">
            <v>1.3550415964681064</v>
          </cell>
          <cell r="AG76">
            <v>1.3734074674016228</v>
          </cell>
          <cell r="AH76">
            <v>1.3814072101318087</v>
          </cell>
          <cell r="AI76">
            <v>1.3267001019299494</v>
          </cell>
          <cell r="AJ76">
            <v>0</v>
          </cell>
          <cell r="AK76">
            <v>0</v>
          </cell>
          <cell r="AL76">
            <v>0</v>
          </cell>
          <cell r="AM76">
            <v>0</v>
          </cell>
          <cell r="AN76">
            <v>0</v>
          </cell>
          <cell r="AO76">
            <v>0</v>
          </cell>
          <cell r="AP76">
            <v>0</v>
          </cell>
          <cell r="AQ76">
            <v>0</v>
          </cell>
          <cell r="AR76">
            <v>0</v>
          </cell>
          <cell r="AS76">
            <v>0</v>
          </cell>
          <cell r="AT76">
            <v>0</v>
          </cell>
        </row>
        <row r="77">
          <cell r="B77" t="str">
            <v>GM plMCOMineral Monogrades</v>
          </cell>
          <cell r="C77" t="str">
            <v>GM pl</v>
          </cell>
          <cell r="D77" t="str">
            <v>MCO</v>
          </cell>
          <cell r="E77" t="str">
            <v>Mineral Monogrades</v>
          </cell>
          <cell r="F77">
            <v>3.8068965517241454E-2</v>
          </cell>
          <cell r="G77">
            <v>7.9034482758620725E-2</v>
          </cell>
          <cell r="H77">
            <v>0.12</v>
          </cell>
          <cell r="I77">
            <v>0.11827232998382799</v>
          </cell>
          <cell r="J77">
            <v>0.11656953366502913</v>
          </cell>
          <cell r="K77">
            <v>0.11489125293076059</v>
          </cell>
          <cell r="L77">
            <v>0.11323713482401968</v>
          </cell>
          <cell r="M77">
            <v>0.11160683146941396</v>
          </cell>
          <cell r="N77">
            <v>0.11000000000000001</v>
          </cell>
          <cell r="O77">
            <v>0</v>
          </cell>
          <cell r="P77">
            <v>0</v>
          </cell>
          <cell r="Q77">
            <v>0</v>
          </cell>
          <cell r="R77">
            <v>0</v>
          </cell>
          <cell r="S77">
            <v>0</v>
          </cell>
          <cell r="T77">
            <v>0</v>
          </cell>
          <cell r="U77">
            <v>0</v>
          </cell>
          <cell r="V77">
            <v>0</v>
          </cell>
          <cell r="W77">
            <v>0</v>
          </cell>
          <cell r="X77">
            <v>0</v>
          </cell>
          <cell r="Y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row>
        <row r="78">
          <cell r="B78" t="str">
            <v>GM plMCOSpecialities</v>
          </cell>
          <cell r="C78" t="str">
            <v>GM pl</v>
          </cell>
          <cell r="D78" t="str">
            <v>MCO</v>
          </cell>
          <cell r="E78" t="str">
            <v>Specialities</v>
          </cell>
          <cell r="F78">
            <v>1.1153153618641412</v>
          </cell>
          <cell r="G78">
            <v>1.2866913980882932</v>
          </cell>
          <cell r="H78">
            <v>1.4580674343124451</v>
          </cell>
          <cell r="I78">
            <v>1.288928260293887</v>
          </cell>
          <cell r="J78">
            <v>1.1394096192592302</v>
          </cell>
          <cell r="K78">
            <v>1.0072354842809101</v>
          </cell>
          <cell r="L78">
            <v>0.89039385278682859</v>
          </cell>
          <cell r="M78">
            <v>0.78710611912821227</v>
          </cell>
          <cell r="N78">
            <v>0.69579999999999997</v>
          </cell>
          <cell r="O78">
            <v>0</v>
          </cell>
          <cell r="P78">
            <v>0</v>
          </cell>
          <cell r="Q78">
            <v>0</v>
          </cell>
          <cell r="R78">
            <v>0</v>
          </cell>
          <cell r="S78">
            <v>0</v>
          </cell>
          <cell r="T78">
            <v>0</v>
          </cell>
          <cell r="U78">
            <v>0</v>
          </cell>
          <cell r="V78">
            <v>0</v>
          </cell>
          <cell r="W78">
            <v>0</v>
          </cell>
          <cell r="X78">
            <v>0</v>
          </cell>
          <cell r="Y78">
            <v>0</v>
          </cell>
          <cell r="AA78">
            <v>5</v>
          </cell>
          <cell r="AB78">
            <v>4.0740740740740744</v>
          </cell>
          <cell r="AC78">
            <v>4</v>
          </cell>
          <cell r="AD78">
            <v>3.563594872561358</v>
          </cell>
          <cell r="AE78">
            <v>3.1748021039363996</v>
          </cell>
          <cell r="AF78">
            <v>2.8284271247461907</v>
          </cell>
          <cell r="AG78">
            <v>2.5198420997897468</v>
          </cell>
          <cell r="AH78">
            <v>2.2449240966187469</v>
          </cell>
          <cell r="AI78">
            <v>2</v>
          </cell>
          <cell r="AJ78">
            <v>0</v>
          </cell>
          <cell r="AK78">
            <v>0</v>
          </cell>
          <cell r="AL78">
            <v>0</v>
          </cell>
          <cell r="AM78">
            <v>0</v>
          </cell>
          <cell r="AN78">
            <v>0</v>
          </cell>
          <cell r="AO78">
            <v>0</v>
          </cell>
          <cell r="AP78">
            <v>0</v>
          </cell>
          <cell r="AQ78">
            <v>0</v>
          </cell>
          <cell r="AR78">
            <v>0</v>
          </cell>
          <cell r="AS78">
            <v>0</v>
          </cell>
          <cell r="AT78">
            <v>0</v>
          </cell>
        </row>
      </sheetData>
      <sheetData sheetId="7">
        <row r="1">
          <cell r="B1">
            <v>0</v>
          </cell>
          <cell r="C1">
            <v>0</v>
          </cell>
          <cell r="D1">
            <v>0</v>
          </cell>
          <cell r="E1">
            <v>0</v>
          </cell>
          <cell r="F1">
            <v>0</v>
          </cell>
          <cell r="G1" t="str">
            <v>X005</v>
          </cell>
          <cell r="H1" t="str">
            <v>X006</v>
          </cell>
          <cell r="I1" t="str">
            <v>X007</v>
          </cell>
          <cell r="J1" t="str">
            <v>X008</v>
          </cell>
          <cell r="K1" t="str">
            <v>X009</v>
          </cell>
          <cell r="L1" t="str">
            <v>X010</v>
          </cell>
          <cell r="M1" t="str">
            <v>X011</v>
          </cell>
          <cell r="N1" t="str">
            <v>X012</v>
          </cell>
          <cell r="O1" t="str">
            <v>X013</v>
          </cell>
          <cell r="P1">
            <v>0</v>
          </cell>
          <cell r="Q1">
            <v>0</v>
          </cell>
          <cell r="R1">
            <v>0</v>
          </cell>
          <cell r="S1">
            <v>0</v>
          </cell>
          <cell r="T1">
            <v>0</v>
          </cell>
          <cell r="U1">
            <v>0</v>
          </cell>
          <cell r="V1">
            <v>0</v>
          </cell>
          <cell r="W1">
            <v>0</v>
          </cell>
          <cell r="X1">
            <v>0</v>
          </cell>
          <cell r="Y1">
            <v>0</v>
          </cell>
          <cell r="Z1">
            <v>0</v>
          </cell>
          <cell r="AA1">
            <v>0</v>
          </cell>
          <cell r="AB1" t="str">
            <v>X015</v>
          </cell>
          <cell r="AC1" t="str">
            <v>X016</v>
          </cell>
          <cell r="AD1" t="str">
            <v>X017</v>
          </cell>
          <cell r="AE1" t="str">
            <v>X018</v>
          </cell>
          <cell r="AF1" t="str">
            <v>X019</v>
          </cell>
          <cell r="AG1" t="str">
            <v>X020</v>
          </cell>
          <cell r="AH1" t="str">
            <v>X021</v>
          </cell>
          <cell r="AI1" t="str">
            <v>X022</v>
          </cell>
          <cell r="AJ1" t="str">
            <v>X023</v>
          </cell>
          <cell r="AK1">
            <v>0</v>
          </cell>
          <cell r="AL1">
            <v>0</v>
          </cell>
          <cell r="AM1">
            <v>0</v>
          </cell>
          <cell r="AN1">
            <v>0</v>
          </cell>
          <cell r="AO1">
            <v>0</v>
          </cell>
          <cell r="AP1">
            <v>0</v>
          </cell>
          <cell r="AQ1">
            <v>0</v>
          </cell>
          <cell r="AR1">
            <v>0</v>
          </cell>
          <cell r="AS1">
            <v>0</v>
          </cell>
          <cell r="AT1">
            <v>0</v>
          </cell>
          <cell r="AU1">
            <v>0</v>
          </cell>
        </row>
      </sheetData>
      <sheetData sheetId="8"/>
      <sheetData sheetId="9">
        <row r="4">
          <cell r="Q4">
            <v>2073.2921758614598</v>
          </cell>
        </row>
      </sheetData>
      <sheetData sheetId="10">
        <row r="4">
          <cell r="B4" t="str">
            <v>VolumeIndustrialCement</v>
          </cell>
          <cell r="C4" t="str">
            <v>Volume</v>
          </cell>
          <cell r="D4" t="str">
            <v>Industrial</v>
          </cell>
          <cell r="E4" t="str">
            <v>Off-road (inc Agri, Other)</v>
          </cell>
          <cell r="F4" t="str">
            <v>Cement</v>
          </cell>
          <cell r="G4">
            <v>2964.5140000000001</v>
          </cell>
          <cell r="H4">
            <v>2512.3000000000002</v>
          </cell>
          <cell r="I4">
            <v>2590.0000000000005</v>
          </cell>
          <cell r="J4">
            <v>2667.7000000000007</v>
          </cell>
          <cell r="K4">
            <v>2747.7310000000007</v>
          </cell>
          <cell r="L4">
            <v>2830.1629300000009</v>
          </cell>
          <cell r="M4">
            <v>2915.067817900001</v>
          </cell>
          <cell r="N4">
            <v>3060.8212087950014</v>
          </cell>
          <cell r="O4">
            <v>3213.8622692347517</v>
          </cell>
          <cell r="P4">
            <v>0.26243762046662622</v>
          </cell>
          <cell r="Q4">
            <v>0.30290968435298332</v>
          </cell>
          <cell r="R4">
            <v>0.34362934362934355</v>
          </cell>
          <cell r="S4">
            <v>0.34111781684597209</v>
          </cell>
          <cell r="T4">
            <v>0.34111781684597214</v>
          </cell>
          <cell r="U4">
            <v>0.34111781684597209</v>
          </cell>
          <cell r="V4">
            <v>0.34111781684597209</v>
          </cell>
          <cell r="W4">
            <v>0.34111781684597209</v>
          </cell>
          <cell r="X4">
            <v>0.34111781684597203</v>
          </cell>
          <cell r="Y4">
            <v>0</v>
          </cell>
          <cell r="Z4">
            <v>3.795387466008493E-2</v>
          </cell>
          <cell r="AA4" t="str">
            <v>Non focus</v>
          </cell>
          <cell r="AB4">
            <v>778</v>
          </cell>
          <cell r="AC4">
            <v>761</v>
          </cell>
          <cell r="AD4">
            <v>890</v>
          </cell>
          <cell r="AE4">
            <v>910</v>
          </cell>
          <cell r="AF4">
            <v>937.30000000000007</v>
          </cell>
          <cell r="AG4">
            <v>965.4190000000001</v>
          </cell>
          <cell r="AH4">
            <v>994.38157000000012</v>
          </cell>
          <cell r="AI4">
            <v>1044.1006485000003</v>
          </cell>
          <cell r="AJ4">
            <v>1096.3056809250002</v>
          </cell>
          <cell r="AK4">
            <v>0</v>
          </cell>
          <cell r="AL4">
            <v>-2.1850899742930641E-2</v>
          </cell>
          <cell r="AM4">
            <v>0.16951379763469121</v>
          </cell>
          <cell r="AN4">
            <v>2.2471910112359605E-2</v>
          </cell>
          <cell r="AO4">
            <v>3.0000000000000027E-2</v>
          </cell>
          <cell r="AP4">
            <v>3.0000000000000027E-2</v>
          </cell>
          <cell r="AQ4">
            <v>3.0000000000000027E-2</v>
          </cell>
          <cell r="AR4">
            <v>5.0000000000000044E-2</v>
          </cell>
          <cell r="AS4">
            <v>4.9999999999999822E-2</v>
          </cell>
          <cell r="AT4">
            <v>6.9560128695250967E-2</v>
          </cell>
          <cell r="AU4">
            <v>3.795387466008493E-2</v>
          </cell>
        </row>
        <row r="5">
          <cell r="B5" t="str">
            <v>VolumeIndustrialPower</v>
          </cell>
          <cell r="C5" t="str">
            <v>Volume</v>
          </cell>
          <cell r="D5" t="str">
            <v>Industrial</v>
          </cell>
          <cell r="E5" t="str">
            <v>Off-road (inc Agri, Other)</v>
          </cell>
          <cell r="F5" t="str">
            <v>Power</v>
          </cell>
          <cell r="G5">
            <v>2337.8755999999998</v>
          </cell>
          <cell r="H5">
            <v>2718.46</v>
          </cell>
          <cell r="I5">
            <v>3161</v>
          </cell>
          <cell r="J5">
            <v>3287.44</v>
          </cell>
          <cell r="K5">
            <v>3418.9376000000002</v>
          </cell>
          <cell r="L5">
            <v>3555.6951040000004</v>
          </cell>
          <cell r="M5">
            <v>3697.9229081600006</v>
          </cell>
          <cell r="N5">
            <v>3808.8605954048007</v>
          </cell>
          <cell r="O5">
            <v>3923.1264132669448</v>
          </cell>
          <cell r="P5">
            <v>0.40085024198892372</v>
          </cell>
          <cell r="Q5">
            <v>0.44292834913885071</v>
          </cell>
          <cell r="R5">
            <v>0.3055994938310661</v>
          </cell>
          <cell r="S5">
            <v>0.3055994938310661</v>
          </cell>
          <cell r="T5">
            <v>0.30559949383106616</v>
          </cell>
          <cell r="U5">
            <v>0.30559949383106616</v>
          </cell>
          <cell r="V5">
            <v>0.3055994938310661</v>
          </cell>
          <cell r="W5">
            <v>0.3055994938310661</v>
          </cell>
          <cell r="X5">
            <v>0.30559949383106616</v>
          </cell>
          <cell r="Y5">
            <v>0</v>
          </cell>
          <cell r="Z5">
            <v>3.5988401994462071E-2</v>
          </cell>
          <cell r="AA5" t="str">
            <v>Non focus</v>
          </cell>
          <cell r="AB5">
            <v>937.13800000000015</v>
          </cell>
          <cell r="AC5">
            <v>1204.0830000000001</v>
          </cell>
          <cell r="AD5">
            <v>966</v>
          </cell>
          <cell r="AE5">
            <v>1004.64</v>
          </cell>
          <cell r="AF5">
            <v>1044.8256000000001</v>
          </cell>
          <cell r="AG5">
            <v>1086.6186240000002</v>
          </cell>
          <cell r="AH5">
            <v>1130.0833689600001</v>
          </cell>
          <cell r="AI5">
            <v>1163.9858700288003</v>
          </cell>
          <cell r="AJ5">
            <v>1198.9054461296644</v>
          </cell>
          <cell r="AK5">
            <v>0</v>
          </cell>
          <cell r="AL5">
            <v>0.28485132392454471</v>
          </cell>
          <cell r="AM5">
            <v>-0.19772972461200766</v>
          </cell>
          <cell r="AN5">
            <v>4.0000000000000036E-2</v>
          </cell>
          <cell r="AO5">
            <v>4.0000000000000036E-2</v>
          </cell>
          <cell r="AP5">
            <v>4.0000000000000036E-2</v>
          </cell>
          <cell r="AQ5">
            <v>4.0000000000000036E-2</v>
          </cell>
          <cell r="AR5">
            <v>3.0000000000000027E-2</v>
          </cell>
          <cell r="AS5">
            <v>3.0000000000000027E-2</v>
          </cell>
          <cell r="AT5">
            <v>1.5282239319476476E-2</v>
          </cell>
          <cell r="AU5">
            <v>3.5988401994462071E-2</v>
          </cell>
        </row>
        <row r="6">
          <cell r="B6" t="str">
            <v>VolumeIndustrialMetal</v>
          </cell>
          <cell r="C6" t="str">
            <v>Volume</v>
          </cell>
          <cell r="D6" t="str">
            <v>Industrial</v>
          </cell>
          <cell r="E6" t="str">
            <v>Off-road (inc Agri, Other)</v>
          </cell>
          <cell r="F6" t="str">
            <v>Metal</v>
          </cell>
          <cell r="G6">
            <v>3065.2056000000002</v>
          </cell>
          <cell r="H6">
            <v>3295.92</v>
          </cell>
          <cell r="I6">
            <v>3544</v>
          </cell>
          <cell r="J6">
            <v>3650.32</v>
          </cell>
          <cell r="K6">
            <v>3759.8296000000005</v>
          </cell>
          <cell r="L6">
            <v>3872.6244880000004</v>
          </cell>
          <cell r="M6">
            <v>3988.8032226400005</v>
          </cell>
          <cell r="N6">
            <v>4188.2433837720009</v>
          </cell>
          <cell r="O6">
            <v>4397.6555529606012</v>
          </cell>
          <cell r="P6">
            <v>8.7432960451331546E-2</v>
          </cell>
          <cell r="Q6">
            <v>0.1159008713803733</v>
          </cell>
          <cell r="R6">
            <v>0.28809255079006768</v>
          </cell>
          <cell r="S6">
            <v>0.28809255079006774</v>
          </cell>
          <cell r="T6">
            <v>0.28809255079006763</v>
          </cell>
          <cell r="U6">
            <v>0.28809255079006774</v>
          </cell>
          <cell r="V6">
            <v>0.28809255079006768</v>
          </cell>
          <cell r="W6">
            <v>0.28534881221111469</v>
          </cell>
          <cell r="X6">
            <v>0.28263120447577073</v>
          </cell>
          <cell r="Y6">
            <v>0</v>
          </cell>
          <cell r="Z6">
            <v>3.795387466008493E-2</v>
          </cell>
          <cell r="AA6" t="str">
            <v>Non focus</v>
          </cell>
          <cell r="AB6">
            <v>268</v>
          </cell>
          <cell r="AC6">
            <v>382</v>
          </cell>
          <cell r="AD6">
            <v>1020.9999999999999</v>
          </cell>
          <cell r="AE6">
            <v>1051.6300000000001</v>
          </cell>
          <cell r="AF6">
            <v>1083.1788999999999</v>
          </cell>
          <cell r="AG6">
            <v>1115.6742670000001</v>
          </cell>
          <cell r="AH6">
            <v>1149.1444950099999</v>
          </cell>
          <cell r="AI6">
            <v>1195.1102748104001</v>
          </cell>
          <cell r="AJ6">
            <v>1242.9146858028162</v>
          </cell>
          <cell r="AK6">
            <v>0</v>
          </cell>
          <cell r="AL6">
            <v>0.42537313432835822</v>
          </cell>
          <cell r="AM6">
            <v>1.6727748691099475</v>
          </cell>
          <cell r="AN6">
            <v>3.0000000000000249E-2</v>
          </cell>
          <cell r="AO6">
            <v>2.9999999999999805E-2</v>
          </cell>
          <cell r="AP6">
            <v>3.0000000000000249E-2</v>
          </cell>
          <cell r="AQ6">
            <v>2.9999999999999805E-2</v>
          </cell>
          <cell r="AR6">
            <v>4.0000000000000258E-2</v>
          </cell>
          <cell r="AS6">
            <v>4.0000000000000036E-2</v>
          </cell>
          <cell r="AT6">
            <v>0.95184566309360452</v>
          </cell>
          <cell r="AU6">
            <v>3.398840946264392E-2</v>
          </cell>
        </row>
        <row r="7">
          <cell r="B7" t="str">
            <v>VolumeIndustrialAutomotive Manufacture</v>
          </cell>
          <cell r="C7" t="str">
            <v>Volume</v>
          </cell>
          <cell r="D7" t="str">
            <v>Industrial</v>
          </cell>
          <cell r="E7" t="str">
            <v>Off-road (inc Agri, Other)</v>
          </cell>
          <cell r="F7" t="str">
            <v>Automotive Manufacture</v>
          </cell>
          <cell r="G7">
            <v>1323</v>
          </cell>
          <cell r="H7">
            <v>1256.8499999999999</v>
          </cell>
          <cell r="I7">
            <v>1194.0074999999999</v>
          </cell>
          <cell r="J7">
            <v>1194.0074999999999</v>
          </cell>
          <cell r="K7">
            <v>1194.0074999999999</v>
          </cell>
          <cell r="L7">
            <v>1194.0074999999999</v>
          </cell>
          <cell r="M7">
            <v>1253.7078750000001</v>
          </cell>
          <cell r="N7">
            <v>1316.3932687500001</v>
          </cell>
          <cell r="O7">
            <v>1382.2129321875002</v>
          </cell>
          <cell r="P7">
            <v>1.8367346938775508E-2</v>
          </cell>
          <cell r="Q7">
            <v>2.1482277121374866E-2</v>
          </cell>
          <cell r="R7">
            <v>2.5125470317397505E-2</v>
          </cell>
          <cell r="S7">
            <v>2.7638017349137255E-2</v>
          </cell>
          <cell r="T7">
            <v>3.0401819084050985E-2</v>
          </cell>
          <cell r="U7">
            <v>3.3442000992456082E-2</v>
          </cell>
          <cell r="V7">
            <v>3.5034477230192089E-2</v>
          </cell>
          <cell r="W7">
            <v>3.6702785669725041E-2</v>
          </cell>
          <cell r="X7">
            <v>3.8450537368283376E-2</v>
          </cell>
          <cell r="Y7">
            <v>0</v>
          </cell>
          <cell r="Z7">
            <v>2.9706796887910114E-2</v>
          </cell>
          <cell r="AA7" t="str">
            <v>Non focus</v>
          </cell>
          <cell r="AB7">
            <v>24.299999999999997</v>
          </cell>
          <cell r="AC7">
            <v>27</v>
          </cell>
          <cell r="AD7">
            <v>30</v>
          </cell>
          <cell r="AE7">
            <v>33</v>
          </cell>
          <cell r="AF7">
            <v>36.300000000000004</v>
          </cell>
          <cell r="AG7">
            <v>39.930000000000007</v>
          </cell>
          <cell r="AH7">
            <v>43.923000000000009</v>
          </cell>
          <cell r="AI7">
            <v>48.315300000000008</v>
          </cell>
          <cell r="AJ7">
            <v>53.146830000000016</v>
          </cell>
          <cell r="AK7">
            <v>0</v>
          </cell>
          <cell r="AL7">
            <v>0.11111111111111116</v>
          </cell>
          <cell r="AM7">
            <v>0.11111111111111116</v>
          </cell>
          <cell r="AN7">
            <v>0.10000000000000009</v>
          </cell>
          <cell r="AO7">
            <v>0.10000000000000009</v>
          </cell>
          <cell r="AP7">
            <v>0.10000000000000009</v>
          </cell>
          <cell r="AQ7">
            <v>0.10000000000000009</v>
          </cell>
          <cell r="AR7">
            <v>9.9999999999999867E-2</v>
          </cell>
          <cell r="AS7">
            <v>0.10000000000000009</v>
          </cell>
          <cell r="AT7">
            <v>0.11111111111111116</v>
          </cell>
          <cell r="AU7">
            <v>0.10000000000000009</v>
          </cell>
        </row>
        <row r="8">
          <cell r="B8" t="str">
            <v>VolumeIndustrialMachinery Manufacture</v>
          </cell>
          <cell r="C8" t="str">
            <v>Volume</v>
          </cell>
          <cell r="D8" t="str">
            <v>Industrial</v>
          </cell>
          <cell r="E8" t="str">
            <v>Off-road (inc Agri, Other)</v>
          </cell>
          <cell r="F8" t="str">
            <v>Machinery Manufacture</v>
          </cell>
          <cell r="G8">
            <v>1942.5</v>
          </cell>
          <cell r="H8">
            <v>1845.375</v>
          </cell>
          <cell r="I8">
            <v>1753.1062499999998</v>
          </cell>
          <cell r="J8">
            <v>1753.1062499999998</v>
          </cell>
          <cell r="K8">
            <v>1753.1062499999998</v>
          </cell>
          <cell r="L8">
            <v>1753.1062499999998</v>
          </cell>
          <cell r="M8">
            <v>1840.7615624999999</v>
          </cell>
          <cell r="N8">
            <v>1932.7996406249999</v>
          </cell>
          <cell r="O8">
            <v>2029.4396226562501</v>
          </cell>
          <cell r="P8">
            <v>0.11336422136422135</v>
          </cell>
          <cell r="Q8">
            <v>0.1256113256113256</v>
          </cell>
          <cell r="R8">
            <v>0.13918152422307548</v>
          </cell>
          <cell r="S8">
            <v>0.13918152422307548</v>
          </cell>
          <cell r="T8">
            <v>0.13918152422307548</v>
          </cell>
          <cell r="U8">
            <v>0.13918152422307548</v>
          </cell>
          <cell r="V8">
            <v>0.1391815242230755</v>
          </cell>
          <cell r="W8">
            <v>0.13918152422307548</v>
          </cell>
          <cell r="X8">
            <v>0.13918152422307548</v>
          </cell>
          <cell r="Y8">
            <v>0</v>
          </cell>
          <cell r="Z8">
            <v>2.9706796887910114E-2</v>
          </cell>
          <cell r="AA8" t="str">
            <v>Non focus</v>
          </cell>
          <cell r="AB8">
            <v>220.20999999999998</v>
          </cell>
          <cell r="AC8">
            <v>231.79999999999998</v>
          </cell>
          <cell r="AD8">
            <v>244</v>
          </cell>
          <cell r="AE8">
            <v>244</v>
          </cell>
          <cell r="AF8">
            <v>244</v>
          </cell>
          <cell r="AG8">
            <v>244</v>
          </cell>
          <cell r="AH8">
            <v>256.20000000000005</v>
          </cell>
          <cell r="AI8">
            <v>269.01</v>
          </cell>
          <cell r="AJ8">
            <v>282.46050000000002</v>
          </cell>
          <cell r="AK8">
            <v>0</v>
          </cell>
          <cell r="AL8">
            <v>5.2631578947368363E-2</v>
          </cell>
          <cell r="AM8">
            <v>5.2631578947368585E-2</v>
          </cell>
          <cell r="AN8">
            <v>0</v>
          </cell>
          <cell r="AO8">
            <v>0</v>
          </cell>
          <cell r="AP8">
            <v>0</v>
          </cell>
          <cell r="AQ8">
            <v>5.0000000000000266E-2</v>
          </cell>
          <cell r="AR8">
            <v>4.9999999999999822E-2</v>
          </cell>
          <cell r="AS8">
            <v>5.0000000000000044E-2</v>
          </cell>
          <cell r="AT8">
            <v>5.2631578947368363E-2</v>
          </cell>
          <cell r="AU8">
            <v>2.9706796887910114E-2</v>
          </cell>
        </row>
        <row r="9">
          <cell r="B9" t="str">
            <v>VolumeIndustrialPetro Chemicals</v>
          </cell>
          <cell r="C9" t="str">
            <v>Volume</v>
          </cell>
          <cell r="D9" t="str">
            <v>Industrial</v>
          </cell>
          <cell r="E9" t="str">
            <v>Off-road (inc Agri, Other)</v>
          </cell>
          <cell r="F9" t="str">
            <v>Petro Chemicals</v>
          </cell>
          <cell r="G9">
            <v>2100</v>
          </cell>
          <cell r="H9">
            <v>2100</v>
          </cell>
          <cell r="I9">
            <v>2100</v>
          </cell>
          <cell r="J9">
            <v>2163</v>
          </cell>
          <cell r="K9">
            <v>2227.89</v>
          </cell>
          <cell r="L9">
            <v>2294.7266999999997</v>
          </cell>
          <cell r="M9">
            <v>2363.5685009999997</v>
          </cell>
          <cell r="N9">
            <v>2481.7469260499997</v>
          </cell>
          <cell r="O9">
            <v>2605.8342723524997</v>
          </cell>
          <cell r="P9">
            <v>0.15471428571428569</v>
          </cell>
          <cell r="Q9">
            <v>0.16285714285714287</v>
          </cell>
          <cell r="R9">
            <v>0.17142857142857143</v>
          </cell>
          <cell r="S9">
            <v>0.17142857142857143</v>
          </cell>
          <cell r="T9">
            <v>0.17142857142857143</v>
          </cell>
          <cell r="U9">
            <v>0.17142857142857146</v>
          </cell>
          <cell r="V9">
            <v>0.17142857142857146</v>
          </cell>
          <cell r="W9">
            <v>0.17142857142857146</v>
          </cell>
          <cell r="X9">
            <v>0.17142857142857146</v>
          </cell>
          <cell r="Y9">
            <v>0</v>
          </cell>
          <cell r="Z9">
            <v>3.795387466008493E-2</v>
          </cell>
          <cell r="AA9" t="str">
            <v>Non focus</v>
          </cell>
          <cell r="AB9">
            <v>324.89999999999998</v>
          </cell>
          <cell r="AC9">
            <v>342</v>
          </cell>
          <cell r="AD9">
            <v>360</v>
          </cell>
          <cell r="AE9">
            <v>370.8</v>
          </cell>
          <cell r="AF9">
            <v>381.92399999999998</v>
          </cell>
          <cell r="AG9">
            <v>393.38172000000003</v>
          </cell>
          <cell r="AH9">
            <v>405.18317160000004</v>
          </cell>
          <cell r="AI9">
            <v>425.44233018</v>
          </cell>
          <cell r="AJ9">
            <v>446.71444668900006</v>
          </cell>
          <cell r="AK9">
            <v>0</v>
          </cell>
          <cell r="AL9">
            <v>5.2631578947368585E-2</v>
          </cell>
          <cell r="AM9">
            <v>5.2631578947368363E-2</v>
          </cell>
          <cell r="AN9">
            <v>3.0000000000000027E-2</v>
          </cell>
          <cell r="AO9">
            <v>2.9999999999999805E-2</v>
          </cell>
          <cell r="AP9">
            <v>3.0000000000000027E-2</v>
          </cell>
          <cell r="AQ9">
            <v>3.0000000000000027E-2</v>
          </cell>
          <cell r="AR9">
            <v>4.9999999999999822E-2</v>
          </cell>
          <cell r="AS9">
            <v>5.0000000000000044E-2</v>
          </cell>
          <cell r="AT9">
            <v>5.2631578947368363E-2</v>
          </cell>
          <cell r="AU9">
            <v>3.795387466008493E-2</v>
          </cell>
        </row>
        <row r="10">
          <cell r="B10" t="str">
            <v>VolumeIndustrialTextile</v>
          </cell>
          <cell r="C10" t="str">
            <v>Volume</v>
          </cell>
          <cell r="D10" t="str">
            <v>Industrial</v>
          </cell>
          <cell r="E10" t="str">
            <v>Off-road (inc Agri, Other)</v>
          </cell>
          <cell r="F10" t="str">
            <v>Textile</v>
          </cell>
          <cell r="G10">
            <v>930</v>
          </cell>
          <cell r="H10">
            <v>1000</v>
          </cell>
          <cell r="I10">
            <v>1040</v>
          </cell>
          <cell r="J10">
            <v>1081.6000000000001</v>
          </cell>
          <cell r="K10">
            <v>1124.8640000000003</v>
          </cell>
          <cell r="L10">
            <v>1169.8585600000004</v>
          </cell>
          <cell r="M10">
            <v>1216.6529024000004</v>
          </cell>
          <cell r="N10">
            <v>1265.3190184960004</v>
          </cell>
          <cell r="O10">
            <v>1315.9317792358404</v>
          </cell>
          <cell r="P10">
            <v>4.7311827956989246E-2</v>
          </cell>
          <cell r="Q10">
            <v>7.0999999999999994E-2</v>
          </cell>
          <cell r="R10">
            <v>5.7692307692307696E-2</v>
          </cell>
          <cell r="S10">
            <v>5.7692307692307682E-2</v>
          </cell>
          <cell r="T10">
            <v>5.7692307692307682E-2</v>
          </cell>
          <cell r="U10">
            <v>5.7692307692307682E-2</v>
          </cell>
          <cell r="V10">
            <v>5.7692307692307682E-2</v>
          </cell>
          <cell r="W10">
            <v>5.7692307692307682E-2</v>
          </cell>
          <cell r="X10">
            <v>5.7692307692307689E-2</v>
          </cell>
          <cell r="Y10">
            <v>0</v>
          </cell>
          <cell r="Z10">
            <v>4.0000000000000036E-2</v>
          </cell>
          <cell r="AA10" t="str">
            <v>Non focus</v>
          </cell>
          <cell r="AB10">
            <v>44</v>
          </cell>
          <cell r="AC10">
            <v>71</v>
          </cell>
          <cell r="AD10">
            <v>60</v>
          </cell>
          <cell r="AE10">
            <v>62.4</v>
          </cell>
          <cell r="AF10">
            <v>64.896000000000001</v>
          </cell>
          <cell r="AG10">
            <v>67.49184000000001</v>
          </cell>
          <cell r="AH10">
            <v>70.191513600000008</v>
          </cell>
          <cell r="AI10">
            <v>72.999174144000008</v>
          </cell>
          <cell r="AJ10">
            <v>75.91914110976002</v>
          </cell>
          <cell r="AK10">
            <v>0</v>
          </cell>
          <cell r="AL10">
            <v>0.61363636363636354</v>
          </cell>
          <cell r="AM10">
            <v>-0.15492957746478875</v>
          </cell>
          <cell r="AN10">
            <v>4.0000000000000036E-2</v>
          </cell>
          <cell r="AO10">
            <v>4.0000000000000036E-2</v>
          </cell>
          <cell r="AP10">
            <v>4.0000000000000258E-2</v>
          </cell>
          <cell r="AQ10">
            <v>4.0000000000000036E-2</v>
          </cell>
          <cell r="AR10">
            <v>4.0000000000000036E-2</v>
          </cell>
          <cell r="AS10">
            <v>4.0000000000000258E-2</v>
          </cell>
          <cell r="AT10">
            <v>0.16774841624228443</v>
          </cell>
          <cell r="AU10">
            <v>4.0000000000000036E-2</v>
          </cell>
        </row>
        <row r="11">
          <cell r="B11" t="str">
            <v>VolumeIndustrialRubber-Footwear</v>
          </cell>
          <cell r="C11" t="str">
            <v>Volume</v>
          </cell>
          <cell r="D11" t="str">
            <v>Industrial</v>
          </cell>
          <cell r="E11" t="str">
            <v>Off-road (inc Agri, Other)</v>
          </cell>
          <cell r="F11" t="str">
            <v>Rubber-Footwear</v>
          </cell>
          <cell r="G11">
            <v>3686</v>
          </cell>
          <cell r="H11">
            <v>3800</v>
          </cell>
          <cell r="I11">
            <v>3914</v>
          </cell>
          <cell r="J11">
            <v>4031.4199999999996</v>
          </cell>
          <cell r="K11">
            <v>4152.3626000000004</v>
          </cell>
          <cell r="L11">
            <v>4276.9334780000008</v>
          </cell>
          <cell r="M11">
            <v>4405.2414823400013</v>
          </cell>
          <cell r="N11">
            <v>4537.3987268102019</v>
          </cell>
          <cell r="O11">
            <v>4673.5206886145079</v>
          </cell>
          <cell r="P11">
            <v>1.2750949538795442E-2</v>
          </cell>
          <cell r="Q11">
            <v>2.5526315789473685E-2</v>
          </cell>
          <cell r="R11">
            <v>2.602197240674502E-2</v>
          </cell>
          <cell r="S11">
            <v>2.6527253424351725E-2</v>
          </cell>
          <cell r="T11">
            <v>2.7042345723853698E-2</v>
          </cell>
          <cell r="U11">
            <v>2.7567439815579006E-2</v>
          </cell>
          <cell r="V11">
            <v>2.8102729909085394E-2</v>
          </cell>
          <cell r="W11">
            <v>2.8648413984989969E-2</v>
          </cell>
          <cell r="X11">
            <v>2.9204693868193653E-2</v>
          </cell>
          <cell r="Y11">
            <v>0</v>
          </cell>
          <cell r="Z11">
            <v>3.0000000000000027E-2</v>
          </cell>
          <cell r="AA11" t="str">
            <v>Non focus</v>
          </cell>
          <cell r="AB11">
            <v>47</v>
          </cell>
          <cell r="AC11">
            <v>97</v>
          </cell>
          <cell r="AD11">
            <v>101.85000000000001</v>
          </cell>
          <cell r="AE11">
            <v>106.94250000000002</v>
          </cell>
          <cell r="AF11">
            <v>112.28962500000003</v>
          </cell>
          <cell r="AG11">
            <v>117.90410625000003</v>
          </cell>
          <cell r="AH11">
            <v>123.79931156250004</v>
          </cell>
          <cell r="AI11">
            <v>129.98927714062506</v>
          </cell>
          <cell r="AJ11">
            <v>136.48874099765629</v>
          </cell>
          <cell r="AK11">
            <v>0</v>
          </cell>
          <cell r="AL11">
            <v>1.0638297872340425</v>
          </cell>
          <cell r="AM11">
            <v>5.0000000000000044E-2</v>
          </cell>
          <cell r="AN11">
            <v>5.0000000000000044E-2</v>
          </cell>
          <cell r="AO11">
            <v>5.0000000000000044E-2</v>
          </cell>
          <cell r="AP11">
            <v>5.0000000000000044E-2</v>
          </cell>
          <cell r="AQ11">
            <v>5.0000000000000044E-2</v>
          </cell>
          <cell r="AR11">
            <v>5.0000000000000266E-2</v>
          </cell>
          <cell r="AS11">
            <v>4.9999999999999822E-2</v>
          </cell>
          <cell r="AT11">
            <v>0.47208059446340944</v>
          </cell>
          <cell r="AU11">
            <v>5.0000000000000044E-2</v>
          </cell>
        </row>
        <row r="12">
          <cell r="B12" t="str">
            <v>VolumeIndustrialOther</v>
          </cell>
          <cell r="C12" t="str">
            <v>Volume</v>
          </cell>
          <cell r="D12" t="str">
            <v>Industrial</v>
          </cell>
          <cell r="E12" t="str">
            <v>Off-road (inc Agri, Other)</v>
          </cell>
          <cell r="F12" t="str">
            <v>Other</v>
          </cell>
          <cell r="G12">
            <v>30576.470588235294</v>
          </cell>
          <cell r="H12">
            <v>25990</v>
          </cell>
          <cell r="I12">
            <v>26327.87</v>
          </cell>
          <cell r="J12">
            <v>26670.132309999997</v>
          </cell>
          <cell r="K12">
            <v>27016.844030029995</v>
          </cell>
          <cell r="L12">
            <v>27368.063002420382</v>
          </cell>
          <cell r="M12">
            <v>27723.847821451844</v>
          </cell>
          <cell r="N12">
            <v>28805.077886488463</v>
          </cell>
          <cell r="O12">
            <v>29928.475924061509</v>
          </cell>
          <cell r="P12">
            <v>0.36302424009234319</v>
          </cell>
          <cell r="Q12">
            <v>0.34628703347441325</v>
          </cell>
          <cell r="R12">
            <v>0.3733686014098368</v>
          </cell>
          <cell r="S12">
            <v>0.3759486411036857</v>
          </cell>
          <cell r="T12">
            <v>0.37854650930479711</v>
          </cell>
          <cell r="U12">
            <v>0.38116232921114812</v>
          </cell>
          <cell r="V12">
            <v>0.38379622487203469</v>
          </cell>
          <cell r="W12">
            <v>0.38785951502948651</v>
          </cell>
          <cell r="X12">
            <v>0.39196582365828769</v>
          </cell>
          <cell r="Y12">
            <v>0</v>
          </cell>
          <cell r="Z12">
            <v>2.3320999248533258E-2</v>
          </cell>
          <cell r="AA12" t="str">
            <v>Non focus</v>
          </cell>
          <cell r="AB12">
            <v>11100</v>
          </cell>
          <cell r="AC12">
            <v>9000</v>
          </cell>
          <cell r="AD12">
            <v>9830</v>
          </cell>
          <cell r="AE12">
            <v>10026.6</v>
          </cell>
          <cell r="AF12">
            <v>10227.132000000001</v>
          </cell>
          <cell r="AG12">
            <v>10431.674640000001</v>
          </cell>
          <cell r="AH12">
            <v>10640.308132800001</v>
          </cell>
          <cell r="AI12">
            <v>11172.323539440002</v>
          </cell>
          <cell r="AJ12">
            <v>11730.939716412002</v>
          </cell>
          <cell r="AK12">
            <v>0</v>
          </cell>
          <cell r="AL12">
            <v>-0.18918918918918914</v>
          </cell>
          <cell r="AM12">
            <v>9.2222222222222205E-2</v>
          </cell>
          <cell r="AN12">
            <v>2.0000000000000018E-2</v>
          </cell>
          <cell r="AO12">
            <v>2.0000000000000018E-2</v>
          </cell>
          <cell r="AP12">
            <v>2.0000000000000018E-2</v>
          </cell>
          <cell r="AQ12">
            <v>2.0000000000000018E-2</v>
          </cell>
          <cell r="AR12">
            <v>5.0000000000000044E-2</v>
          </cell>
          <cell r="AS12">
            <v>5.0000000000000044E-2</v>
          </cell>
          <cell r="AT12">
            <v>-5.8944430128812453E-2</v>
          </cell>
          <cell r="AU12">
            <v>3.189574745181134E-2</v>
          </cell>
        </row>
        <row r="13">
          <cell r="B13" t="str">
            <v>VolumePCORetail</v>
          </cell>
          <cell r="C13" t="str">
            <v>Volume</v>
          </cell>
          <cell r="D13" t="str">
            <v>PCO</v>
          </cell>
          <cell r="E13" t="str">
            <v>Retail</v>
          </cell>
          <cell r="F13" t="str">
            <v>Retail</v>
          </cell>
          <cell r="G13">
            <v>2959.1947116820706</v>
          </cell>
          <cell r="H13">
            <v>2988.6909667066357</v>
          </cell>
          <cell r="I13">
            <v>3059.8252232929694</v>
          </cell>
          <cell r="J13">
            <v>3104.3837291880632</v>
          </cell>
          <cell r="K13">
            <v>3070.127544555809</v>
          </cell>
          <cell r="L13">
            <v>3126.0540600927534</v>
          </cell>
          <cell r="M13">
            <v>3207.3941643748517</v>
          </cell>
          <cell r="N13">
            <v>3436.0278324641445</v>
          </cell>
          <cell r="O13">
            <v>3798.8905473365594</v>
          </cell>
          <cell r="P13">
            <v>0.11873613127446822</v>
          </cell>
          <cell r="Q13">
            <v>0.13784577999905234</v>
          </cell>
          <cell r="R13">
            <v>0.16077765339680017</v>
          </cell>
          <cell r="S13">
            <v>0.16243169375114672</v>
          </cell>
          <cell r="T13">
            <v>0.16835019306663229</v>
          </cell>
          <cell r="U13">
            <v>0.16947179057135883</v>
          </cell>
          <cell r="V13">
            <v>0.16930330375134744</v>
          </cell>
          <cell r="W13">
            <v>0.16198878947200707</v>
          </cell>
          <cell r="X13">
            <v>0.15017883031726412</v>
          </cell>
          <cell r="Y13">
            <v>0</v>
          </cell>
          <cell r="Z13">
            <v>4.120507553138153E-2</v>
          </cell>
          <cell r="AA13" t="str">
            <v>Non focus</v>
          </cell>
          <cell r="AB13">
            <v>351.3633317529945</v>
          </cell>
          <cell r="AC13">
            <v>411.97843748179798</v>
          </cell>
          <cell r="AD13">
            <v>491.9515192053837</v>
          </cell>
          <cell r="AE13">
            <v>504.25750812725897</v>
          </cell>
          <cell r="AF13">
            <v>496.76742172640593</v>
          </cell>
          <cell r="AG13">
            <v>513.8377107429784</v>
          </cell>
          <cell r="AH13">
            <v>523.24904599576655</v>
          </cell>
          <cell r="AI13">
            <v>554.89724763977392</v>
          </cell>
          <cell r="AJ13">
            <v>563.48168765635091</v>
          </cell>
          <cell r="AK13">
            <v>0</v>
          </cell>
          <cell r="AL13">
            <v>0.17251403391010478</v>
          </cell>
          <cell r="AM13">
            <v>0.19411958114220251</v>
          </cell>
          <cell r="AN13">
            <v>2.5014637502801751E-2</v>
          </cell>
          <cell r="AO13">
            <v>-1.4853693361295051E-2</v>
          </cell>
          <cell r="AP13">
            <v>3.4362738517047742E-2</v>
          </cell>
          <cell r="AQ13">
            <v>1.8315773747278996E-2</v>
          </cell>
          <cell r="AR13">
            <v>6.0484012128066977E-2</v>
          </cell>
          <cell r="AS13">
            <v>1.5470323655578433E-2</v>
          </cell>
          <cell r="AT13">
            <v>0.18326749598562397</v>
          </cell>
          <cell r="AU13">
            <v>2.2458021992884936E-2</v>
          </cell>
        </row>
        <row r="14">
          <cell r="B14" t="str">
            <v>VolumePCOIndependent WS</v>
          </cell>
          <cell r="C14" t="str">
            <v>Volume</v>
          </cell>
          <cell r="D14" t="str">
            <v>PCO</v>
          </cell>
          <cell r="E14" t="str">
            <v>Other WS</v>
          </cell>
          <cell r="F14" t="str">
            <v>Independent WS</v>
          </cell>
          <cell r="G14">
            <v>5495.6473216952745</v>
          </cell>
          <cell r="H14">
            <v>5801.5765824305272</v>
          </cell>
          <cell r="I14">
            <v>5939.6607275687038</v>
          </cell>
          <cell r="J14">
            <v>6302.839692593946</v>
          </cell>
          <cell r="K14">
            <v>6524.0210321810937</v>
          </cell>
          <cell r="L14">
            <v>6957.9912950451599</v>
          </cell>
          <cell r="M14">
            <v>7483.9197168746532</v>
          </cell>
          <cell r="N14">
            <v>8017.3982757496697</v>
          </cell>
          <cell r="O14">
            <v>8864.0779437853053</v>
          </cell>
          <cell r="P14">
            <v>0.31881439381282495</v>
          </cell>
          <cell r="Q14">
            <v>0.36046945290973503</v>
          </cell>
          <cell r="R14">
            <v>0.40974545053142314</v>
          </cell>
          <cell r="S14">
            <v>0.42</v>
          </cell>
          <cell r="T14">
            <v>0.47</v>
          </cell>
          <cell r="U14">
            <v>0.5</v>
          </cell>
          <cell r="V14">
            <v>0.55000000000000004</v>
          </cell>
          <cell r="W14">
            <v>0.57999999999999996</v>
          </cell>
          <cell r="X14">
            <v>0.62</v>
          </cell>
          <cell r="Y14">
            <v>0</v>
          </cell>
          <cell r="Z14">
            <v>7.0580826085186787E-2</v>
          </cell>
          <cell r="AA14" t="str">
            <v>Focus</v>
          </cell>
          <cell r="AB14">
            <v>1752.091469475354</v>
          </cell>
          <cell r="AC14">
            <v>2091.2911366826625</v>
          </cell>
          <cell r="AD14">
            <v>2433.7489608214391</v>
          </cell>
          <cell r="AE14">
            <v>2596.8472249191268</v>
          </cell>
          <cell r="AF14">
            <v>2947.1095542662974</v>
          </cell>
          <cell r="AG14">
            <v>3441.8039531941877</v>
          </cell>
          <cell r="AH14">
            <v>3894.1579009170323</v>
          </cell>
          <cell r="AI14">
            <v>4515.9886713324131</v>
          </cell>
          <cell r="AJ14">
            <v>5077.8032364299061</v>
          </cell>
          <cell r="AK14">
            <v>0</v>
          </cell>
          <cell r="AL14">
            <v>0.19359700855622486</v>
          </cell>
          <cell r="AM14">
            <v>0.16375425598656945</v>
          </cell>
          <cell r="AN14">
            <v>6.7015237283404305E-2</v>
          </cell>
          <cell r="AO14">
            <v>0.13487983659034031</v>
          </cell>
          <cell r="AP14">
            <v>0.16785748538318179</v>
          </cell>
          <cell r="AQ14">
            <v>0.13142931842559902</v>
          </cell>
          <cell r="AR14">
            <v>0.15968298827044136</v>
          </cell>
          <cell r="AS14">
            <v>0.12440566307526479</v>
          </cell>
          <cell r="AT14">
            <v>0.17858118033512849</v>
          </cell>
          <cell r="AU14">
            <v>0.14352560518670265</v>
          </cell>
        </row>
        <row r="15">
          <cell r="B15" t="str">
            <v>VolumePCOCar fleet (taxi)</v>
          </cell>
          <cell r="C15" t="str">
            <v>Volume</v>
          </cell>
          <cell r="D15" t="str">
            <v>PCO</v>
          </cell>
          <cell r="E15" t="str">
            <v>On road transport (taxi)</v>
          </cell>
          <cell r="F15" t="str">
            <v>Car fleet (taxi)</v>
          </cell>
          <cell r="G15">
            <v>2096.84</v>
          </cell>
          <cell r="H15">
            <v>2209.4320000000002</v>
          </cell>
          <cell r="I15">
            <v>2233.8031831999997</v>
          </cell>
          <cell r="J15">
            <v>1833.5526382843605</v>
          </cell>
          <cell r="K15">
            <v>1821.9583403022846</v>
          </cell>
          <cell r="L15">
            <v>1771.6852209582264</v>
          </cell>
          <cell r="M15">
            <v>1734.7249817970587</v>
          </cell>
          <cell r="N15">
            <v>1692.063768211885</v>
          </cell>
          <cell r="O15">
            <v>1661.4665233207309</v>
          </cell>
          <cell r="P15">
            <v>9.6371705602697005E-2</v>
          </cell>
          <cell r="Q15">
            <v>0.1010168610048115</v>
          </cell>
          <cell r="R15">
            <v>0.1119870765095009</v>
          </cell>
          <cell r="S15">
            <v>0.13779733048757054</v>
          </cell>
          <cell r="T15">
            <v>0.14006096616365493</v>
          </cell>
          <cell r="U15">
            <v>0.14547567189604665</v>
          </cell>
          <cell r="V15">
            <v>0.15006094430979916</v>
          </cell>
          <cell r="W15">
            <v>0.15538280442761962</v>
          </cell>
          <cell r="X15">
            <v>0.15982674702355007</v>
          </cell>
          <cell r="Y15">
            <v>0</v>
          </cell>
          <cell r="Z15">
            <v>-1.9517960718483995E-2</v>
          </cell>
          <cell r="AA15" t="str">
            <v>Non focus</v>
          </cell>
          <cell r="AB15">
            <v>202.07604717595919</v>
          </cell>
          <cell r="AC15">
            <v>223.18988524358269</v>
          </cell>
          <cell r="AD15">
            <v>250.15708798418504</v>
          </cell>
          <cell r="AE15">
            <v>252.66226695361425</v>
          </cell>
          <cell r="AF15">
            <v>245.26672400729635</v>
          </cell>
          <cell r="AG15">
            <v>249.98215406283407</v>
          </cell>
          <cell r="AH15">
            <v>250.83549106720139</v>
          </cell>
          <cell r="AI15">
            <v>262.11424217616604</v>
          </cell>
          <cell r="AJ15">
            <v>262.2740748104797</v>
          </cell>
          <cell r="AK15">
            <v>0</v>
          </cell>
          <cell r="AL15">
            <v>0.10448461538461551</v>
          </cell>
          <cell r="AM15">
            <v>0.12082627629460507</v>
          </cell>
          <cell r="AN15">
            <v>1.0014423295443775E-2</v>
          </cell>
          <cell r="AO15">
            <v>-2.9270468580398057E-2</v>
          </cell>
          <cell r="AP15">
            <v>1.9225722831432535E-2</v>
          </cell>
          <cell r="AQ15">
            <v>3.4135916924407095E-3</v>
          </cell>
          <cell r="AR15">
            <v>4.4964733901802445E-2</v>
          </cell>
          <cell r="AS15">
            <v>6.0978233378961022E-4</v>
          </cell>
          <cell r="AT15">
            <v>0.11262544402247854</v>
          </cell>
          <cell r="AU15">
            <v>7.4952216710379993E-3</v>
          </cell>
        </row>
        <row r="16">
          <cell r="B16" t="str">
            <v>VolumeOEMToyota</v>
          </cell>
          <cell r="C16" t="str">
            <v>Volume</v>
          </cell>
          <cell r="D16" t="str">
            <v>OEM</v>
          </cell>
          <cell r="E16" t="str">
            <v>OEM Auth W/S</v>
          </cell>
          <cell r="F16" t="str">
            <v>Toyota</v>
          </cell>
          <cell r="G16">
            <v>1146.8636363636365</v>
          </cell>
          <cell r="H16">
            <v>1104.967622727273</v>
          </cell>
          <cell r="I16">
            <v>1700</v>
          </cell>
          <cell r="J16">
            <v>1392.5766255090803</v>
          </cell>
          <cell r="K16">
            <v>1831.9862108935413</v>
          </cell>
          <cell r="L16">
            <v>2019.4343596718268</v>
          </cell>
          <cell r="M16">
            <v>2296.1128723995612</v>
          </cell>
          <cell r="N16">
            <v>2569.0523977248067</v>
          </cell>
          <cell r="O16">
            <v>2842.3774210012207</v>
          </cell>
          <cell r="P16">
            <v>0</v>
          </cell>
          <cell r="Q16">
            <v>0</v>
          </cell>
          <cell r="R16">
            <v>0</v>
          </cell>
          <cell r="S16">
            <v>0</v>
          </cell>
          <cell r="T16">
            <v>0</v>
          </cell>
          <cell r="U16">
            <v>0</v>
          </cell>
          <cell r="V16">
            <v>0</v>
          </cell>
          <cell r="W16">
            <v>0</v>
          </cell>
          <cell r="X16">
            <v>0</v>
          </cell>
          <cell r="Y16">
            <v>0</v>
          </cell>
          <cell r="Z16">
            <v>0.15338029835638189</v>
          </cell>
          <cell r="AA16" t="str">
            <v>Non focus</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t="e">
            <v>#DIV/0!</v>
          </cell>
          <cell r="AU16" t="e">
            <v>#DIV/0!</v>
          </cell>
        </row>
        <row r="17">
          <cell r="B17" t="str">
            <v>VolumeOEMWestern OEM</v>
          </cell>
          <cell r="C17" t="str">
            <v>Volume</v>
          </cell>
          <cell r="D17" t="str">
            <v>OEM</v>
          </cell>
          <cell r="E17" t="str">
            <v>OEM Auth W/S</v>
          </cell>
          <cell r="F17" t="str">
            <v>Western OEM</v>
          </cell>
          <cell r="G17">
            <v>500</v>
          </cell>
          <cell r="H17">
            <v>560</v>
          </cell>
          <cell r="I17">
            <v>610</v>
          </cell>
          <cell r="J17">
            <v>658.80000000000007</v>
          </cell>
          <cell r="K17">
            <v>744.44399999999996</v>
          </cell>
          <cell r="L17">
            <v>878.44391999999993</v>
          </cell>
          <cell r="M17">
            <v>1071.7015824</v>
          </cell>
          <cell r="N17">
            <v>1350.3439938240001</v>
          </cell>
          <cell r="O17">
            <v>1755.4471919712003</v>
          </cell>
          <cell r="P17">
            <v>0.96799999999999997</v>
          </cell>
          <cell r="Q17">
            <v>0.81820535714285714</v>
          </cell>
          <cell r="R17">
            <v>0.84801967213114759</v>
          </cell>
          <cell r="S17">
            <v>0.86372374013357633</v>
          </cell>
          <cell r="T17">
            <v>0.84079302136896827</v>
          </cell>
          <cell r="U17">
            <v>0.78379010466598742</v>
          </cell>
          <cell r="V17">
            <v>0.70669599601031663</v>
          </cell>
          <cell r="W17">
            <v>0.61695682191376844</v>
          </cell>
          <cell r="X17">
            <v>0.52204038777318873</v>
          </cell>
          <cell r="Y17">
            <v>0</v>
          </cell>
          <cell r="Z17">
            <v>0.21654123984723062</v>
          </cell>
          <cell r="AA17" t="str">
            <v>Non focus</v>
          </cell>
          <cell r="AB17">
            <v>484</v>
          </cell>
          <cell r="AC17">
            <v>458.19499999999999</v>
          </cell>
          <cell r="AD17">
            <v>517.29200000000003</v>
          </cell>
          <cell r="AE17">
            <v>569.02120000000014</v>
          </cell>
          <cell r="AF17">
            <v>625.92332000000022</v>
          </cell>
          <cell r="AG17">
            <v>688.51565200000027</v>
          </cell>
          <cell r="AH17">
            <v>757.36721720000037</v>
          </cell>
          <cell r="AI17">
            <v>833.10393892000047</v>
          </cell>
          <cell r="AJ17">
            <v>916.41433281200057</v>
          </cell>
          <cell r="AK17">
            <v>0</v>
          </cell>
          <cell r="AL17">
            <v>-5.3316115702479405E-2</v>
          </cell>
          <cell r="AM17">
            <v>0.12897783694715148</v>
          </cell>
          <cell r="AN17">
            <v>0.10000000000000009</v>
          </cell>
          <cell r="AO17">
            <v>0.10000000000000009</v>
          </cell>
          <cell r="AP17">
            <v>0.10000000000000009</v>
          </cell>
          <cell r="AQ17">
            <v>0.10000000000000009</v>
          </cell>
          <cell r="AR17">
            <v>0.10000000000000009</v>
          </cell>
          <cell r="AS17">
            <v>0.10000000000000009</v>
          </cell>
          <cell r="AT17">
            <v>3.3820644003079492E-2</v>
          </cell>
          <cell r="AU17">
            <v>0.10000000000000009</v>
          </cell>
        </row>
        <row r="18">
          <cell r="B18" t="str">
            <v>VolumeOEMOther OEMs</v>
          </cell>
          <cell r="C18" t="str">
            <v>Volume</v>
          </cell>
          <cell r="D18" t="str">
            <v>OEM</v>
          </cell>
          <cell r="E18" t="str">
            <v>OEM Auth W/S</v>
          </cell>
          <cell r="F18" t="str">
            <v>Other OEMs</v>
          </cell>
          <cell r="G18">
            <v>1100</v>
          </cell>
          <cell r="H18">
            <v>1265</v>
          </cell>
          <cell r="I18">
            <v>1190</v>
          </cell>
          <cell r="J18">
            <v>1285.1999999999998</v>
          </cell>
          <cell r="K18">
            <v>1413.7200000000003</v>
          </cell>
          <cell r="L18">
            <v>1611.6408000000001</v>
          </cell>
          <cell r="M18">
            <v>1966.2017760000003</v>
          </cell>
          <cell r="N18">
            <v>2516.7382732800006</v>
          </cell>
          <cell r="O18">
            <v>3372.4292861952008</v>
          </cell>
          <cell r="P18">
            <v>0.1</v>
          </cell>
          <cell r="Q18">
            <v>9.4861660079051377E-2</v>
          </cell>
          <cell r="R18">
            <v>0.1092436974789916</v>
          </cell>
          <cell r="S18">
            <v>0.10317460317460318</v>
          </cell>
          <cell r="T18">
            <v>9.5670995670995657E-2</v>
          </cell>
          <cell r="U18">
            <v>8.5600364547732968E-2</v>
          </cell>
          <cell r="V18">
            <v>7.1567517900563621E-2</v>
          </cell>
          <cell r="W18">
            <v>5.7030365827011632E-2</v>
          </cell>
          <cell r="X18">
            <v>4.3411173987725274E-2</v>
          </cell>
          <cell r="Y18">
            <v>0</v>
          </cell>
          <cell r="Z18">
            <v>0.21281462968722997</v>
          </cell>
          <cell r="AA18" t="str">
            <v>Non focus</v>
          </cell>
          <cell r="AB18">
            <v>110</v>
          </cell>
          <cell r="AC18">
            <v>120</v>
          </cell>
          <cell r="AD18">
            <v>130</v>
          </cell>
          <cell r="AE18">
            <v>132.6</v>
          </cell>
          <cell r="AF18">
            <v>135.25200000000001</v>
          </cell>
          <cell r="AG18">
            <v>137.95704000000001</v>
          </cell>
          <cell r="AH18">
            <v>140.71618080000002</v>
          </cell>
          <cell r="AI18">
            <v>143.53050441600001</v>
          </cell>
          <cell r="AJ18">
            <v>146.40111450432002</v>
          </cell>
          <cell r="AK18">
            <v>0</v>
          </cell>
          <cell r="AL18">
            <v>9.0909090909090828E-2</v>
          </cell>
          <cell r="AM18">
            <v>8.3333333333333259E-2</v>
          </cell>
          <cell r="AN18">
            <v>2.0000000000000018E-2</v>
          </cell>
          <cell r="AO18">
            <v>2.0000000000000018E-2</v>
          </cell>
          <cell r="AP18">
            <v>2.0000000000000018E-2</v>
          </cell>
          <cell r="AQ18">
            <v>2.0000000000000018E-2</v>
          </cell>
          <cell r="AR18">
            <v>2.0000000000000018E-2</v>
          </cell>
          <cell r="AS18">
            <v>2.0000000000000018E-2</v>
          </cell>
          <cell r="AT18">
            <v>8.7114613009217967E-2</v>
          </cell>
          <cell r="AU18">
            <v>2.0000000000000018E-2</v>
          </cell>
        </row>
        <row r="19">
          <cell r="B19" t="str">
            <v>VolumeOEMOEM FF</v>
          </cell>
          <cell r="C19" t="str">
            <v>Volume</v>
          </cell>
          <cell r="D19" t="str">
            <v>OEM</v>
          </cell>
          <cell r="E19" t="str">
            <v>OEM FF</v>
          </cell>
          <cell r="F19" t="str">
            <v>OEM FF</v>
          </cell>
          <cell r="G19">
            <v>16</v>
          </cell>
          <cell r="H19">
            <v>14</v>
          </cell>
          <cell r="I19">
            <v>17.600000000000001</v>
          </cell>
          <cell r="J19">
            <v>20.768000000000001</v>
          </cell>
          <cell r="K19">
            <v>24.921599999999998</v>
          </cell>
          <cell r="L19">
            <v>29.905919999999995</v>
          </cell>
          <cell r="M19">
            <v>37.38239999999999</v>
          </cell>
          <cell r="N19">
            <v>46.727999999999987</v>
          </cell>
          <cell r="O19">
            <v>60.746399999999987</v>
          </cell>
          <cell r="P19">
            <v>0</v>
          </cell>
          <cell r="Q19">
            <v>0</v>
          </cell>
          <cell r="R19">
            <v>0</v>
          </cell>
          <cell r="S19">
            <v>0</v>
          </cell>
          <cell r="T19">
            <v>0</v>
          </cell>
          <cell r="U19">
            <v>0</v>
          </cell>
          <cell r="V19">
            <v>0</v>
          </cell>
          <cell r="W19">
            <v>0</v>
          </cell>
          <cell r="X19">
            <v>0</v>
          </cell>
          <cell r="Y19">
            <v>0</v>
          </cell>
          <cell r="Z19">
            <v>0.23943904740503696</v>
          </cell>
          <cell r="AA19" t="str">
            <v>Non focus</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t="e">
            <v>#DIV/0!</v>
          </cell>
          <cell r="AU19" t="e">
            <v>#DIV/0!</v>
          </cell>
        </row>
        <row r="20">
          <cell r="B20" t="str">
            <v>VolumeCVOGarage-Washing Shop</v>
          </cell>
          <cell r="C20" t="str">
            <v>Volume</v>
          </cell>
          <cell r="D20" t="str">
            <v>CVO</v>
          </cell>
          <cell r="E20" t="str">
            <v>Other WS</v>
          </cell>
          <cell r="F20" t="str">
            <v>Garage-Washing Shop</v>
          </cell>
          <cell r="G20">
            <v>13552.478419510189</v>
          </cell>
          <cell r="H20">
            <v>13151.549550978207</v>
          </cell>
          <cell r="I20">
            <v>12729.611625525642</v>
          </cell>
          <cell r="J20">
            <v>13842.339584848258</v>
          </cell>
          <cell r="K20">
            <v>15052.333945368493</v>
          </cell>
          <cell r="L20">
            <v>16368.097012364717</v>
          </cell>
          <cell r="M20">
            <v>17798.874299398492</v>
          </cell>
          <cell r="N20">
            <v>19354.719494054352</v>
          </cell>
          <cell r="O20">
            <v>21046.565102501299</v>
          </cell>
          <cell r="P20">
            <v>0.128</v>
          </cell>
          <cell r="Q20">
            <v>0.12291906355449049</v>
          </cell>
          <cell r="R20">
            <v>0.14203714774527754</v>
          </cell>
          <cell r="S20">
            <v>0.15</v>
          </cell>
          <cell r="T20">
            <v>0.18</v>
          </cell>
          <cell r="U20">
            <v>0.23</v>
          </cell>
          <cell r="V20">
            <v>0.26</v>
          </cell>
          <cell r="W20">
            <v>0.28000000000000003</v>
          </cell>
          <cell r="X20">
            <v>0.3</v>
          </cell>
          <cell r="Y20">
            <v>0</v>
          </cell>
          <cell r="Z20">
            <v>8.7412561518479759E-2</v>
          </cell>
          <cell r="AA20" t="str">
            <v>Focus</v>
          </cell>
          <cell r="AB20">
            <v>1734.7172376973042</v>
          </cell>
          <cell r="AC20">
            <v>1616.5761550967211</v>
          </cell>
          <cell r="AD20">
            <v>1808.0777271947882</v>
          </cell>
          <cell r="AE20">
            <v>2073.2921758614598</v>
          </cell>
          <cell r="AF20">
            <v>2691.8448047021016</v>
          </cell>
          <cell r="AG20">
            <v>3220.8306081842384</v>
          </cell>
          <cell r="AH20">
            <v>3886.7697676558723</v>
          </cell>
          <cell r="AI20">
            <v>4426.4795061099549</v>
          </cell>
          <cell r="AJ20">
            <v>5027.091683274537</v>
          </cell>
          <cell r="AK20">
            <v>0</v>
          </cell>
          <cell r="AL20">
            <v>-6.8103942264046258E-2</v>
          </cell>
          <cell r="AM20">
            <v>0.11846121291242806</v>
          </cell>
          <cell r="AN20">
            <v>0.14668310143842578</v>
          </cell>
          <cell r="AO20">
            <v>0.29834320316365015</v>
          </cell>
          <cell r="AP20">
            <v>0.19651422792209527</v>
          </cell>
          <cell r="AQ20">
            <v>0.20676006921303469</v>
          </cell>
          <cell r="AR20">
            <v>0.13885817033602788</v>
          </cell>
          <cell r="AS20">
            <v>0.1356861985547535</v>
          </cell>
          <cell r="AT20">
            <v>2.0925851883311308E-2</v>
          </cell>
          <cell r="AU20">
            <v>0.19379913376365576</v>
          </cell>
        </row>
        <row r="21">
          <cell r="B21" t="str">
            <v>VolumeCVONational Petrol Station</v>
          </cell>
          <cell r="C21" t="str">
            <v>Volume</v>
          </cell>
          <cell r="D21" t="str">
            <v>CVO</v>
          </cell>
          <cell r="E21" t="str">
            <v>Retail</v>
          </cell>
          <cell r="F21" t="str">
            <v>National Petrol Station</v>
          </cell>
          <cell r="G21">
            <v>9421.4855932321643</v>
          </cell>
          <cell r="H21">
            <v>9142.7656837175273</v>
          </cell>
          <cell r="I21">
            <v>8849.440583847474</v>
          </cell>
          <cell r="J21">
            <v>8957.3421819314044</v>
          </cell>
          <cell r="K21">
            <v>9066.5594287005533</v>
          </cell>
          <cell r="L21">
            <v>9177.1083659142059</v>
          </cell>
          <cell r="M21">
            <v>9289.0052309294879</v>
          </cell>
          <cell r="N21">
            <v>9402.2664590862969</v>
          </cell>
          <cell r="O21">
            <v>9516.9086861213091</v>
          </cell>
          <cell r="P21">
            <v>0</v>
          </cell>
          <cell r="Q21">
            <v>0</v>
          </cell>
          <cell r="R21">
            <v>0</v>
          </cell>
          <cell r="S21">
            <v>0</v>
          </cell>
          <cell r="T21">
            <v>0</v>
          </cell>
          <cell r="U21">
            <v>0</v>
          </cell>
          <cell r="V21">
            <v>0</v>
          </cell>
          <cell r="W21">
            <v>0</v>
          </cell>
          <cell r="X21">
            <v>0</v>
          </cell>
          <cell r="Y21">
            <v>0</v>
          </cell>
          <cell r="Z21">
            <v>1.2193041702644569E-2</v>
          </cell>
          <cell r="AA21" t="str">
            <v>Non focus</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t="e">
            <v>#DIV/0!</v>
          </cell>
          <cell r="AU21" t="e">
            <v>#DIV/0!</v>
          </cell>
        </row>
        <row r="22">
          <cell r="B22" t="str">
            <v>VolumeCVOPetrol Station</v>
          </cell>
          <cell r="C22" t="str">
            <v>Volume</v>
          </cell>
          <cell r="D22" t="str">
            <v>CVO</v>
          </cell>
          <cell r="E22" t="str">
            <v>Retail</v>
          </cell>
          <cell r="F22" t="str">
            <v>Petrol Station</v>
          </cell>
          <cell r="G22">
            <v>21355.367344659575</v>
          </cell>
          <cell r="H22">
            <v>20723.602216426407</v>
          </cell>
          <cell r="I22">
            <v>20058.731990054283</v>
          </cell>
          <cell r="J22">
            <v>20090.712291010288</v>
          </cell>
          <cell r="K22">
            <v>20122.743579219612</v>
          </cell>
          <cell r="L22">
            <v>20154.825935972924</v>
          </cell>
          <cell r="M22">
            <v>20186.959442690491</v>
          </cell>
          <cell r="N22">
            <v>20219.144180922402</v>
          </cell>
          <cell r="O22">
            <v>20251.380232348762</v>
          </cell>
          <cell r="P22">
            <v>0.30467044083088363</v>
          </cell>
          <cell r="Q22">
            <v>0.29097732764491019</v>
          </cell>
          <cell r="R22">
            <v>0.33467044083088354</v>
          </cell>
          <cell r="S22">
            <v>0.33</v>
          </cell>
          <cell r="T22">
            <v>0.33</v>
          </cell>
          <cell r="U22">
            <v>0.33</v>
          </cell>
          <cell r="V22">
            <v>0.33</v>
          </cell>
          <cell r="W22">
            <v>0.33</v>
          </cell>
          <cell r="X22">
            <v>0.33</v>
          </cell>
          <cell r="Y22">
            <v>0</v>
          </cell>
          <cell r="Z22">
            <v>1.5943331299239638E-3</v>
          </cell>
          <cell r="AA22" t="str">
            <v>Focus</v>
          </cell>
          <cell r="AB22">
            <v>6506.3491830028897</v>
          </cell>
          <cell r="AC22">
            <v>6030.0983921118941</v>
          </cell>
          <cell r="AD22">
            <v>6713.0646776200128</v>
          </cell>
          <cell r="AE22">
            <v>7021.3905295365439</v>
          </cell>
          <cell r="AF22">
            <v>7197.1965220372776</v>
          </cell>
          <cell r="AG22">
            <v>7337.0330357959674</v>
          </cell>
          <cell r="AH22">
            <v>7614.2670828781193</v>
          </cell>
          <cell r="AI22">
            <v>7639.9427838153824</v>
          </cell>
          <cell r="AJ22">
            <v>7860.3805441988225</v>
          </cell>
          <cell r="AK22">
            <v>0</v>
          </cell>
          <cell r="AL22">
            <v>-7.3197852973392097E-2</v>
          </cell>
          <cell r="AM22">
            <v>0.11325955914774499</v>
          </cell>
          <cell r="AN22">
            <v>4.5929224091110887E-2</v>
          </cell>
          <cell r="AO22">
            <v>2.5038628995379009E-2</v>
          </cell>
          <cell r="AP22">
            <v>1.9429303247524343E-2</v>
          </cell>
          <cell r="AQ22">
            <v>3.7785579774491929E-2</v>
          </cell>
          <cell r="AR22">
            <v>3.3720515261408401E-3</v>
          </cell>
          <cell r="AS22">
            <v>2.8853326081239805E-2</v>
          </cell>
          <cell r="AT22">
            <v>1.5761462950837135E-2</v>
          </cell>
          <cell r="AU22">
            <v>2.2831486121378086E-2</v>
          </cell>
        </row>
        <row r="23">
          <cell r="B23" t="str">
            <v>VolumeCVOOil Shop &amp; SP</v>
          </cell>
          <cell r="C23" t="str">
            <v>Volume</v>
          </cell>
          <cell r="D23" t="str">
            <v>CVO</v>
          </cell>
          <cell r="E23" t="str">
            <v>Retail</v>
          </cell>
          <cell r="F23" t="str">
            <v>Oil Shop &amp; SP</v>
          </cell>
          <cell r="G23">
            <v>32996.182339431587</v>
          </cell>
          <cell r="H23">
            <v>30851.602750398208</v>
          </cell>
          <cell r="I23">
            <v>28767.911164110545</v>
          </cell>
          <cell r="J23">
            <v>29173.743048070581</v>
          </cell>
          <cell r="K23">
            <v>29585.300044191143</v>
          </cell>
          <cell r="L23">
            <v>30002.662917218782</v>
          </cell>
          <cell r="M23">
            <v>30425.913571256642</v>
          </cell>
          <cell r="N23">
            <v>30855.135065837483</v>
          </cell>
          <cell r="O23">
            <v>31290.411632223422</v>
          </cell>
          <cell r="P23">
            <v>0.20999999999999996</v>
          </cell>
          <cell r="Q23">
            <v>0.18444124478992815</v>
          </cell>
          <cell r="R23">
            <v>0.19600000000000001</v>
          </cell>
          <cell r="S23">
            <v>0.20680261423418114</v>
          </cell>
          <cell r="T23">
            <v>0.2054238283880378</v>
          </cell>
          <cell r="U23">
            <v>0.2040542351259271</v>
          </cell>
          <cell r="V23">
            <v>0.2026937731594326</v>
          </cell>
          <cell r="W23">
            <v>0.20134238160875739</v>
          </cell>
          <cell r="X23">
            <v>0.20000000000000004</v>
          </cell>
          <cell r="Y23">
            <v>0</v>
          </cell>
          <cell r="Z23">
            <v>1.4107102933018423E-2</v>
          </cell>
          <cell r="AA23" t="str">
            <v>Non focus</v>
          </cell>
          <cell r="AB23">
            <v>6929.1982912806325</v>
          </cell>
          <cell r="AC23">
            <v>5690.3080150478163</v>
          </cell>
          <cell r="AD23">
            <v>5638.5105881656673</v>
          </cell>
          <cell r="AE23">
            <v>6024.3185536182182</v>
          </cell>
          <cell r="AF23">
            <v>6038.1022669610247</v>
          </cell>
          <cell r="AG23">
            <v>6023.4472905564271</v>
          </cell>
          <cell r="AH23">
            <v>5738.1358700851797</v>
          </cell>
          <cell r="AI23">
            <v>5829.4125701006778</v>
          </cell>
          <cell r="AJ23">
            <v>5916.8316758054625</v>
          </cell>
          <cell r="AK23">
            <v>0</v>
          </cell>
          <cell r="AL23">
            <v>-0.17879272957042891</v>
          </cell>
          <cell r="AM23">
            <v>-9.1027457116860111E-3</v>
          </cell>
          <cell r="AN23">
            <v>6.8423736981588767E-2</v>
          </cell>
          <cell r="AO23">
            <v>2.2880120332495757E-3</v>
          </cell>
          <cell r="AP23">
            <v>-2.4270831722718045E-3</v>
          </cell>
          <cell r="AQ23">
            <v>-4.7366799559873218E-2</v>
          </cell>
          <cell r="AR23">
            <v>1.5907030102119801E-2</v>
          </cell>
          <cell r="AS23">
            <v>1.4996211822982275E-2</v>
          </cell>
          <cell r="AT23">
            <v>-9.7929033018874456E-2</v>
          </cell>
          <cell r="AU23">
            <v>-3.5941762526893184E-3</v>
          </cell>
        </row>
        <row r="24">
          <cell r="B24" t="str">
            <v>VolumeCVOOther Retails</v>
          </cell>
          <cell r="C24" t="str">
            <v>Volume</v>
          </cell>
          <cell r="D24" t="str">
            <v>CVO</v>
          </cell>
          <cell r="E24" t="str">
            <v>Retail</v>
          </cell>
          <cell r="F24" t="str">
            <v>Other Retails</v>
          </cell>
          <cell r="G24">
            <v>11622.795788599156</v>
          </cell>
          <cell r="H24">
            <v>11278.95356133592</v>
          </cell>
          <cell r="I24">
            <v>10917.093671860626</v>
          </cell>
          <cell r="J24">
            <v>10934.499155984155</v>
          </cell>
          <cell r="K24">
            <v>10951.932390247663</v>
          </cell>
          <cell r="L24">
            <v>10969.39341889412</v>
          </cell>
          <cell r="M24">
            <v>10986.882286237031</v>
          </cell>
          <cell r="N24">
            <v>11004.39903666055</v>
          </cell>
          <cell r="O24">
            <v>11021.943714619607</v>
          </cell>
          <cell r="P24">
            <v>0.31</v>
          </cell>
          <cell r="Q24">
            <v>0.2325393838346933</v>
          </cell>
          <cell r="R24">
            <v>0.20499999999999996</v>
          </cell>
          <cell r="S24">
            <v>0.21900083970577594</v>
          </cell>
          <cell r="T24">
            <v>0.21506147652378035</v>
          </cell>
          <cell r="U24">
            <v>0.2111929741763848</v>
          </cell>
          <cell r="V24">
            <v>0.20739405802663705</v>
          </cell>
          <cell r="W24">
            <v>0.20366347636561502</v>
          </cell>
          <cell r="X24">
            <v>0.19999999999999998</v>
          </cell>
          <cell r="Y24">
            <v>0</v>
          </cell>
          <cell r="Z24">
            <v>1.5943331299239638E-3</v>
          </cell>
          <cell r="AA24" t="str">
            <v>Non focus</v>
          </cell>
          <cell r="AB24">
            <v>3603.0666944657387</v>
          </cell>
          <cell r="AC24">
            <v>2622.8009114531746</v>
          </cell>
          <cell r="AD24">
            <v>2238.004202731428</v>
          </cell>
          <cell r="AE24">
            <v>2391.1368136628134</v>
          </cell>
          <cell r="AF24">
            <v>2340.0602791059564</v>
          </cell>
          <cell r="AG24">
            <v>2279.3015076560105</v>
          </cell>
          <cell r="AH24">
            <v>2261.7488602728454</v>
          </cell>
          <cell r="AI24">
            <v>2228.5543136805854</v>
          </cell>
          <cell r="AJ24">
            <v>2193.8782453507988</v>
          </cell>
          <cell r="AK24">
            <v>0</v>
          </cell>
          <cell r="AL24">
            <v>-0.27206429026646628</v>
          </cell>
          <cell r="AM24">
            <v>-0.14671213016642892</v>
          </cell>
          <cell r="AN24">
            <v>6.8423736981588767E-2</v>
          </cell>
          <cell r="AO24">
            <v>-2.1360774617750322E-2</v>
          </cell>
          <cell r="AP24">
            <v>-2.5964618088026081E-2</v>
          </cell>
          <cell r="AQ24">
            <v>-7.7008887697423978E-3</v>
          </cell>
          <cell r="AR24">
            <v>-1.4676495333020956E-2</v>
          </cell>
          <cell r="AS24">
            <v>-1.55598937467748E-2</v>
          </cell>
          <cell r="AT24">
            <v>-0.21187646200972043</v>
          </cell>
          <cell r="AU24">
            <v>-1.7072198106874437E-2</v>
          </cell>
        </row>
        <row r="25">
          <cell r="B25" t="str">
            <v>VolumeCVOOEM Auth. W/S</v>
          </cell>
          <cell r="C25" t="str">
            <v>Volume</v>
          </cell>
          <cell r="D25" t="str">
            <v>CVO</v>
          </cell>
          <cell r="E25" t="str">
            <v>OEM Auth W/S</v>
          </cell>
          <cell r="F25" t="str">
            <v>OEM Auth. W/S</v>
          </cell>
          <cell r="G25">
            <v>156.03934800422181</v>
          </cell>
          <cell r="H25">
            <v>197.44384641618552</v>
          </cell>
          <cell r="I25">
            <v>234.19364532181498</v>
          </cell>
          <cell r="J25">
            <v>252.1150155974012</v>
          </cell>
          <cell r="K25">
            <v>271.40779589614721</v>
          </cell>
          <cell r="L25">
            <v>292.17693162248923</v>
          </cell>
          <cell r="M25">
            <v>314.53539899420622</v>
          </cell>
          <cell r="N25">
            <v>338.60481959017721</v>
          </cell>
          <cell r="O25">
            <v>364.51612192562277</v>
          </cell>
          <cell r="P25">
            <v>0</v>
          </cell>
          <cell r="Q25">
            <v>0</v>
          </cell>
          <cell r="R25">
            <v>0</v>
          </cell>
          <cell r="S25">
            <v>0</v>
          </cell>
          <cell r="T25">
            <v>0</v>
          </cell>
          <cell r="U25">
            <v>0</v>
          </cell>
          <cell r="V25">
            <v>0</v>
          </cell>
          <cell r="W25">
            <v>0</v>
          </cell>
          <cell r="X25">
            <v>0</v>
          </cell>
          <cell r="Y25">
            <v>0</v>
          </cell>
          <cell r="Z25">
            <v>7.652372570126631E-2</v>
          </cell>
          <cell r="AA25" t="str">
            <v>Non focus</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t="e">
            <v>#DIV/0!</v>
          </cell>
          <cell r="AU25" t="e">
            <v>#DIV/0!</v>
          </cell>
        </row>
        <row r="26">
          <cell r="B26" t="str">
            <v>VolumeCVOOEM FF</v>
          </cell>
          <cell r="C26" t="str">
            <v>Volume</v>
          </cell>
          <cell r="D26" t="str">
            <v>CVO</v>
          </cell>
          <cell r="E26" t="str">
            <v>OEM FF</v>
          </cell>
          <cell r="F26" t="str">
            <v>OEM FF</v>
          </cell>
          <cell r="G26">
            <v>19.504918500527722</v>
          </cell>
          <cell r="H26">
            <v>50.304146668622394</v>
          </cell>
          <cell r="I26">
            <v>78.064548440605009</v>
          </cell>
          <cell r="J26">
            <v>84.77893139524582</v>
          </cell>
          <cell r="K26">
            <v>92.070822826680953</v>
          </cell>
          <cell r="L26">
            <v>99.989894617348824</v>
          </cell>
          <cell r="M26">
            <v>108.59009096083842</v>
          </cell>
          <cell r="N26">
            <v>117.92999582617037</v>
          </cell>
          <cell r="O26">
            <v>128.07323202792151</v>
          </cell>
          <cell r="P26">
            <v>0</v>
          </cell>
          <cell r="Q26">
            <v>0</v>
          </cell>
          <cell r="R26">
            <v>0</v>
          </cell>
          <cell r="S26">
            <v>0</v>
          </cell>
          <cell r="T26">
            <v>0</v>
          </cell>
          <cell r="U26">
            <v>0</v>
          </cell>
          <cell r="V26">
            <v>0</v>
          </cell>
          <cell r="W26">
            <v>0</v>
          </cell>
          <cell r="X26">
            <v>0</v>
          </cell>
          <cell r="Y26">
            <v>0</v>
          </cell>
          <cell r="Z26">
            <v>8.6010655140718706E-2</v>
          </cell>
          <cell r="AA26" t="str">
            <v>Non focus</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t="e">
            <v>#DIV/0!</v>
          </cell>
          <cell r="AU26" t="e">
            <v>#DIV/0!</v>
          </cell>
        </row>
        <row r="27">
          <cell r="B27" t="str">
            <v>VolumeCVOOn Road Transport (Fleet)</v>
          </cell>
          <cell r="C27" t="str">
            <v>Volume</v>
          </cell>
          <cell r="D27" t="str">
            <v>CVO</v>
          </cell>
          <cell r="E27" t="str">
            <v>On road transport (taxi)</v>
          </cell>
          <cell r="F27" t="str">
            <v>On Road Transport (Fleet)</v>
          </cell>
          <cell r="G27">
            <v>14873.052813964005</v>
          </cell>
          <cell r="H27">
            <v>13828.890641396492</v>
          </cell>
          <cell r="I27">
            <v>12819.604234148641</v>
          </cell>
          <cell r="J27">
            <v>14091.107649858597</v>
          </cell>
          <cell r="K27">
            <v>15488.724236196354</v>
          </cell>
          <cell r="L27">
            <v>17024.962439155286</v>
          </cell>
          <cell r="M27">
            <v>18713.571346133547</v>
          </cell>
          <cell r="N27">
            <v>20569.663738077888</v>
          </cell>
          <cell r="O27">
            <v>22609.85134646768</v>
          </cell>
          <cell r="P27">
            <v>0.19820622597778847</v>
          </cell>
          <cell r="Q27">
            <v>0.18003471759118619</v>
          </cell>
          <cell r="R27">
            <v>0.1982062259777885</v>
          </cell>
          <cell r="S27">
            <v>0.21</v>
          </cell>
          <cell r="T27">
            <v>0.23</v>
          </cell>
          <cell r="U27">
            <v>0.25</v>
          </cell>
          <cell r="V27">
            <v>0.27</v>
          </cell>
          <cell r="W27">
            <v>0.28999999999999998</v>
          </cell>
          <cell r="X27">
            <v>0.31</v>
          </cell>
          <cell r="Y27">
            <v>0</v>
          </cell>
          <cell r="Z27">
            <v>9.9184295590260652E-2</v>
          </cell>
          <cell r="AA27" t="str">
            <v>Focus</v>
          </cell>
          <cell r="AB27">
            <v>2947.9316670241324</v>
          </cell>
          <cell r="AC27">
            <v>2489.680421223215</v>
          </cell>
          <cell r="AD27">
            <v>2540.9253737794797</v>
          </cell>
          <cell r="AE27">
            <v>2814.0698866302382</v>
          </cell>
          <cell r="AF27">
            <v>3693.1806959188038</v>
          </cell>
          <cell r="AG27">
            <v>4690.1193290896108</v>
          </cell>
          <cell r="AH27">
            <v>5572.5186576046917</v>
          </cell>
          <cell r="AI27">
            <v>6545.169693374195</v>
          </cell>
          <cell r="AJ27">
            <v>7425.6757944454521</v>
          </cell>
          <cell r="AK27">
            <v>0</v>
          </cell>
          <cell r="AL27">
            <v>-0.15544839486171369</v>
          </cell>
          <cell r="AM27">
            <v>2.058294394711413E-2</v>
          </cell>
          <cell r="AN27">
            <v>0.10749804605417101</v>
          </cell>
          <cell r="AO27">
            <v>0.31239835707892594</v>
          </cell>
          <cell r="AP27">
            <v>0.26994038885573257</v>
          </cell>
          <cell r="AQ27">
            <v>0.1881400592607867</v>
          </cell>
          <cell r="AR27">
            <v>0.1745442403215911</v>
          </cell>
          <cell r="AS27">
            <v>0.13452761995806028</v>
          </cell>
          <cell r="AT27">
            <v>-7.1595474220804589E-2</v>
          </cell>
          <cell r="AU27">
            <v>0.21417202135271407</v>
          </cell>
        </row>
        <row r="28">
          <cell r="B28" t="str">
            <v>VolumeCVOOff Road (Mining)</v>
          </cell>
          <cell r="C28" t="str">
            <v>Volume</v>
          </cell>
          <cell r="D28" t="str">
            <v>CVO</v>
          </cell>
          <cell r="E28" t="str">
            <v>Off-road (inc Agri, Other)</v>
          </cell>
          <cell r="F28" t="str">
            <v>Off Road (Mining)</v>
          </cell>
          <cell r="G28">
            <v>9387.9121674496528</v>
          </cell>
          <cell r="H28">
            <v>8580.7967124344177</v>
          </cell>
          <cell r="I28">
            <v>7809.8898713313465</v>
          </cell>
          <cell r="J28">
            <v>7822.3414374942677</v>
          </cell>
          <cell r="K28">
            <v>7834.8128556016418</v>
          </cell>
          <cell r="L28">
            <v>7847.3041573040819</v>
          </cell>
          <cell r="M28">
            <v>7859.8153743026614</v>
          </cell>
          <cell r="N28">
            <v>7872.3465383489975</v>
          </cell>
          <cell r="O28">
            <v>7884.8976812453266</v>
          </cell>
          <cell r="P28">
            <v>0.22742548838388518</v>
          </cell>
          <cell r="Q28">
            <v>0.20652090907324858</v>
          </cell>
          <cell r="R28">
            <v>0.22742548838388521</v>
          </cell>
          <cell r="S28">
            <v>0.2429579167149612</v>
          </cell>
          <cell r="T28">
            <v>0.2403092074924684</v>
          </cell>
          <cell r="U28">
            <v>0.2376893743018422</v>
          </cell>
          <cell r="V28">
            <v>0.23509810233872089</v>
          </cell>
          <cell r="W28">
            <v>0.23253508023071653</v>
          </cell>
          <cell r="X28">
            <v>0.22999999999999998</v>
          </cell>
          <cell r="Y28">
            <v>0</v>
          </cell>
          <cell r="Z28">
            <v>1.5943331299239638E-3</v>
          </cell>
          <cell r="AA28" t="str">
            <v>Non focus</v>
          </cell>
          <cell r="AB28">
            <v>2135.0505095872554</v>
          </cell>
          <cell r="AC28">
            <v>1772.1139376246988</v>
          </cell>
          <cell r="AD28">
            <v>1776.1680182118898</v>
          </cell>
          <cell r="AE28">
            <v>1897.7000715251299</v>
          </cell>
          <cell r="AF28">
            <v>1870.5645778174287</v>
          </cell>
          <cell r="AG28">
            <v>1835.1431714319258</v>
          </cell>
          <cell r="AH28">
            <v>1834.1509179080465</v>
          </cell>
          <cell r="AI28">
            <v>1820.2725649881365</v>
          </cell>
          <cell r="AJ28">
            <v>1804.8795954900052</v>
          </cell>
          <cell r="AK28">
            <v>0</v>
          </cell>
          <cell r="AL28">
            <v>-0.16998968892437072</v>
          </cell>
          <cell r="AM28">
            <v>2.287708764722618E-3</v>
          </cell>
          <cell r="AN28">
            <v>6.8423736981588767E-2</v>
          </cell>
          <cell r="AO28">
            <v>-1.4299147749882946E-2</v>
          </cell>
          <cell r="AP28">
            <v>-1.8936211454849916E-2</v>
          </cell>
          <cell r="AQ28">
            <v>-5.406954287414667E-4</v>
          </cell>
          <cell r="AR28">
            <v>-7.5666363026107852E-3</v>
          </cell>
          <cell r="AS28">
            <v>-8.4564091082873771E-3</v>
          </cell>
          <cell r="AT28">
            <v>-8.7909471083551294E-2</v>
          </cell>
          <cell r="AU28">
            <v>-9.9796258953822603E-3</v>
          </cell>
        </row>
        <row r="29">
          <cell r="B29" t="str">
            <v>VolumeCVOOff Road (Construction)</v>
          </cell>
          <cell r="C29" t="str">
            <v>Volume</v>
          </cell>
          <cell r="D29" t="str">
            <v>CVO</v>
          </cell>
          <cell r="E29" t="str">
            <v>Off-road (inc Agri, Other)</v>
          </cell>
          <cell r="F29" t="str">
            <v>Off Road (Construction)</v>
          </cell>
          <cell r="G29">
            <v>6843.7556666489254</v>
          </cell>
          <cell r="H29">
            <v>6922.1715512824203</v>
          </cell>
          <cell r="I29">
            <v>6963.0455874678401</v>
          </cell>
          <cell r="J29">
            <v>7312.6086001089261</v>
          </cell>
          <cell r="K29">
            <v>7679.7205858641109</v>
          </cell>
          <cell r="L29">
            <v>8065.2625488620415</v>
          </cell>
          <cell r="M29">
            <v>8470.1597219317937</v>
          </cell>
          <cell r="N29">
            <v>8895.3837869987583</v>
          </cell>
          <cell r="O29">
            <v>9341.9552069501769</v>
          </cell>
          <cell r="P29">
            <v>0.27</v>
          </cell>
          <cell r="Q29">
            <v>0.25079624140792345</v>
          </cell>
          <cell r="R29">
            <v>0.28077353316288428</v>
          </cell>
          <cell r="S29">
            <v>0.28606640247614878</v>
          </cell>
          <cell r="T29">
            <v>0.28277840227626416</v>
          </cell>
          <cell r="U29">
            <v>0.27952819381011995</v>
          </cell>
          <cell r="V29">
            <v>0.27631534270574154</v>
          </cell>
          <cell r="W29">
            <v>0.27313941958375443</v>
          </cell>
          <cell r="X29">
            <v>0.27000000000000013</v>
          </cell>
          <cell r="Y29">
            <v>0</v>
          </cell>
          <cell r="Z29">
            <v>5.0202602905578209E-2</v>
          </cell>
          <cell r="AA29" t="str">
            <v>Non focus</v>
          </cell>
          <cell r="AB29">
            <v>1847.8140299952101</v>
          </cell>
          <cell r="AC29">
            <v>1736.0546074424858</v>
          </cell>
          <cell r="AD29">
            <v>1955.0389111675765</v>
          </cell>
          <cell r="AE29">
            <v>2088.8099794140785</v>
          </cell>
          <cell r="AF29">
            <v>2157.5721278073211</v>
          </cell>
          <cell r="AG29">
            <v>2218.1138140286089</v>
          </cell>
          <cell r="AH29">
            <v>2323.1122740280762</v>
          </cell>
          <cell r="AI29">
            <v>2415.977096037971</v>
          </cell>
          <cell r="AJ29">
            <v>2510.3014784061515</v>
          </cell>
          <cell r="AK29">
            <v>0</v>
          </cell>
          <cell r="AL29">
            <v>-6.0481964493479978E-2</v>
          </cell>
          <cell r="AM29">
            <v>0.12613906428190824</v>
          </cell>
          <cell r="AN29">
            <v>6.8423736981588767E-2</v>
          </cell>
          <cell r="AO29">
            <v>3.291929331577137E-2</v>
          </cell>
          <cell r="AP29">
            <v>2.8060098404596445E-2</v>
          </cell>
          <cell r="AQ29">
            <v>4.7336822545082091E-2</v>
          </cell>
          <cell r="AR29">
            <v>3.9974315080723688E-2</v>
          </cell>
          <cell r="AS29">
            <v>3.9041919115403001E-2</v>
          </cell>
          <cell r="AT29">
            <v>2.860486163603615E-2</v>
          </cell>
          <cell r="AU29">
            <v>3.7445735036124805E-2</v>
          </cell>
        </row>
        <row r="30">
          <cell r="B30" t="str">
            <v>VolumeMCOWholesalers</v>
          </cell>
          <cell r="C30" t="str">
            <v>Volume</v>
          </cell>
          <cell r="D30" t="str">
            <v>MCO</v>
          </cell>
          <cell r="E30" t="str">
            <v>Retail</v>
          </cell>
          <cell r="F30" t="str">
            <v>Wholesalers</v>
          </cell>
          <cell r="G30">
            <v>29915.30826890959</v>
          </cell>
          <cell r="H30">
            <v>29677.044567134664</v>
          </cell>
          <cell r="I30">
            <v>29288.462176216828</v>
          </cell>
          <cell r="J30">
            <v>28403.829978040638</v>
          </cell>
          <cell r="K30">
            <v>27545.917316088016</v>
          </cell>
          <cell r="L30">
            <v>26713.917150306075</v>
          </cell>
          <cell r="M30">
            <v>25907.046816575756</v>
          </cell>
          <cell r="N30">
            <v>25124.547290458224</v>
          </cell>
          <cell r="O30">
            <v>24365.682473179153</v>
          </cell>
          <cell r="P30">
            <v>0.31794257353054717</v>
          </cell>
          <cell r="Q30">
            <v>0.28458434166339069</v>
          </cell>
          <cell r="R30">
            <v>0.25197274742277814</v>
          </cell>
          <cell r="S30">
            <v>0.26431826693339483</v>
          </cell>
          <cell r="T30">
            <v>0.26988236495909762</v>
          </cell>
          <cell r="U30">
            <v>0.2755635914269578</v>
          </cell>
          <cell r="V30">
            <v>0.28136441197864781</v>
          </cell>
          <cell r="W30">
            <v>0.28728734415944918</v>
          </cell>
          <cell r="X30">
            <v>0.28552066469102111</v>
          </cell>
          <cell r="Y30">
            <v>0</v>
          </cell>
          <cell r="Z30">
            <v>-3.020411904366016E-2</v>
          </cell>
          <cell r="AA30" t="str">
            <v>Non focus</v>
          </cell>
          <cell r="AB30">
            <v>9511.3500989767726</v>
          </cell>
          <cell r="AC30">
            <v>8445.6221906531246</v>
          </cell>
          <cell r="AD30">
            <v>7379.8942823294747</v>
          </cell>
          <cell r="AE30">
            <v>7387.7213050032615</v>
          </cell>
          <cell r="AF30">
            <v>7513.569117109656</v>
          </cell>
          <cell r="AG30">
            <v>8102.8765179214615</v>
          </cell>
          <cell r="AH30">
            <v>8433.7252055620702</v>
          </cell>
          <cell r="AI30">
            <v>9400.1643083446215</v>
          </cell>
          <cell r="AJ30">
            <v>9637.1550933367907</v>
          </cell>
          <cell r="AK30">
            <v>0</v>
          </cell>
          <cell r="AL30">
            <v>-0.11204801602648384</v>
          </cell>
          <cell r="AM30">
            <v>-0.12618702142550309</v>
          </cell>
          <cell r="AN30">
            <v>1.060587370814714E-3</v>
          </cell>
          <cell r="AO30">
            <v>1.7034726529432831E-2</v>
          </cell>
          <cell r="AP30">
            <v>7.8432418951181804E-2</v>
          </cell>
          <cell r="AQ30">
            <v>4.083101685047974E-2</v>
          </cell>
          <cell r="AR30">
            <v>0.11459219730626047</v>
          </cell>
          <cell r="AS30">
            <v>2.5211344952958958E-2</v>
          </cell>
          <cell r="AT30">
            <v>-0.11914588725088415</v>
          </cell>
          <cell r="AU30">
            <v>5.4599761814337233E-2</v>
          </cell>
        </row>
        <row r="31">
          <cell r="B31" t="str">
            <v>VolumeMCOSpare-parts</v>
          </cell>
          <cell r="C31" t="str">
            <v>Volume</v>
          </cell>
          <cell r="D31" t="str">
            <v>MCO</v>
          </cell>
          <cell r="E31" t="str">
            <v>Retail</v>
          </cell>
          <cell r="F31" t="str">
            <v>Spare-parts</v>
          </cell>
          <cell r="G31">
            <v>8292.3330029614772</v>
          </cell>
          <cell r="H31">
            <v>8849.0517664656709</v>
          </cell>
          <cell r="I31">
            <v>9420.5509924070939</v>
          </cell>
          <cell r="J31">
            <v>9535.7943064375486</v>
          </cell>
          <cell r="K31">
            <v>9652.4474128930342</v>
          </cell>
          <cell r="L31">
            <v>9770.5275580207508</v>
          </cell>
          <cell r="M31">
            <v>9890.052199044374</v>
          </cell>
          <cell r="N31">
            <v>10011.039006744973</v>
          </cell>
          <cell r="O31">
            <v>10133.505868073502</v>
          </cell>
          <cell r="P31">
            <v>0.3795722082152686</v>
          </cell>
          <cell r="Q31">
            <v>0.3290558286937173</v>
          </cell>
          <cell r="R31">
            <v>0.28407308418609811</v>
          </cell>
          <cell r="S31">
            <v>0.26734752730337152</v>
          </cell>
          <cell r="T31">
            <v>0.25160673197888567</v>
          </cell>
          <cell r="U31">
            <v>0.23679271776192123</v>
          </cell>
          <cell r="V31">
            <v>0.22285091795470019</v>
          </cell>
          <cell r="W31">
            <v>0.20972997861861942</v>
          </cell>
          <cell r="X31">
            <v>0.19738156941452625</v>
          </cell>
          <cell r="Y31">
            <v>0</v>
          </cell>
          <cell r="Z31">
            <v>1.2233181915085378E-2</v>
          </cell>
          <cell r="AA31" t="str">
            <v>Non focus</v>
          </cell>
          <cell r="AB31">
            <v>3147.5391491904375</v>
          </cell>
          <cell r="AC31">
            <v>2911.8320621679641</v>
          </cell>
          <cell r="AD31">
            <v>2676.1249751454907</v>
          </cell>
          <cell r="AE31">
            <v>2510.2318207996905</v>
          </cell>
          <cell r="AF31">
            <v>3089.1450376114699</v>
          </cell>
          <cell r="AG31">
            <v>2970.5259164223526</v>
          </cell>
          <cell r="AH31">
            <v>3135.0589518820107</v>
          </cell>
          <cell r="AI31">
            <v>2449.345919220847</v>
          </cell>
          <cell r="AJ31">
            <v>2076.4745142831925</v>
          </cell>
          <cell r="AK31">
            <v>0</v>
          </cell>
          <cell r="AL31">
            <v>-7.4886149417108361E-2</v>
          </cell>
          <cell r="AM31">
            <v>-8.0948036147036939E-2</v>
          </cell>
          <cell r="AN31">
            <v>-6.1990062454680861E-2</v>
          </cell>
          <cell r="AO31">
            <v>0.23062141592458718</v>
          </cell>
          <cell r="AP31">
            <v>-3.839868952246861E-2</v>
          </cell>
          <cell r="AQ31">
            <v>5.5388520446850276E-2</v>
          </cell>
          <cell r="AR31">
            <v>-0.21872412710118971</v>
          </cell>
          <cell r="AS31">
            <v>-0.15223305210244342</v>
          </cell>
          <cell r="AT31">
            <v>-7.7922074244381911E-2</v>
          </cell>
          <cell r="AU31">
            <v>-3.72299872454398E-2</v>
          </cell>
        </row>
        <row r="32">
          <cell r="B32" t="str">
            <v>VolumeMCORetail Others</v>
          </cell>
          <cell r="C32" t="str">
            <v>Volume</v>
          </cell>
          <cell r="D32" t="str">
            <v>MCO</v>
          </cell>
          <cell r="E32" t="str">
            <v>Retail</v>
          </cell>
          <cell r="F32" t="str">
            <v>Retail Others</v>
          </cell>
          <cell r="G32">
            <v>5134.108899686571</v>
          </cell>
          <cell r="H32">
            <v>5378.6426357963446</v>
          </cell>
          <cell r="I32">
            <v>5623.2496112184481</v>
          </cell>
          <cell r="J32">
            <v>5535.4661387869055</v>
          </cell>
          <cell r="K32">
            <v>5449.0530373267611</v>
          </cell>
          <cell r="L32">
            <v>5363.9889142393031</v>
          </cell>
          <cell r="M32">
            <v>5280.2527108815793</v>
          </cell>
          <cell r="N32">
            <v>5197.8236973530802</v>
          </cell>
          <cell r="O32">
            <v>5116.6814673638009</v>
          </cell>
          <cell r="P32">
            <v>0.42899523638990567</v>
          </cell>
          <cell r="Q32">
            <v>0.43041135301220051</v>
          </cell>
          <cell r="R32">
            <v>0.43169868230086711</v>
          </cell>
          <cell r="S32">
            <v>0.42800408294299658</v>
          </cell>
          <cell r="T32">
            <v>0.42434110301083844</v>
          </cell>
          <cell r="U32">
            <v>0.42070947189640917</v>
          </cell>
          <cell r="V32">
            <v>0.41710892130766486</v>
          </cell>
          <cell r="W32">
            <v>0.41353918524868061</v>
          </cell>
          <cell r="X32">
            <v>0.41</v>
          </cell>
          <cell r="Y32">
            <v>0</v>
          </cell>
          <cell r="Z32">
            <v>-1.5610808429420198E-2</v>
          </cell>
          <cell r="AA32" t="str">
            <v>Non focus</v>
          </cell>
          <cell r="AB32">
            <v>2202.508261072559</v>
          </cell>
          <cell r="AC32">
            <v>2315.0288542422131</v>
          </cell>
          <cell r="AD32">
            <v>2427.5494474118673</v>
          </cell>
          <cell r="AE32">
            <v>2332.8289430780032</v>
          </cell>
          <cell r="AF32">
            <v>2271.0021706922057</v>
          </cell>
          <cell r="AG32">
            <v>2265.3185770441587</v>
          </cell>
          <cell r="AH32">
            <v>2229.4730048752681</v>
          </cell>
          <cell r="AI32">
            <v>2098.2349623283103</v>
          </cell>
          <cell r="AJ32">
            <v>2061.9995906386489</v>
          </cell>
          <cell r="AK32">
            <v>0</v>
          </cell>
          <cell r="AL32">
            <v>5.1087478380153595E-2</v>
          </cell>
          <cell r="AM32">
            <v>4.8604402041669603E-2</v>
          </cell>
          <cell r="AN32">
            <v>-3.9018980410409521E-2</v>
          </cell>
          <cell r="AO32">
            <v>-2.650291722813658E-2</v>
          </cell>
          <cell r="AP32">
            <v>-2.502680852266459E-3</v>
          </cell>
          <cell r="AQ32">
            <v>-1.5823634049592639E-2</v>
          </cell>
          <cell r="AR32">
            <v>-5.8865051184730621E-2</v>
          </cell>
          <cell r="AS32">
            <v>-1.7269453774353627E-2</v>
          </cell>
          <cell r="AT32">
            <v>4.9845206094835337E-2</v>
          </cell>
          <cell r="AU32">
            <v>-2.4379008666461255E-2</v>
          </cell>
        </row>
        <row r="33">
          <cell r="B33" t="str">
            <v>VolumeMCOBranded W/S</v>
          </cell>
          <cell r="C33" t="str">
            <v>Volume</v>
          </cell>
          <cell r="D33" t="str">
            <v>MCO</v>
          </cell>
          <cell r="E33" t="str">
            <v>Other WS</v>
          </cell>
          <cell r="F33" t="str">
            <v>Branded W/S</v>
          </cell>
          <cell r="G33">
            <v>531.44665311387132</v>
          </cell>
          <cell r="H33">
            <v>1651.0301177670833</v>
          </cell>
          <cell r="I33">
            <v>2869.80681009301</v>
          </cell>
          <cell r="J33">
            <v>3412.2088340030741</v>
          </cell>
          <cell r="K33">
            <v>4057.1264539132044</v>
          </cell>
          <cell r="L33">
            <v>4823.9354224201343</v>
          </cell>
          <cell r="M33">
            <v>5735.6735669983509</v>
          </cell>
          <cell r="N33">
            <v>6819.7329330455495</v>
          </cell>
          <cell r="O33">
            <v>8108.6827440225952</v>
          </cell>
          <cell r="P33">
            <v>0.68984988695739602</v>
          </cell>
          <cell r="Q33">
            <v>0.68179378451247374</v>
          </cell>
          <cell r="R33">
            <v>0.65673609961132406</v>
          </cell>
          <cell r="S33">
            <v>0.67</v>
          </cell>
          <cell r="T33">
            <v>0.68</v>
          </cell>
          <cell r="U33">
            <v>0.68</v>
          </cell>
          <cell r="V33">
            <v>0.69</v>
          </cell>
          <cell r="W33">
            <v>0.7</v>
          </cell>
          <cell r="X33">
            <v>0.7</v>
          </cell>
          <cell r="Y33">
            <v>0</v>
          </cell>
          <cell r="Z33">
            <v>0.18900297469587679</v>
          </cell>
          <cell r="AA33" t="str">
            <v>Focus</v>
          </cell>
          <cell r="AB33">
            <v>366.6184135744906</v>
          </cell>
          <cell r="AC33">
            <v>1125.6620723364949</v>
          </cell>
          <cell r="AD33">
            <v>1884.7057310984992</v>
          </cell>
          <cell r="AE33">
            <v>2220.6840075948926</v>
          </cell>
          <cell r="AF33">
            <v>2541.5108799851923</v>
          </cell>
          <cell r="AG33">
            <v>3024.3299968233578</v>
          </cell>
          <cell r="AH33">
            <v>3598.7695650540245</v>
          </cell>
          <cell r="AI33">
            <v>4310.0945325470766</v>
          </cell>
          <cell r="AJ33">
            <v>5209.55464123398</v>
          </cell>
          <cell r="AK33">
            <v>0</v>
          </cell>
          <cell r="AL33">
            <v>2.0703915315147685</v>
          </cell>
          <cell r="AM33">
            <v>0.67430863792584361</v>
          </cell>
          <cell r="AN33">
            <v>0.17826564166097625</v>
          </cell>
          <cell r="AO33">
            <v>0.14447209566649266</v>
          </cell>
          <cell r="AP33">
            <v>0.18997326379377077</v>
          </cell>
          <cell r="AQ33">
            <v>0.18993944735992319</v>
          </cell>
          <cell r="AR33">
            <v>0.19765782571921187</v>
          </cell>
          <cell r="AS33">
            <v>0.20868686333785869</v>
          </cell>
          <cell r="AT33">
            <v>1.2673295003218072</v>
          </cell>
          <cell r="AU33">
            <v>0.18594013406882159</v>
          </cell>
        </row>
        <row r="34">
          <cell r="B34" t="str">
            <v>VolumeMCOIWS</v>
          </cell>
          <cell r="C34" t="str">
            <v>Volume</v>
          </cell>
          <cell r="D34" t="str">
            <v>MCO</v>
          </cell>
          <cell r="E34" t="str">
            <v>Other WS</v>
          </cell>
          <cell r="F34" t="str">
            <v>IWS</v>
          </cell>
          <cell r="G34">
            <v>16246.166752258632</v>
          </cell>
          <cell r="H34">
            <v>17414.252337593083</v>
          </cell>
          <cell r="I34">
            <v>18618.30871852961</v>
          </cell>
          <cell r="J34">
            <v>19448.886984424385</v>
          </cell>
          <cell r="K34">
            <v>20316.726844914814</v>
          </cell>
          <cell r="L34">
            <v>21223.508328873842</v>
          </cell>
          <cell r="M34">
            <v>22170.987548603247</v>
          </cell>
          <cell r="N34">
            <v>23161.000158752249</v>
          </cell>
          <cell r="O34">
            <v>24195.464973013819</v>
          </cell>
          <cell r="P34">
            <v>0.43070582529016255</v>
          </cell>
          <cell r="Q34">
            <v>0.43907495580963263</v>
          </cell>
          <cell r="R34">
            <v>0.4455294848604755</v>
          </cell>
          <cell r="S34">
            <v>0.48</v>
          </cell>
          <cell r="T34">
            <v>0.49</v>
          </cell>
          <cell r="U34">
            <v>0.49</v>
          </cell>
          <cell r="V34">
            <v>0.5</v>
          </cell>
          <cell r="W34">
            <v>0.5</v>
          </cell>
          <cell r="X34">
            <v>0.5</v>
          </cell>
          <cell r="Y34">
            <v>0</v>
          </cell>
          <cell r="Z34">
            <v>4.4642868906149547E-2</v>
          </cell>
          <cell r="AA34" t="str">
            <v>Focus</v>
          </cell>
          <cell r="AB34">
            <v>6997.3186588331537</v>
          </cell>
          <cell r="AC34">
            <v>7646.1620755864751</v>
          </cell>
          <cell r="AD34">
            <v>8295.0054923397965</v>
          </cell>
          <cell r="AE34">
            <v>8786.4763262775705</v>
          </cell>
          <cell r="AF34">
            <v>9076.8593426532207</v>
          </cell>
          <cell r="AG34">
            <v>9321.2062376926497</v>
          </cell>
          <cell r="AH34">
            <v>9625.1343921387324</v>
          </cell>
          <cell r="AI34">
            <v>10039.073775445922</v>
          </cell>
          <cell r="AJ34">
            <v>10603.231904819808</v>
          </cell>
          <cell r="AK34">
            <v>0</v>
          </cell>
          <cell r="AL34">
            <v>9.2727435806320813E-2</v>
          </cell>
          <cell r="AM34">
            <v>8.4858705627627318E-2</v>
          </cell>
          <cell r="AN34">
            <v>5.9249006452332553E-2</v>
          </cell>
          <cell r="AO34">
            <v>3.3048858904588085E-2</v>
          </cell>
          <cell r="AP34">
            <v>2.6919762201361275E-2</v>
          </cell>
          <cell r="AQ34">
            <v>3.2606096968123444E-2</v>
          </cell>
          <cell r="AR34">
            <v>4.3006088688514632E-2</v>
          </cell>
          <cell r="AS34">
            <v>5.6196233038323884E-2</v>
          </cell>
          <cell r="AT34">
            <v>8.8785962259176676E-2</v>
          </cell>
          <cell r="AU34">
            <v>3.8304421375551678E-2</v>
          </cell>
        </row>
        <row r="35">
          <cell r="B35" t="str">
            <v>VolumeMCOBikes wash (light servicing)</v>
          </cell>
          <cell r="C35" t="str">
            <v>Volume</v>
          </cell>
          <cell r="D35" t="str">
            <v>MCO</v>
          </cell>
          <cell r="E35" t="str">
            <v>Other WS</v>
          </cell>
          <cell r="F35" t="str">
            <v>Bikes wash (light servicing)</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row>
        <row r="36">
          <cell r="B36" t="str">
            <v>VolumeMCOOEM Auth</v>
          </cell>
          <cell r="C36" t="str">
            <v>Volume</v>
          </cell>
          <cell r="D36" t="str">
            <v>MCO</v>
          </cell>
          <cell r="E36" t="str">
            <v>OEM Auth W/S</v>
          </cell>
          <cell r="F36" t="str">
            <v>OEM Auth</v>
          </cell>
          <cell r="G36">
            <v>17972.470304219853</v>
          </cell>
          <cell r="H36">
            <v>18828.485514742781</v>
          </cell>
          <cell r="I36">
            <v>19684.757106926412</v>
          </cell>
          <cell r="J36">
            <v>20970.602730293678</v>
          </cell>
          <cell r="K36">
            <v>22340.442225576742</v>
          </cell>
          <cell r="L36">
            <v>23799.762231600045</v>
          </cell>
          <cell r="M36">
            <v>25354.407784829469</v>
          </cell>
          <cell r="N36">
            <v>27010.605730585194</v>
          </cell>
          <cell r="O36">
            <v>28774.989663519322</v>
          </cell>
          <cell r="P36">
            <v>0.30489161407674692</v>
          </cell>
          <cell r="Q36">
            <v>0.11561342325219236</v>
          </cell>
          <cell r="R36">
            <v>6.1672447624345345E-2</v>
          </cell>
          <cell r="S36">
            <v>2.3842900770692243E-2</v>
          </cell>
          <cell r="T36">
            <v>8.9523742628078978E-3</v>
          </cell>
          <cell r="U36">
            <v>0</v>
          </cell>
          <cell r="V36">
            <v>0</v>
          </cell>
          <cell r="W36">
            <v>0</v>
          </cell>
          <cell r="X36">
            <v>0</v>
          </cell>
          <cell r="Y36">
            <v>0</v>
          </cell>
          <cell r="Z36">
            <v>6.5321894315618412E-2</v>
          </cell>
          <cell r="AA36" t="str">
            <v>Non focus</v>
          </cell>
          <cell r="AB36">
            <v>5479.655479999994</v>
          </cell>
          <cell r="AC36">
            <v>2176.82566501373</v>
          </cell>
          <cell r="AD36">
            <v>1214.007151674879</v>
          </cell>
          <cell r="AE36">
            <v>492.32375212173008</v>
          </cell>
          <cell r="AF36">
            <v>192.10684637764885</v>
          </cell>
          <cell r="AG36">
            <v>0</v>
          </cell>
          <cell r="AH36">
            <v>0</v>
          </cell>
          <cell r="AI36">
            <v>0</v>
          </cell>
          <cell r="AJ36">
            <v>0</v>
          </cell>
          <cell r="AK36">
            <v>0</v>
          </cell>
          <cell r="AL36">
            <v>-0.60274406430133221</v>
          </cell>
          <cell r="AM36">
            <v>-0.44230391473851827</v>
          </cell>
          <cell r="AN36">
            <v>-0.5944638782049132</v>
          </cell>
          <cell r="AO36">
            <v>-0.60979569734399242</v>
          </cell>
          <cell r="AP36">
            <v>-1</v>
          </cell>
          <cell r="AQ36">
            <v>0</v>
          </cell>
          <cell r="AR36">
            <v>0</v>
          </cell>
          <cell r="AS36">
            <v>0</v>
          </cell>
          <cell r="AT36">
            <v>-0.52931105793100053</v>
          </cell>
          <cell r="AU36">
            <v>-1</v>
          </cell>
        </row>
        <row r="37">
          <cell r="B37" t="str">
            <v>VolumeMCOOEM FF</v>
          </cell>
          <cell r="C37" t="str">
            <v>Volume</v>
          </cell>
          <cell r="D37" t="str">
            <v>MCO</v>
          </cell>
          <cell r="E37" t="str">
            <v>OEM FF</v>
          </cell>
          <cell r="F37" t="str">
            <v>OEM FF</v>
          </cell>
          <cell r="G37">
            <v>3125.2504487388701</v>
          </cell>
          <cell r="H37">
            <v>3274.103771377881</v>
          </cell>
          <cell r="I37">
            <v>3423.0016764747629</v>
          </cell>
          <cell r="J37">
            <v>3123.0860497513295</v>
          </cell>
          <cell r="K37">
            <v>2849.4483485606543</v>
          </cell>
          <cell r="L37">
            <v>2599.7861607948748</v>
          </cell>
          <cell r="M37">
            <v>2371.9988064618474</v>
          </cell>
          <cell r="N37">
            <v>2164.1696623756875</v>
          </cell>
          <cell r="O37">
            <v>1974.550035517748</v>
          </cell>
          <cell r="P37">
            <v>0.32797371500694206</v>
          </cell>
          <cell r="Q37">
            <v>0.21066222947164939</v>
          </cell>
          <cell r="R37">
            <v>0.20149858667622103</v>
          </cell>
          <cell r="S37">
            <v>7.7487458284816985E-2</v>
          </cell>
          <cell r="T37">
            <v>3.5094512259017836E-2</v>
          </cell>
          <cell r="U37">
            <v>0</v>
          </cell>
          <cell r="V37">
            <v>0</v>
          </cell>
          <cell r="W37">
            <v>0</v>
          </cell>
          <cell r="X37">
            <v>0</v>
          </cell>
          <cell r="Y37">
            <v>0</v>
          </cell>
          <cell r="Z37">
            <v>-8.7617727091593656E-2</v>
          </cell>
          <cell r="AA37" t="str">
            <v>Non focus</v>
          </cell>
          <cell r="AB37">
            <v>1025</v>
          </cell>
          <cell r="AC37">
            <v>689.7299999999999</v>
          </cell>
          <cell r="AD37">
            <v>689.7299999999999</v>
          </cell>
          <cell r="AE37">
            <v>238.28469602691737</v>
          </cell>
          <cell r="AF37">
            <v>96.053423188824425</v>
          </cell>
          <cell r="AG37">
            <v>0</v>
          </cell>
          <cell r="AH37">
            <v>0</v>
          </cell>
          <cell r="AI37">
            <v>0</v>
          </cell>
          <cell r="AJ37">
            <v>0</v>
          </cell>
          <cell r="AK37">
            <v>0</v>
          </cell>
          <cell r="AL37">
            <v>-0.32709268292682936</v>
          </cell>
          <cell r="AM37">
            <v>0</v>
          </cell>
          <cell r="AN37">
            <v>-0.65452467483375032</v>
          </cell>
          <cell r="AO37">
            <v>-0.59689638155371116</v>
          </cell>
          <cell r="AP37">
            <v>-1</v>
          </cell>
          <cell r="AQ37">
            <v>0</v>
          </cell>
          <cell r="AR37">
            <v>0</v>
          </cell>
          <cell r="AS37">
            <v>0</v>
          </cell>
          <cell r="AT37">
            <v>-0.17969071864742947</v>
          </cell>
          <cell r="AU37">
            <v>-1</v>
          </cell>
        </row>
        <row r="38">
          <cell r="B38" t="str">
            <v>GMIndustrialCement</v>
          </cell>
          <cell r="C38" t="str">
            <v>GM</v>
          </cell>
          <cell r="D38" t="str">
            <v>Industrial</v>
          </cell>
          <cell r="E38" t="str">
            <v>Off-road (inc Agri, Other)</v>
          </cell>
          <cell r="F38" t="str">
            <v>Cement</v>
          </cell>
          <cell r="G38">
            <v>1660.1278400000003</v>
          </cell>
          <cell r="H38">
            <v>1708.364</v>
          </cell>
          <cell r="I38">
            <v>1761.2</v>
          </cell>
          <cell r="J38">
            <v>1814.0360000000003</v>
          </cell>
          <cell r="K38">
            <v>1868.4570800000004</v>
          </cell>
          <cell r="L38">
            <v>1924.5107924000004</v>
          </cell>
          <cell r="M38">
            <v>1982.2461161720005</v>
          </cell>
          <cell r="N38">
            <v>2081.3584219806007</v>
          </cell>
          <cell r="O38">
            <v>2185.4263430796309</v>
          </cell>
          <cell r="P38">
            <v>0.30930148126423801</v>
          </cell>
          <cell r="Q38">
            <v>0.3563643345329216</v>
          </cell>
          <cell r="R38">
            <v>0.40426981603452189</v>
          </cell>
          <cell r="S38">
            <v>0</v>
          </cell>
          <cell r="T38">
            <v>0</v>
          </cell>
          <cell r="U38">
            <v>0</v>
          </cell>
          <cell r="V38">
            <v>0</v>
          </cell>
          <cell r="W38">
            <v>0</v>
          </cell>
          <cell r="X38">
            <v>0</v>
          </cell>
          <cell r="Y38">
            <v>0</v>
          </cell>
          <cell r="Z38">
            <v>3.795387466008493E-2</v>
          </cell>
          <cell r="AA38" t="str">
            <v>Non focus</v>
          </cell>
          <cell r="AB38">
            <v>513.48</v>
          </cell>
          <cell r="AC38">
            <v>608.80000000000007</v>
          </cell>
          <cell r="AD38">
            <v>712</v>
          </cell>
          <cell r="AE38">
            <v>730.73</v>
          </cell>
          <cell r="AF38">
            <v>755.46380000000011</v>
          </cell>
          <cell r="AG38">
            <v>781.02397100000007</v>
          </cell>
          <cell r="AH38">
            <v>807.43783484000016</v>
          </cell>
          <cell r="AI38">
            <v>850.94202852750027</v>
          </cell>
          <cell r="AJ38">
            <v>896.77804699665023</v>
          </cell>
          <cell r="AK38">
            <v>0</v>
          </cell>
          <cell r="AL38">
            <v>0.18563527303887217</v>
          </cell>
          <cell r="AM38">
            <v>0.16951379763469099</v>
          </cell>
          <cell r="AN38">
            <v>2.6306179775280825E-2</v>
          </cell>
          <cell r="AO38">
            <v>3.3848069738480868E-2</v>
          </cell>
          <cell r="AP38">
            <v>3.3833746898263017E-2</v>
          </cell>
          <cell r="AQ38">
            <v>3.3819530284301624E-2</v>
          </cell>
          <cell r="AR38">
            <v>5.3879310344827624E-2</v>
          </cell>
          <cell r="AS38">
            <v>5.3865030674846492E-2</v>
          </cell>
          <cell r="AT38">
            <v>0.17754694631735823</v>
          </cell>
          <cell r="AU38">
            <v>4.1803005821263284E-2</v>
          </cell>
        </row>
        <row r="39">
          <cell r="B39" t="str">
            <v>GMIndustrialPower</v>
          </cell>
          <cell r="C39" t="str">
            <v>GM</v>
          </cell>
          <cell r="D39" t="str">
            <v>Industrial</v>
          </cell>
          <cell r="E39" t="str">
            <v>Off-road (inc Agri, Other)</v>
          </cell>
          <cell r="F39" t="str">
            <v>Power</v>
          </cell>
          <cell r="G39">
            <v>1402.7253599999999</v>
          </cell>
          <cell r="H39">
            <v>1957.2911999999999</v>
          </cell>
          <cell r="I39">
            <v>2275.92</v>
          </cell>
          <cell r="J39">
            <v>2366.9567999999999</v>
          </cell>
          <cell r="K39">
            <v>2461.635072</v>
          </cell>
          <cell r="L39">
            <v>2560.1004748800001</v>
          </cell>
          <cell r="M39">
            <v>2662.5044938752003</v>
          </cell>
          <cell r="N39">
            <v>2742.3796286914562</v>
          </cell>
          <cell r="O39">
            <v>2824.6510175522003</v>
          </cell>
          <cell r="P39">
            <v>0.46765861565374428</v>
          </cell>
          <cell r="Q39">
            <v>0.51674974066199253</v>
          </cell>
          <cell r="R39">
            <v>0.35653274280291042</v>
          </cell>
          <cell r="S39">
            <v>0</v>
          </cell>
          <cell r="T39">
            <v>0</v>
          </cell>
          <cell r="U39">
            <v>0</v>
          </cell>
          <cell r="V39">
            <v>0</v>
          </cell>
          <cell r="W39">
            <v>0</v>
          </cell>
          <cell r="X39">
            <v>0</v>
          </cell>
          <cell r="Y39">
            <v>0</v>
          </cell>
          <cell r="Z39">
            <v>3.5988401994462071E-2</v>
          </cell>
          <cell r="AA39" t="str">
            <v>Non focus</v>
          </cell>
          <cell r="AB39">
            <v>655.99660000000006</v>
          </cell>
          <cell r="AC39">
            <v>1011.4297200000002</v>
          </cell>
          <cell r="AD39">
            <v>811.43999999999994</v>
          </cell>
          <cell r="AE39">
            <v>846.91152</v>
          </cell>
          <cell r="AF39">
            <v>883.92245760000003</v>
          </cell>
          <cell r="AG39">
            <v>922.53921177600012</v>
          </cell>
          <cell r="AH39">
            <v>962.83103035392014</v>
          </cell>
          <cell r="AI39">
            <v>995.20791887462417</v>
          </cell>
          <cell r="AJ39">
            <v>1028.660872779252</v>
          </cell>
          <cell r="AK39">
            <v>0</v>
          </cell>
          <cell r="AL39">
            <v>0.54182158870945374</v>
          </cell>
          <cell r="AM39">
            <v>-0.19772972461200788</v>
          </cell>
          <cell r="AN39">
            <v>4.3714285714285817E-2</v>
          </cell>
          <cell r="AO39">
            <v>4.3701067615658395E-2</v>
          </cell>
          <cell r="AP39">
            <v>4.3687943262411544E-2</v>
          </cell>
          <cell r="AQ39">
            <v>4.3674911660777305E-2</v>
          </cell>
          <cell r="AR39">
            <v>3.3626760563380209E-2</v>
          </cell>
          <cell r="AS39">
            <v>3.3614035087719429E-2</v>
          </cell>
          <cell r="AT39">
            <v>0.11218596941927172</v>
          </cell>
          <cell r="AU39">
            <v>3.9649229656898211E-2</v>
          </cell>
        </row>
        <row r="40">
          <cell r="B40" t="str">
            <v>GMIndustrialMetal</v>
          </cell>
          <cell r="C40" t="str">
            <v>GM</v>
          </cell>
          <cell r="D40" t="str">
            <v>Industrial</v>
          </cell>
          <cell r="E40" t="str">
            <v>Off-road (inc Agri, Other)</v>
          </cell>
          <cell r="F40" t="str">
            <v>Metal</v>
          </cell>
          <cell r="G40">
            <v>1256.7342960000001</v>
          </cell>
          <cell r="H40">
            <v>1779.7968000000001</v>
          </cell>
          <cell r="I40">
            <v>1807.44</v>
          </cell>
          <cell r="J40">
            <v>1872.6141600000001</v>
          </cell>
          <cell r="K40">
            <v>1940.0720736000003</v>
          </cell>
          <cell r="L40">
            <v>2009.8921092720002</v>
          </cell>
          <cell r="M40">
            <v>2082.1552822180802</v>
          </cell>
          <cell r="N40">
            <v>2198.8277764803006</v>
          </cell>
          <cell r="O40">
            <v>2321.9621319631974</v>
          </cell>
          <cell r="P40">
            <v>9.169798291237212E-2</v>
          </cell>
          <cell r="Q40">
            <v>0.12448612111225282</v>
          </cell>
          <cell r="R40">
            <v>0.31068804496968089</v>
          </cell>
          <cell r="S40">
            <v>0</v>
          </cell>
          <cell r="T40">
            <v>0</v>
          </cell>
          <cell r="U40">
            <v>0</v>
          </cell>
          <cell r="V40">
            <v>0</v>
          </cell>
          <cell r="W40">
            <v>0</v>
          </cell>
          <cell r="X40">
            <v>0</v>
          </cell>
          <cell r="Y40">
            <v>0</v>
          </cell>
          <cell r="Z40">
            <v>4.3954007863855615E-2</v>
          </cell>
          <cell r="AA40" t="str">
            <v>Non focus</v>
          </cell>
          <cell r="AB40">
            <v>115.24000000000001</v>
          </cell>
          <cell r="AC40">
            <v>221.56000000000003</v>
          </cell>
          <cell r="AD40">
            <v>561.55000000000007</v>
          </cell>
          <cell r="AE40">
            <v>581.55139000000008</v>
          </cell>
          <cell r="AF40">
            <v>602.2474684</v>
          </cell>
          <cell r="AG40">
            <v>623.66191525300007</v>
          </cell>
          <cell r="AH40">
            <v>645.81920619562004</v>
          </cell>
          <cell r="AI40">
            <v>675.2373052678762</v>
          </cell>
          <cell r="AJ40">
            <v>705.9755415359997</v>
          </cell>
          <cell r="AK40">
            <v>0</v>
          </cell>
          <cell r="AL40">
            <v>0.92259632072197162</v>
          </cell>
          <cell r="AM40">
            <v>1.5345278931215018</v>
          </cell>
          <cell r="AN40">
            <v>3.5618181818181771E-2</v>
          </cell>
          <cell r="AO40">
            <v>3.558770343580453E-2</v>
          </cell>
          <cell r="AP40">
            <v>3.5557553956834687E-2</v>
          </cell>
          <cell r="AQ40">
            <v>3.552772808586746E-2</v>
          </cell>
          <cell r="AR40">
            <v>4.5551601423487798E-2</v>
          </cell>
          <cell r="AS40">
            <v>4.5522123893805277E-2</v>
          </cell>
          <cell r="AT40">
            <v>1.207458720357554</v>
          </cell>
          <cell r="AU40">
            <v>3.9537861077888481E-2</v>
          </cell>
        </row>
        <row r="41">
          <cell r="B41" t="str">
            <v>GMIndustrialAutomotive Manufacture</v>
          </cell>
          <cell r="C41" t="str">
            <v>GM</v>
          </cell>
          <cell r="D41" t="str">
            <v>Industrial</v>
          </cell>
          <cell r="E41" t="str">
            <v>Off-road (inc Agri, Other)</v>
          </cell>
          <cell r="F41" t="str">
            <v>Automotive Manufacture</v>
          </cell>
          <cell r="G41">
            <v>701.18999999999994</v>
          </cell>
          <cell r="H41">
            <v>854.6579999999999</v>
          </cell>
          <cell r="I41">
            <v>811.92509999999993</v>
          </cell>
          <cell r="J41">
            <v>814.36087529999975</v>
          </cell>
          <cell r="K41">
            <v>816.80395792589968</v>
          </cell>
          <cell r="L41">
            <v>819.25436979967731</v>
          </cell>
          <cell r="M41">
            <v>862.79773955453004</v>
          </cell>
          <cell r="N41">
            <v>908.65543941185319</v>
          </cell>
          <cell r="O41">
            <v>956.95047601659326</v>
          </cell>
          <cell r="P41">
            <v>2.5991528686946475E-2</v>
          </cell>
          <cell r="Q41">
            <v>2.8432425601819678E-2</v>
          </cell>
          <cell r="R41">
            <v>3.3254298949496698E-2</v>
          </cell>
          <cell r="S41">
            <v>0</v>
          </cell>
          <cell r="T41">
            <v>0</v>
          </cell>
          <cell r="U41">
            <v>0</v>
          </cell>
          <cell r="V41">
            <v>0</v>
          </cell>
          <cell r="W41">
            <v>0</v>
          </cell>
          <cell r="X41">
            <v>0</v>
          </cell>
          <cell r="Y41">
            <v>0</v>
          </cell>
          <cell r="Z41">
            <v>3.2795917278573672E-2</v>
          </cell>
          <cell r="AA41" t="str">
            <v>Non focus</v>
          </cell>
          <cell r="AB41">
            <v>18.224999999999998</v>
          </cell>
          <cell r="AC41">
            <v>24.3</v>
          </cell>
          <cell r="AD41">
            <v>27</v>
          </cell>
          <cell r="AE41">
            <v>29.798999999999999</v>
          </cell>
          <cell r="AF41">
            <v>32.887800000000006</v>
          </cell>
          <cell r="AG41">
            <v>36.29637000000001</v>
          </cell>
          <cell r="AH41">
            <v>40.057776000000011</v>
          </cell>
          <cell r="AI41">
            <v>44.208499500000009</v>
          </cell>
          <cell r="AJ41">
            <v>48.788789940000015</v>
          </cell>
          <cell r="AK41">
            <v>0</v>
          </cell>
          <cell r="AL41">
            <v>0.33333333333333348</v>
          </cell>
          <cell r="AM41">
            <v>0.11111111111111116</v>
          </cell>
          <cell r="AN41">
            <v>0.10366666666666657</v>
          </cell>
          <cell r="AO41">
            <v>0.10365448504983399</v>
          </cell>
          <cell r="AP41">
            <v>0.10364238410596038</v>
          </cell>
          <cell r="AQ41">
            <v>0.10363036303630357</v>
          </cell>
          <cell r="AR41">
            <v>0.10361842105263142</v>
          </cell>
          <cell r="AS41">
            <v>0.10360655737704927</v>
          </cell>
          <cell r="AT41">
            <v>0.2171612389003692</v>
          </cell>
          <cell r="AU41">
            <v>0.10363044199426996</v>
          </cell>
        </row>
        <row r="42">
          <cell r="B42" t="str">
            <v>GMIndustrialMachinery Manufacture</v>
          </cell>
          <cell r="C42" t="str">
            <v>GM</v>
          </cell>
          <cell r="D42" t="str">
            <v>Industrial</v>
          </cell>
          <cell r="E42" t="str">
            <v>Off-road (inc Agri, Other)</v>
          </cell>
          <cell r="F42" t="str">
            <v>Machinery Manufacture</v>
          </cell>
          <cell r="G42">
            <v>1029.5250000000003</v>
          </cell>
          <cell r="H42">
            <v>1254.855</v>
          </cell>
          <cell r="I42">
            <v>1192.1122499999997</v>
          </cell>
          <cell r="J42">
            <v>1195.6885867499996</v>
          </cell>
          <cell r="K42">
            <v>1199.2756525102495</v>
          </cell>
          <cell r="L42">
            <v>1202.87347946778</v>
          </cell>
          <cell r="M42">
            <v>1266.8062049014925</v>
          </cell>
          <cell r="N42">
            <v>1334.1369546920066</v>
          </cell>
          <cell r="O42">
            <v>1405.0463338338868</v>
          </cell>
          <cell r="P42">
            <v>0.16042106796823771</v>
          </cell>
          <cell r="Q42">
            <v>0.1662502838973427</v>
          </cell>
          <cell r="R42">
            <v>0.18421084088348227</v>
          </cell>
          <cell r="S42">
            <v>0</v>
          </cell>
          <cell r="T42">
            <v>0</v>
          </cell>
          <cell r="U42">
            <v>0</v>
          </cell>
          <cell r="V42">
            <v>0</v>
          </cell>
          <cell r="W42">
            <v>0</v>
          </cell>
          <cell r="X42">
            <v>0</v>
          </cell>
          <cell r="Y42">
            <v>0</v>
          </cell>
          <cell r="Z42">
            <v>3.2795917278573672E-2</v>
          </cell>
          <cell r="AA42" t="str">
            <v>Non focus</v>
          </cell>
          <cell r="AB42">
            <v>165.15749999999997</v>
          </cell>
          <cell r="AC42">
            <v>208.61999999999998</v>
          </cell>
          <cell r="AD42">
            <v>219.6</v>
          </cell>
          <cell r="AE42">
            <v>220.33199999999999</v>
          </cell>
          <cell r="AF42">
            <v>221.06399999999999</v>
          </cell>
          <cell r="AG42">
            <v>221.79600000000002</v>
          </cell>
          <cell r="AH42">
            <v>233.65440000000004</v>
          </cell>
          <cell r="AI42">
            <v>246.14415</v>
          </cell>
          <cell r="AJ42">
            <v>259.29873900000001</v>
          </cell>
          <cell r="AK42">
            <v>0</v>
          </cell>
          <cell r="AL42">
            <v>0.26315789473684226</v>
          </cell>
          <cell r="AM42">
            <v>5.2631578947368585E-2</v>
          </cell>
          <cell r="AN42">
            <v>3.3333333333334103E-3</v>
          </cell>
          <cell r="AO42">
            <v>3.3222591362125353E-3</v>
          </cell>
          <cell r="AP42">
            <v>3.3112582781458233E-3</v>
          </cell>
          <cell r="AQ42">
            <v>5.3465346534653513E-2</v>
          </cell>
          <cell r="AR42">
            <v>5.3453947368420796E-2</v>
          </cell>
          <cell r="AS42">
            <v>5.3442622950819807E-2</v>
          </cell>
          <cell r="AT42">
            <v>0.15310012106350768</v>
          </cell>
          <cell r="AU42">
            <v>3.3105243067189205E-2</v>
          </cell>
        </row>
        <row r="43">
          <cell r="B43" t="str">
            <v>GMIndustrialPetro Chemicals</v>
          </cell>
          <cell r="C43" t="str">
            <v>GM</v>
          </cell>
          <cell r="D43" t="str">
            <v>Industrial</v>
          </cell>
          <cell r="E43" t="str">
            <v>Off-road (inc Agri, Other)</v>
          </cell>
          <cell r="F43" t="str">
            <v>Petro Chemicals</v>
          </cell>
          <cell r="G43">
            <v>1071</v>
          </cell>
          <cell r="H43">
            <v>1323.0000000000002</v>
          </cell>
          <cell r="I43">
            <v>1323</v>
          </cell>
          <cell r="J43">
            <v>1366.7780699999998</v>
          </cell>
          <cell r="K43">
            <v>1412.0047563362996</v>
          </cell>
          <cell r="L43">
            <v>1458.7279937234675</v>
          </cell>
          <cell r="M43">
            <v>1506.9973030357769</v>
          </cell>
          <cell r="N43">
            <v>1587.0942096921283</v>
          </cell>
          <cell r="O43">
            <v>1671.4482669372646</v>
          </cell>
          <cell r="P43">
            <v>0.20628571428571427</v>
          </cell>
          <cell r="Q43">
            <v>0.20680272108843537</v>
          </cell>
          <cell r="R43">
            <v>0.21768707482993196</v>
          </cell>
          <cell r="S43">
            <v>0</v>
          </cell>
          <cell r="T43">
            <v>0</v>
          </cell>
          <cell r="U43">
            <v>0</v>
          </cell>
          <cell r="V43">
            <v>0</v>
          </cell>
          <cell r="W43">
            <v>0</v>
          </cell>
          <cell r="X43">
            <v>0</v>
          </cell>
          <cell r="Y43">
            <v>0</v>
          </cell>
          <cell r="Z43">
            <v>4.1067736284065015E-2</v>
          </cell>
          <cell r="AA43" t="str">
            <v>Non focus</v>
          </cell>
          <cell r="AB43">
            <v>220.93199999999999</v>
          </cell>
          <cell r="AC43">
            <v>273.60000000000002</v>
          </cell>
          <cell r="AD43">
            <v>288</v>
          </cell>
          <cell r="AE43">
            <v>297.75240000000002</v>
          </cell>
          <cell r="AF43">
            <v>307.83074399999998</v>
          </cell>
          <cell r="AG43">
            <v>318.24581148000004</v>
          </cell>
          <cell r="AH43">
            <v>329.00873533920003</v>
          </cell>
          <cell r="AI43">
            <v>346.73549909670004</v>
          </cell>
          <cell r="AJ43">
            <v>365.41241739160205</v>
          </cell>
          <cell r="AK43">
            <v>0</v>
          </cell>
          <cell r="AL43">
            <v>0.23839009287925705</v>
          </cell>
          <cell r="AM43">
            <v>5.2631578947368363E-2</v>
          </cell>
          <cell r="AN43">
            <v>3.3862500000000129E-2</v>
          </cell>
          <cell r="AO43">
            <v>3.3848069738480646E-2</v>
          </cell>
          <cell r="AP43">
            <v>3.3833746898263239E-2</v>
          </cell>
          <cell r="AQ43">
            <v>3.3819530284301624E-2</v>
          </cell>
          <cell r="AR43">
            <v>5.3879310344827624E-2</v>
          </cell>
          <cell r="AS43">
            <v>5.3865030674846714E-2</v>
          </cell>
          <cell r="AT43">
            <v>0.14173925167713786</v>
          </cell>
          <cell r="AU43">
            <v>4.1803005821263284E-2</v>
          </cell>
        </row>
        <row r="44">
          <cell r="B44" t="str">
            <v>GMIndustrialTextile</v>
          </cell>
          <cell r="C44" t="str">
            <v>GM</v>
          </cell>
          <cell r="D44" t="str">
            <v>Industrial</v>
          </cell>
          <cell r="E44" t="str">
            <v>Off-road (inc Agri, Other)</v>
          </cell>
          <cell r="F44" t="str">
            <v>Textile</v>
          </cell>
          <cell r="G44">
            <v>399.89999999999986</v>
          </cell>
          <cell r="H44">
            <v>580</v>
          </cell>
          <cell r="I44">
            <v>603.19999999999993</v>
          </cell>
          <cell r="J44">
            <v>627.32800000000009</v>
          </cell>
          <cell r="K44">
            <v>652.42112000000009</v>
          </cell>
          <cell r="L44">
            <v>678.51796480000019</v>
          </cell>
          <cell r="M44">
            <v>705.65868339200017</v>
          </cell>
          <cell r="N44">
            <v>733.88503072768015</v>
          </cell>
          <cell r="O44">
            <v>763.24043195678735</v>
          </cell>
          <cell r="P44">
            <v>7.7019254813703447E-2</v>
          </cell>
          <cell r="Q44">
            <v>0.10405172413793104</v>
          </cell>
          <cell r="R44">
            <v>8.4549071618037139E-2</v>
          </cell>
          <cell r="S44">
            <v>0</v>
          </cell>
          <cell r="T44">
            <v>0</v>
          </cell>
          <cell r="U44">
            <v>0</v>
          </cell>
          <cell r="V44">
            <v>0</v>
          </cell>
          <cell r="W44">
            <v>0</v>
          </cell>
          <cell r="X44">
            <v>0</v>
          </cell>
          <cell r="Y44">
            <v>0</v>
          </cell>
          <cell r="Z44">
            <v>4.0000000000000036E-2</v>
          </cell>
          <cell r="AA44" t="str">
            <v>Non focus</v>
          </cell>
          <cell r="AB44">
            <v>30.799999999999997</v>
          </cell>
          <cell r="AC44">
            <v>60.35</v>
          </cell>
          <cell r="AD44">
            <v>51</v>
          </cell>
          <cell r="AE44">
            <v>49.919999999999995</v>
          </cell>
          <cell r="AF44">
            <v>48.67199999999999</v>
          </cell>
          <cell r="AG44">
            <v>50.618879999999997</v>
          </cell>
          <cell r="AH44">
            <v>52.643635199999999</v>
          </cell>
          <cell r="AI44">
            <v>54.749380607999996</v>
          </cell>
          <cell r="AJ44">
            <v>56.939355832320004</v>
          </cell>
          <cell r="AK44">
            <v>0</v>
          </cell>
          <cell r="AL44">
            <v>0.95941558441558472</v>
          </cell>
          <cell r="AM44">
            <v>-0.15492957746478875</v>
          </cell>
          <cell r="AN44">
            <v>-2.1176470588235352E-2</v>
          </cell>
          <cell r="AO44">
            <v>-2.5000000000000133E-2</v>
          </cell>
          <cell r="AP44">
            <v>4.0000000000000258E-2</v>
          </cell>
          <cell r="AQ44">
            <v>4.0000000000000036E-2</v>
          </cell>
          <cell r="AR44">
            <v>4.0000000000000036E-2</v>
          </cell>
          <cell r="AS44">
            <v>4.0000000000000258E-2</v>
          </cell>
          <cell r="AT44">
            <v>0.2867960816866657</v>
          </cell>
          <cell r="AU44">
            <v>2.6662252634106265E-2</v>
          </cell>
        </row>
        <row r="45">
          <cell r="B45" t="str">
            <v>GMIndustrialRubber-Footwear</v>
          </cell>
          <cell r="C45" t="str">
            <v>GM</v>
          </cell>
          <cell r="D45" t="str">
            <v>Industrial</v>
          </cell>
          <cell r="E45" t="str">
            <v>Off-road (inc Agri, Other)</v>
          </cell>
          <cell r="F45" t="str">
            <v>Rubber-Footwear</v>
          </cell>
          <cell r="G45">
            <v>737.2</v>
          </cell>
          <cell r="H45">
            <v>1139.9999999999998</v>
          </cell>
          <cell r="I45">
            <v>1174.2</v>
          </cell>
          <cell r="J45">
            <v>1209.4259999999999</v>
          </cell>
          <cell r="K45">
            <v>1245.7087800000002</v>
          </cell>
          <cell r="L45">
            <v>1283.0800434000002</v>
          </cell>
          <cell r="M45">
            <v>1321.5724447020004</v>
          </cell>
          <cell r="N45">
            <v>1361.2196180430606</v>
          </cell>
          <cell r="O45">
            <v>1402.0562065843524</v>
          </cell>
          <cell r="P45">
            <v>2.8689636462289742E-2</v>
          </cell>
          <cell r="Q45">
            <v>5.1052631578947377E-2</v>
          </cell>
          <cell r="R45">
            <v>5.2043944813490034E-2</v>
          </cell>
          <cell r="S45">
            <v>0</v>
          </cell>
          <cell r="T45">
            <v>0</v>
          </cell>
          <cell r="U45">
            <v>0</v>
          </cell>
          <cell r="V45">
            <v>0</v>
          </cell>
          <cell r="W45">
            <v>0</v>
          </cell>
          <cell r="X45">
            <v>0</v>
          </cell>
          <cell r="Y45">
            <v>0</v>
          </cell>
          <cell r="Z45">
            <v>3.0000000000000027E-2</v>
          </cell>
          <cell r="AA45" t="str">
            <v>Non focus</v>
          </cell>
          <cell r="AB45">
            <v>21.15</v>
          </cell>
          <cell r="AC45">
            <v>58.199999999999996</v>
          </cell>
          <cell r="AD45">
            <v>61.11</v>
          </cell>
          <cell r="AE45">
            <v>64.165500000000009</v>
          </cell>
          <cell r="AF45">
            <v>67.373775000000009</v>
          </cell>
          <cell r="AG45">
            <v>70.742463750000013</v>
          </cell>
          <cell r="AH45">
            <v>74.279586937500014</v>
          </cell>
          <cell r="AI45">
            <v>77.993566284375035</v>
          </cell>
          <cell r="AJ45">
            <v>81.893244598593768</v>
          </cell>
          <cell r="AK45">
            <v>0</v>
          </cell>
          <cell r="AL45">
            <v>1.75177304964539</v>
          </cell>
          <cell r="AM45">
            <v>5.0000000000000044E-2</v>
          </cell>
          <cell r="AN45">
            <v>5.0000000000000044E-2</v>
          </cell>
          <cell r="AO45">
            <v>5.0000000000000044E-2</v>
          </cell>
          <cell r="AP45">
            <v>5.0000000000000044E-2</v>
          </cell>
          <cell r="AQ45">
            <v>5.0000000000000044E-2</v>
          </cell>
          <cell r="AR45">
            <v>5.0000000000000266E-2</v>
          </cell>
          <cell r="AS45">
            <v>4.9999999999999822E-2</v>
          </cell>
          <cell r="AT45">
            <v>0.69981225496454735</v>
          </cell>
          <cell r="AU45">
            <v>5.0000000000000044E-2</v>
          </cell>
        </row>
        <row r="46">
          <cell r="B46" t="str">
            <v>GMIndustrialOther</v>
          </cell>
          <cell r="C46" t="str">
            <v>GM</v>
          </cell>
          <cell r="D46" t="str">
            <v>Industrial</v>
          </cell>
          <cell r="E46" t="str">
            <v>Off-road (inc Agri, Other)</v>
          </cell>
          <cell r="F46" t="str">
            <v>Other</v>
          </cell>
          <cell r="G46">
            <v>13392.494117647057</v>
          </cell>
          <cell r="H46">
            <v>14554.400000000001</v>
          </cell>
          <cell r="I46">
            <v>15006.885900000001</v>
          </cell>
          <cell r="J46">
            <v>15468.676739800001</v>
          </cell>
          <cell r="K46">
            <v>14939.9379777177</v>
          </cell>
          <cell r="L46">
            <v>15420.837801452231</v>
          </cell>
          <cell r="M46">
            <v>15911.547171085629</v>
          </cell>
          <cell r="N46">
            <v>16659.148289622852</v>
          </cell>
          <cell r="O46">
            <v>17354.939832158754</v>
          </cell>
          <cell r="P46">
            <v>0.57022985658340675</v>
          </cell>
          <cell r="Q46">
            <v>0.55034903534326385</v>
          </cell>
          <cell r="R46">
            <v>0.56987839162554033</v>
          </cell>
          <cell r="S46">
            <v>0</v>
          </cell>
          <cell r="T46">
            <v>0</v>
          </cell>
          <cell r="U46">
            <v>0</v>
          </cell>
          <cell r="V46">
            <v>0</v>
          </cell>
          <cell r="W46">
            <v>0</v>
          </cell>
          <cell r="X46">
            <v>0</v>
          </cell>
          <cell r="Y46">
            <v>0</v>
          </cell>
          <cell r="Z46">
            <v>2.3278830827528241E-2</v>
          </cell>
          <cell r="AA46" t="str">
            <v>Non focus</v>
          </cell>
          <cell r="AB46">
            <v>7636.7999999999993</v>
          </cell>
          <cell r="AC46">
            <v>8010</v>
          </cell>
          <cell r="AD46">
            <v>8552.1</v>
          </cell>
          <cell r="AE46">
            <v>8583.2218000000012</v>
          </cell>
          <cell r="AF46">
            <v>8958.9676320000017</v>
          </cell>
          <cell r="AG46">
            <v>9169.4420085600013</v>
          </cell>
          <cell r="AH46">
            <v>9384.7517731296011</v>
          </cell>
          <cell r="AI46">
            <v>9887.5063324044022</v>
          </cell>
          <cell r="AJ46">
            <v>10417.074468173858</v>
          </cell>
          <cell r="AK46">
            <v>0</v>
          </cell>
          <cell r="AL46">
            <v>4.8868636077938454E-2</v>
          </cell>
          <cell r="AM46">
            <v>6.7677902621722907E-2</v>
          </cell>
          <cell r="AN46">
            <v>3.6390827983769913E-3</v>
          </cell>
          <cell r="AO46">
            <v>4.3776782280052551E-2</v>
          </cell>
          <cell r="AP46">
            <v>2.3493150684931408E-2</v>
          </cell>
          <cell r="AQ46">
            <v>2.3481228668941867E-2</v>
          </cell>
          <cell r="AR46">
            <v>5.3571428571428603E-2</v>
          </cell>
          <cell r="AS46">
            <v>5.3559322033898349E-2</v>
          </cell>
          <cell r="AT46">
            <v>5.8231480108865696E-2</v>
          </cell>
          <cell r="AU46">
            <v>3.9487058291131083E-2</v>
          </cell>
        </row>
        <row r="47">
          <cell r="B47" t="str">
            <v>GMPCORetail</v>
          </cell>
          <cell r="C47" t="str">
            <v>GM</v>
          </cell>
          <cell r="D47" t="str">
            <v>PCO</v>
          </cell>
          <cell r="E47" t="str">
            <v>Retail</v>
          </cell>
          <cell r="F47" t="str">
            <v>Retail</v>
          </cell>
          <cell r="G47">
            <v>2045.7139846713746</v>
          </cell>
          <cell r="H47">
            <v>2358.8469196939095</v>
          </cell>
          <cell r="I47">
            <v>2672.039396617608</v>
          </cell>
          <cell r="J47">
            <v>2760.442958846068</v>
          </cell>
          <cell r="K47">
            <v>2870.7789784699576</v>
          </cell>
          <cell r="L47">
            <v>2980.738220301992</v>
          </cell>
          <cell r="M47">
            <v>3152.6768803684195</v>
          </cell>
          <cell r="N47">
            <v>3486.0611508610018</v>
          </cell>
          <cell r="O47">
            <v>3983.6606170790255</v>
          </cell>
          <cell r="P47">
            <v>0.17783949185302905</v>
          </cell>
          <cell r="Q47">
            <v>0.19589679365562862</v>
          </cell>
          <cell r="R47">
            <v>0.22618277352021005</v>
          </cell>
          <cell r="S47">
            <v>0</v>
          </cell>
          <cell r="T47">
            <v>0</v>
          </cell>
          <cell r="U47">
            <v>0</v>
          </cell>
          <cell r="V47">
            <v>0</v>
          </cell>
          <cell r="W47">
            <v>0</v>
          </cell>
          <cell r="X47">
            <v>0</v>
          </cell>
          <cell r="Y47">
            <v>0</v>
          </cell>
          <cell r="Z47">
            <v>7.612001980201466E-2</v>
          </cell>
          <cell r="AA47" t="str">
            <v>Non focus</v>
          </cell>
          <cell r="AB47">
            <v>363.80873551059256</v>
          </cell>
          <cell r="AC47">
            <v>462.09054829249294</v>
          </cell>
          <cell r="AD47">
            <v>604.36928168223915</v>
          </cell>
          <cell r="AE47">
            <v>631.88010303934436</v>
          </cell>
          <cell r="AF47">
            <v>632.06683939809398</v>
          </cell>
          <cell r="AG47">
            <v>660.93225153071978</v>
          </cell>
          <cell r="AH47">
            <v>681.29862379432768</v>
          </cell>
          <cell r="AI47">
            <v>711.96316110833243</v>
          </cell>
          <cell r="AJ47">
            <v>746.16278830503006</v>
          </cell>
          <cell r="AK47">
            <v>0</v>
          </cell>
          <cell r="AL47">
            <v>0.27014692938575369</v>
          </cell>
          <cell r="AM47">
            <v>0.30790228000873743</v>
          </cell>
          <cell r="AN47">
            <v>4.551988691504949E-2</v>
          </cell>
          <cell r="AO47">
            <v>2.9552498622975598E-4</v>
          </cell>
          <cell r="AP47">
            <v>4.5668290651213139E-2</v>
          </cell>
          <cell r="AQ47">
            <v>3.0814614079490488E-2</v>
          </cell>
          <cell r="AR47">
            <v>4.5008952378658984E-2</v>
          </cell>
          <cell r="AS47">
            <v>4.8035669631358635E-2</v>
          </cell>
          <cell r="AT47">
            <v>0.28888636616643759</v>
          </cell>
          <cell r="AU47">
            <v>3.3807744559069652E-2</v>
          </cell>
        </row>
        <row r="48">
          <cell r="B48" t="str">
            <v>GMPCOIndependent WS</v>
          </cell>
          <cell r="C48" t="str">
            <v>GM</v>
          </cell>
          <cell r="D48" t="str">
            <v>PCO</v>
          </cell>
          <cell r="E48" t="str">
            <v>Other WS</v>
          </cell>
          <cell r="F48" t="str">
            <v>Independent WS</v>
          </cell>
          <cell r="G48">
            <v>5733.5342228103309</v>
          </cell>
          <cell r="H48">
            <v>6962.1281633896579</v>
          </cell>
          <cell r="I48">
            <v>8068.5111191982642</v>
          </cell>
          <cell r="J48">
            <v>8804.4851328651639</v>
          </cell>
          <cell r="K48">
            <v>9678.3609301598171</v>
          </cell>
          <cell r="L48">
            <v>10629.997280191994</v>
          </cell>
          <cell r="M48">
            <v>11903.014575271331</v>
          </cell>
          <cell r="N48">
            <v>13292.029683393459</v>
          </cell>
          <cell r="O48">
            <v>15339.719970899416</v>
          </cell>
          <cell r="P48">
            <v>0.37023102162518917</v>
          </cell>
          <cell r="Q48">
            <v>0.39422742701864638</v>
          </cell>
          <cell r="R48">
            <v>0.43359494127367804</v>
          </cell>
          <cell r="S48">
            <v>0</v>
          </cell>
          <cell r="T48">
            <v>0</v>
          </cell>
          <cell r="U48">
            <v>0</v>
          </cell>
          <cell r="V48">
            <v>0</v>
          </cell>
          <cell r="W48">
            <v>0</v>
          </cell>
          <cell r="X48">
            <v>0</v>
          </cell>
          <cell r="Y48">
            <v>0</v>
          </cell>
          <cell r="Z48">
            <v>0.11743608922684423</v>
          </cell>
          <cell r="AA48" t="str">
            <v>Focus</v>
          </cell>
          <cell r="AB48">
            <v>2122.7322328340538</v>
          </cell>
          <cell r="AC48">
            <v>2744.6618724271589</v>
          </cell>
          <cell r="AD48">
            <v>3498.4656048947895</v>
          </cell>
          <cell r="AE48">
            <v>3900.9158260649542</v>
          </cell>
          <cell r="AF48">
            <v>4729.9771497963839</v>
          </cell>
          <cell r="AG48">
            <v>5788.8932628399089</v>
          </cell>
          <cell r="AH48">
            <v>6957.6284825485473</v>
          </cell>
          <cell r="AI48">
            <v>8233.249169653307</v>
          </cell>
          <cell r="AJ48">
            <v>9611.4825871151388</v>
          </cell>
          <cell r="AK48">
            <v>0</v>
          </cell>
          <cell r="AL48">
            <v>0.29298544110896585</v>
          </cell>
          <cell r="AM48">
            <v>0.27464356904591214</v>
          </cell>
          <cell r="AN48">
            <v>0.11503620919041957</v>
          </cell>
          <cell r="AO48">
            <v>0.21252991879287597</v>
          </cell>
          <cell r="AP48">
            <v>0.22387340985127357</v>
          </cell>
          <cell r="AQ48">
            <v>0.20189268771130897</v>
          </cell>
          <cell r="AR48">
            <v>0.18334130520253167</v>
          </cell>
          <cell r="AS48">
            <v>0.16739848255070688</v>
          </cell>
          <cell r="AT48">
            <v>0.28378174834336045</v>
          </cell>
          <cell r="AU48">
            <v>0.19763577599763638</v>
          </cell>
        </row>
        <row r="49">
          <cell r="B49" t="str">
            <v>GMPCOCar fleet (taxi)</v>
          </cell>
          <cell r="C49" t="str">
            <v>GM</v>
          </cell>
          <cell r="D49" t="str">
            <v>PCO</v>
          </cell>
          <cell r="E49" t="str">
            <v>On road transport (taxi)</v>
          </cell>
          <cell r="F49" t="str">
            <v>Car fleet (taxi)</v>
          </cell>
          <cell r="G49">
            <v>767.58059580645147</v>
          </cell>
          <cell r="H49">
            <v>880.22464348129438</v>
          </cell>
          <cell r="I49">
            <v>990.33581373571201</v>
          </cell>
          <cell r="J49">
            <v>870.19247609615627</v>
          </cell>
          <cell r="K49">
            <v>908.80733525554103</v>
          </cell>
          <cell r="L49">
            <v>906.21803866782068</v>
          </cell>
          <cell r="M49">
            <v>911.31893806691528</v>
          </cell>
          <cell r="N49">
            <v>900.40351319817933</v>
          </cell>
          <cell r="O49">
            <v>889.88782276383404</v>
          </cell>
          <cell r="P49">
            <v>0.19350770530635061</v>
          </cell>
          <cell r="Q49">
            <v>0.18903782273247796</v>
          </cell>
          <cell r="R49">
            <v>0.18215185085649854</v>
          </cell>
          <cell r="S49">
            <v>0</v>
          </cell>
          <cell r="T49">
            <v>0</v>
          </cell>
          <cell r="U49">
            <v>0</v>
          </cell>
          <cell r="V49">
            <v>0</v>
          </cell>
          <cell r="W49">
            <v>0</v>
          </cell>
          <cell r="X49">
            <v>0</v>
          </cell>
          <cell r="Y49">
            <v>0</v>
          </cell>
          <cell r="Z49">
            <v>4.4862309122486455E-3</v>
          </cell>
          <cell r="AA49" t="str">
            <v>Non focus</v>
          </cell>
          <cell r="AB49">
            <v>148.53275973218783</v>
          </cell>
          <cell r="AC49">
            <v>166.39575011917555</v>
          </cell>
          <cell r="AD49">
            <v>180.39150144143653</v>
          </cell>
          <cell r="AE49">
            <v>184.0208708957008</v>
          </cell>
          <cell r="AF49">
            <v>179.6032197605214</v>
          </cell>
          <cell r="AG49">
            <v>183.2427357031732</v>
          </cell>
          <cell r="AH49">
            <v>184.30030092153029</v>
          </cell>
          <cell r="AI49">
            <v>187.9164354120521</v>
          </cell>
          <cell r="AJ49">
            <v>192.15847353320547</v>
          </cell>
          <cell r="AK49">
            <v>0</v>
          </cell>
          <cell r="AL49">
            <v>0.12026296703296713</v>
          </cell>
          <cell r="AM49">
            <v>8.4111230678890481E-2</v>
          </cell>
          <cell r="AN49">
            <v>2.0119403770484823E-2</v>
          </cell>
          <cell r="AO49">
            <v>-2.4006250561020459E-2</v>
          </cell>
          <cell r="AP49">
            <v>2.026420209785007E-2</v>
          </cell>
          <cell r="AQ49">
            <v>5.7713895958757533E-3</v>
          </cell>
          <cell r="AR49">
            <v>1.9620882182180832E-2</v>
          </cell>
          <cell r="AS49">
            <v>2.2574066562361494E-2</v>
          </cell>
          <cell r="AT49">
            <v>0.10203886677108409</v>
          </cell>
          <cell r="AU49">
            <v>8.6918031800160556E-3</v>
          </cell>
        </row>
        <row r="50">
          <cell r="B50" t="str">
            <v>GMOEMToyota</v>
          </cell>
          <cell r="C50" t="str">
            <v>GM</v>
          </cell>
          <cell r="D50" t="str">
            <v>OEM</v>
          </cell>
          <cell r="E50" t="str">
            <v>OEM Auth W/S</v>
          </cell>
          <cell r="F50" t="str">
            <v>Toyota</v>
          </cell>
          <cell r="G50">
            <v>367.47437867179599</v>
          </cell>
          <cell r="H50">
            <v>393.88987848000454</v>
          </cell>
          <cell r="I50">
            <v>575.52091697876938</v>
          </cell>
          <cell r="J50">
            <v>506.85550445055355</v>
          </cell>
          <cell r="K50">
            <v>639.13150264286583</v>
          </cell>
          <cell r="L50">
            <v>712.54012752878839</v>
          </cell>
          <cell r="M50">
            <v>802.70315196541299</v>
          </cell>
          <cell r="N50">
            <v>875.7926324973389</v>
          </cell>
          <cell r="O50">
            <v>940.73689717022648</v>
          </cell>
          <cell r="P50">
            <v>0</v>
          </cell>
          <cell r="Q50">
            <v>0</v>
          </cell>
          <cell r="R50">
            <v>0</v>
          </cell>
          <cell r="S50">
            <v>0</v>
          </cell>
          <cell r="T50">
            <v>0</v>
          </cell>
          <cell r="U50">
            <v>0</v>
          </cell>
          <cell r="V50">
            <v>0</v>
          </cell>
          <cell r="W50">
            <v>0</v>
          </cell>
          <cell r="X50">
            <v>0</v>
          </cell>
          <cell r="Y50">
            <v>0</v>
          </cell>
          <cell r="Z50">
            <v>0.13166218023038057</v>
          </cell>
          <cell r="AA50" t="str">
            <v>Non focus</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t="e">
            <v>#DIV/0!</v>
          </cell>
          <cell r="AU50" t="e">
            <v>#DIV/0!</v>
          </cell>
        </row>
        <row r="51">
          <cell r="B51" t="str">
            <v>GMOEMWestern OEM</v>
          </cell>
          <cell r="C51" t="str">
            <v>GM</v>
          </cell>
          <cell r="D51" t="str">
            <v>OEM</v>
          </cell>
          <cell r="E51" t="str">
            <v>OEM Auth W/S</v>
          </cell>
          <cell r="F51" t="str">
            <v>Western OEM</v>
          </cell>
          <cell r="G51">
            <v>772.43336191818582</v>
          </cell>
          <cell r="H51">
            <v>984.81296214656379</v>
          </cell>
          <cell r="I51">
            <v>1032.5522334030861</v>
          </cell>
          <cell r="J51">
            <v>1234.8832093754791</v>
          </cell>
          <cell r="K51">
            <v>964.36746838207307</v>
          </cell>
          <cell r="L51">
            <v>1185.4229899289201</v>
          </cell>
          <cell r="M51">
            <v>1373.747886917196</v>
          </cell>
          <cell r="N51">
            <v>1611.1678483529718</v>
          </cell>
          <cell r="O51">
            <v>1897.9249010272508</v>
          </cell>
          <cell r="P51">
            <v>0.48288955188798177</v>
          </cell>
          <cell r="Q51">
            <v>0.61730780093526694</v>
          </cell>
          <cell r="R51">
            <v>0.89267230005568698</v>
          </cell>
          <cell r="S51">
            <v>0</v>
          </cell>
          <cell r="T51">
            <v>0</v>
          </cell>
          <cell r="U51">
            <v>0</v>
          </cell>
          <cell r="V51">
            <v>0</v>
          </cell>
          <cell r="W51">
            <v>0</v>
          </cell>
          <cell r="X51">
            <v>0</v>
          </cell>
          <cell r="Y51">
            <v>0</v>
          </cell>
          <cell r="Z51">
            <v>8.9759409595359774E-2</v>
          </cell>
          <cell r="AA51" t="str">
            <v>Non focus</v>
          </cell>
          <cell r="AB51">
            <v>373</v>
          </cell>
          <cell r="AC51">
            <v>607.93272399524153</v>
          </cell>
          <cell r="AD51">
            <v>921.73077711956944</v>
          </cell>
          <cell r="AE51">
            <v>1013.9038548315265</v>
          </cell>
          <cell r="AF51">
            <v>713.89808423530337</v>
          </cell>
          <cell r="AG51">
            <v>785.28789265883381</v>
          </cell>
          <cell r="AH51">
            <v>781.66035203159311</v>
          </cell>
          <cell r="AI51">
            <v>859.8263872347527</v>
          </cell>
          <cell r="AJ51">
            <v>945.80902595822795</v>
          </cell>
          <cell r="AK51">
            <v>0</v>
          </cell>
          <cell r="AL51">
            <v>0.62984644502745724</v>
          </cell>
          <cell r="AM51">
            <v>0.51617233410646945</v>
          </cell>
          <cell r="AN51">
            <v>0.10000000000000009</v>
          </cell>
          <cell r="AO51">
            <v>-0.2958917348687593</v>
          </cell>
          <cell r="AP51">
            <v>0.10000000000000009</v>
          </cell>
          <cell r="AQ51">
            <v>-4.6193767421506271E-3</v>
          </cell>
          <cell r="AR51">
            <v>0.10000000000000031</v>
          </cell>
          <cell r="AS51">
            <v>9.9999999999999867E-2</v>
          </cell>
          <cell r="AT51">
            <v>0.57198221643643654</v>
          </cell>
          <cell r="AU51">
            <v>-1.3808316118293473E-2</v>
          </cell>
        </row>
        <row r="52">
          <cell r="B52" t="str">
            <v>GMOEMOther OEMs</v>
          </cell>
          <cell r="C52" t="str">
            <v>GM</v>
          </cell>
          <cell r="D52" t="str">
            <v>OEM</v>
          </cell>
          <cell r="E52" t="str">
            <v>OEM Auth W/S</v>
          </cell>
          <cell r="F52" t="str">
            <v>Other OEMs</v>
          </cell>
          <cell r="G52">
            <v>944.08522012222704</v>
          </cell>
          <cell r="H52">
            <v>1172.4359914937434</v>
          </cell>
          <cell r="I52">
            <v>1074.305711693703</v>
          </cell>
          <cell r="J52">
            <v>1272.3444125756962</v>
          </cell>
          <cell r="K52">
            <v>957.85228968320348</v>
          </cell>
          <cell r="L52">
            <v>1126.4583193917103</v>
          </cell>
          <cell r="M52">
            <v>1388.8561887894068</v>
          </cell>
          <cell r="N52">
            <v>1768.2106829194249</v>
          </cell>
          <cell r="O52">
            <v>2346.3731938260294</v>
          </cell>
          <cell r="P52">
            <v>0.12816639580941075</v>
          </cell>
          <cell r="Q52">
            <v>0.11258610359771135</v>
          </cell>
          <cell r="R52">
            <v>0.13915964364026781</v>
          </cell>
          <cell r="S52">
            <v>0</v>
          </cell>
          <cell r="T52">
            <v>0</v>
          </cell>
          <cell r="U52">
            <v>0</v>
          </cell>
          <cell r="V52">
            <v>0</v>
          </cell>
          <cell r="W52">
            <v>0</v>
          </cell>
          <cell r="X52">
            <v>0</v>
          </cell>
          <cell r="Y52">
            <v>0</v>
          </cell>
          <cell r="Z52">
            <v>0.13020826863961932</v>
          </cell>
          <cell r="AA52" t="str">
            <v>Non focus</v>
          </cell>
          <cell r="AB52">
            <v>121.00000000000001</v>
          </cell>
          <cell r="AC52">
            <v>132</v>
          </cell>
          <cell r="AD52">
            <v>149.5</v>
          </cell>
          <cell r="AE52">
            <v>152.48999999999998</v>
          </cell>
          <cell r="AF52">
            <v>155.53979999999999</v>
          </cell>
          <cell r="AG52">
            <v>158.65059600000001</v>
          </cell>
          <cell r="AH52">
            <v>161.82360792</v>
          </cell>
          <cell r="AI52">
            <v>165.06008007840001</v>
          </cell>
          <cell r="AJ52">
            <v>168.36128167996802</v>
          </cell>
          <cell r="AK52">
            <v>0</v>
          </cell>
          <cell r="AL52">
            <v>9.0909090909090828E-2</v>
          </cell>
          <cell r="AM52">
            <v>0.13257575757575757</v>
          </cell>
          <cell r="AN52">
            <v>1.9999999999999796E-2</v>
          </cell>
          <cell r="AO52">
            <v>2.0000000000000018E-2</v>
          </cell>
          <cell r="AP52">
            <v>2.000000000000024E-2</v>
          </cell>
          <cell r="AQ52">
            <v>2.0000000000000018E-2</v>
          </cell>
          <cell r="AR52">
            <v>2.0000000000000018E-2</v>
          </cell>
          <cell r="AS52">
            <v>2.0000000000000018E-2</v>
          </cell>
          <cell r="AT52">
            <v>0.11154720551249842</v>
          </cell>
          <cell r="AU52">
            <v>2.0000000000000018E-2</v>
          </cell>
        </row>
        <row r="53">
          <cell r="B53" t="str">
            <v>GMOEMOEM FF</v>
          </cell>
          <cell r="C53" t="str">
            <v>GM</v>
          </cell>
          <cell r="D53" t="str">
            <v>OEM</v>
          </cell>
          <cell r="E53" t="str">
            <v>OEM FF</v>
          </cell>
          <cell r="F53" t="str">
            <v>OEM FF</v>
          </cell>
          <cell r="G53">
            <v>5.9771021182250106</v>
          </cell>
          <cell r="H53">
            <v>5.9296315766320582</v>
          </cell>
          <cell r="I53">
            <v>7.2780570037964871</v>
          </cell>
          <cell r="J53">
            <v>9.3254910338679693</v>
          </cell>
          <cell r="K53">
            <v>10.143567760031422</v>
          </cell>
          <cell r="L53">
            <v>11.607252666306769</v>
          </cell>
          <cell r="M53">
            <v>13.939835179698502</v>
          </cell>
          <cell r="N53">
            <v>16.991598683915718</v>
          </cell>
          <cell r="O53">
            <v>20.775305468688536</v>
          </cell>
          <cell r="P53">
            <v>0</v>
          </cell>
          <cell r="Q53">
            <v>0</v>
          </cell>
          <cell r="R53">
            <v>0</v>
          </cell>
          <cell r="S53">
            <v>0</v>
          </cell>
          <cell r="T53">
            <v>0</v>
          </cell>
          <cell r="U53">
            <v>0</v>
          </cell>
          <cell r="V53">
            <v>0</v>
          </cell>
          <cell r="W53">
            <v>0</v>
          </cell>
          <cell r="X53">
            <v>0</v>
          </cell>
          <cell r="Y53">
            <v>0</v>
          </cell>
          <cell r="Z53">
            <v>0.17374874753150427</v>
          </cell>
          <cell r="AA53" t="str">
            <v>Non focus</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t="e">
            <v>#DIV/0!</v>
          </cell>
          <cell r="AU53" t="e">
            <v>#DIV/0!</v>
          </cell>
        </row>
        <row r="54">
          <cell r="B54" t="str">
            <v>GMCVOGarage-Washing Shop</v>
          </cell>
          <cell r="C54" t="str">
            <v>GM</v>
          </cell>
          <cell r="D54" t="str">
            <v>CVO</v>
          </cell>
          <cell r="E54" t="str">
            <v>Other WS</v>
          </cell>
          <cell r="F54" t="str">
            <v>Garage-Washing Shop</v>
          </cell>
          <cell r="G54">
            <v>4609.140234457398</v>
          </cell>
          <cell r="H54">
            <v>5802.6195291302683</v>
          </cell>
          <cell r="I54">
            <v>6996.0988238031387</v>
          </cell>
          <cell r="J54">
            <v>7706.8882487328774</v>
          </cell>
          <cell r="K54">
            <v>8489.8924349625868</v>
          </cell>
          <cell r="L54">
            <v>9352.4482555051527</v>
          </cell>
          <cell r="M54">
            <v>10302.637994763572</v>
          </cell>
          <cell r="N54">
            <v>11349.36508081357</v>
          </cell>
          <cell r="O54">
            <v>12502.437511932238</v>
          </cell>
          <cell r="P54">
            <v>0.24713001128637521</v>
          </cell>
          <cell r="Q54">
            <v>0.24124904632508609</v>
          </cell>
          <cell r="R54">
            <v>0.26082884348572893</v>
          </cell>
          <cell r="S54">
            <v>0</v>
          </cell>
          <cell r="T54">
            <v>0</v>
          </cell>
          <cell r="U54">
            <v>0</v>
          </cell>
          <cell r="V54">
            <v>0</v>
          </cell>
          <cell r="W54">
            <v>0</v>
          </cell>
          <cell r="X54">
            <v>0</v>
          </cell>
          <cell r="Y54">
            <v>0</v>
          </cell>
          <cell r="Z54">
            <v>0.10159796807206156</v>
          </cell>
          <cell r="AA54" t="str">
            <v>Focus</v>
          </cell>
          <cell r="AB54">
            <v>1139.0568781619429</v>
          </cell>
          <cell r="AC54">
            <v>1399.8764275899973</v>
          </cell>
          <cell r="AD54">
            <v>1824.7843651244411</v>
          </cell>
          <cell r="AE54">
            <v>2117.8355282450912</v>
          </cell>
          <cell r="AF54">
            <v>2804.0378084313752</v>
          </cell>
          <cell r="AG54">
            <v>3367.0233239318209</v>
          </cell>
          <cell r="AH54">
            <v>4144.6983161135549</v>
          </cell>
          <cell r="AI54">
            <v>4846.7679602968228</v>
          </cell>
          <cell r="AJ54">
            <v>5592.1961898925574</v>
          </cell>
          <cell r="AK54">
            <v>0</v>
          </cell>
          <cell r="AL54">
            <v>0.22897851233639011</v>
          </cell>
          <cell r="AM54">
            <v>0.30353246126585454</v>
          </cell>
          <cell r="AN54">
            <v>0.16059495506509647</v>
          </cell>
          <cell r="AO54">
            <v>0.32401112883156413</v>
          </cell>
          <cell r="AP54">
            <v>0.20077672055905293</v>
          </cell>
          <cell r="AQ54">
            <v>0.23096810368204079</v>
          </cell>
          <cell r="AR54">
            <v>0.16938980611780496</v>
          </cell>
          <cell r="AS54">
            <v>0.15379903385143345</v>
          </cell>
          <cell r="AT54">
            <v>0.26570667416613669</v>
          </cell>
          <cell r="AU54">
            <v>0.21433366160779266</v>
          </cell>
        </row>
        <row r="55">
          <cell r="B55" t="str">
            <v>GMCVONational Petrol Station</v>
          </cell>
          <cell r="C55" t="str">
            <v>GM</v>
          </cell>
          <cell r="D55" t="str">
            <v>CVO</v>
          </cell>
          <cell r="E55" t="str">
            <v>Retail</v>
          </cell>
          <cell r="F55" t="str">
            <v>National Petrol Station</v>
          </cell>
          <cell r="G55">
            <v>1575.6966372741892</v>
          </cell>
          <cell r="H55">
            <v>1784.4803675437311</v>
          </cell>
          <cell r="I55">
            <v>1993.2640978132731</v>
          </cell>
          <cell r="J55">
            <v>1899.6278913325016</v>
          </cell>
          <cell r="K55">
            <v>1810.3903689868271</v>
          </cell>
          <cell r="L55">
            <v>1725.3448967951481</v>
          </cell>
          <cell r="M55">
            <v>1644.2945476797997</v>
          </cell>
          <cell r="N55">
            <v>1567.0516454719782</v>
          </cell>
          <cell r="O55">
            <v>1493.4373303381121</v>
          </cell>
          <cell r="P55">
            <v>0</v>
          </cell>
          <cell r="Q55">
            <v>0</v>
          </cell>
          <cell r="R55">
            <v>0</v>
          </cell>
          <cell r="S55">
            <v>0</v>
          </cell>
          <cell r="T55">
            <v>0</v>
          </cell>
          <cell r="U55">
            <v>0</v>
          </cell>
          <cell r="V55">
            <v>0</v>
          </cell>
          <cell r="W55">
            <v>0</v>
          </cell>
          <cell r="X55">
            <v>0</v>
          </cell>
          <cell r="Y55">
            <v>0</v>
          </cell>
          <cell r="Z55">
            <v>-4.6976317179191596E-2</v>
          </cell>
          <cell r="AA55" t="str">
            <v>Non focus</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t="e">
            <v>#DIV/0!</v>
          </cell>
          <cell r="AU55" t="e">
            <v>#DIV/0!</v>
          </cell>
        </row>
        <row r="56">
          <cell r="B56" t="str">
            <v>GMCVOPetrol Station</v>
          </cell>
          <cell r="C56" t="str">
            <v>GM</v>
          </cell>
          <cell r="D56" t="str">
            <v>CVO</v>
          </cell>
          <cell r="E56" t="str">
            <v>Retail</v>
          </cell>
          <cell r="F56" t="str">
            <v>Petrol Station</v>
          </cell>
          <cell r="G56">
            <v>7421.9613807413261</v>
          </cell>
          <cell r="H56">
            <v>9440.7761642970254</v>
          </cell>
          <cell r="I56">
            <v>11459.590947852723</v>
          </cell>
          <cell r="J56">
            <v>11870.44862743761</v>
          </cell>
          <cell r="K56">
            <v>12296.03667860749</v>
          </cell>
          <cell r="L56">
            <v>12736.883225473979</v>
          </cell>
          <cell r="M56">
            <v>13193.535326842613</v>
          </cell>
          <cell r="N56">
            <v>13666.559655073415</v>
          </cell>
          <cell r="O56">
            <v>14156.543199280468</v>
          </cell>
          <cell r="P56">
            <v>0.57561936215392884</v>
          </cell>
          <cell r="Q56">
            <v>0.55309196325521848</v>
          </cell>
          <cell r="R56">
            <v>0.59121598886648308</v>
          </cell>
          <cell r="S56">
            <v>0</v>
          </cell>
          <cell r="T56">
            <v>0</v>
          </cell>
          <cell r="U56">
            <v>0</v>
          </cell>
          <cell r="V56">
            <v>0</v>
          </cell>
          <cell r="W56">
            <v>0</v>
          </cell>
          <cell r="X56">
            <v>0</v>
          </cell>
          <cell r="Y56">
            <v>0</v>
          </cell>
          <cell r="Z56">
            <v>3.5852735185270657E-2</v>
          </cell>
          <cell r="AA56" t="str">
            <v>Focus</v>
          </cell>
          <cell r="AB56">
            <v>4272.224675913415</v>
          </cell>
          <cell r="AC56">
            <v>5221.6174233641132</v>
          </cell>
          <cell r="AD56">
            <v>6675.0933942401452</v>
          </cell>
          <cell r="AE56">
            <v>7172.240600848987</v>
          </cell>
          <cell r="AF56">
            <v>7357.4196601913445</v>
          </cell>
          <cell r="AG56">
            <v>7459.9251443003568</v>
          </cell>
          <cell r="AH56">
            <v>7828.8520914342744</v>
          </cell>
          <cell r="AI56">
            <v>7855.9652390781475</v>
          </cell>
          <cell r="AJ56">
            <v>8142.024607953399</v>
          </cell>
          <cell r="AK56">
            <v>0</v>
          </cell>
          <cell r="AL56">
            <v>0.22222444264303931</v>
          </cell>
          <cell r="AM56">
            <v>0.27835742319467105</v>
          </cell>
          <cell r="AN56">
            <v>7.447794019448839E-2</v>
          </cell>
          <cell r="AO56">
            <v>2.5818857683111984E-2</v>
          </cell>
          <cell r="AP56">
            <v>1.3932260064440261E-2</v>
          </cell>
          <cell r="AQ56">
            <v>4.9454510601328217E-2</v>
          </cell>
          <cell r="AR56">
            <v>3.4632341149398727E-3</v>
          </cell>
          <cell r="AS56">
            <v>3.6413013572450526E-2</v>
          </cell>
          <cell r="AT56">
            <v>0.24997587539228094</v>
          </cell>
          <cell r="AU56">
            <v>2.5688561117119812E-2</v>
          </cell>
        </row>
        <row r="57">
          <cell r="B57" t="str">
            <v>GMCVOOil Shop &amp; SP</v>
          </cell>
          <cell r="C57" t="str">
            <v>GM</v>
          </cell>
          <cell r="D57" t="str">
            <v>CVO</v>
          </cell>
          <cell r="E57" t="str">
            <v>Retail</v>
          </cell>
          <cell r="F57" t="str">
            <v>Oil Shop &amp; SP</v>
          </cell>
          <cell r="G57">
            <v>10553.352576955283</v>
          </cell>
          <cell r="H57">
            <v>11711.066437583031</v>
          </cell>
          <cell r="I57">
            <v>12868.780298210777</v>
          </cell>
          <cell r="J57">
            <v>13380.82166453953</v>
          </cell>
          <cell r="K57">
            <v>13913.236862323643</v>
          </cell>
          <cell r="L57">
            <v>14466.836554598309</v>
          </cell>
          <cell r="M57">
            <v>15042.463660214618</v>
          </cell>
          <cell r="N57">
            <v>15640.994637279928</v>
          </cell>
          <cell r="O57">
            <v>16263.340817665583</v>
          </cell>
          <cell r="P57">
            <v>0.4500823308425122</v>
          </cell>
          <cell r="Q57">
            <v>0.43001079120902108</v>
          </cell>
          <cell r="R57">
            <v>0.44220278016174408</v>
          </cell>
          <cell r="S57">
            <v>0</v>
          </cell>
          <cell r="T57">
            <v>0</v>
          </cell>
          <cell r="U57">
            <v>0</v>
          </cell>
          <cell r="V57">
            <v>0</v>
          </cell>
          <cell r="W57">
            <v>0</v>
          </cell>
          <cell r="X57">
            <v>0</v>
          </cell>
          <cell r="Y57">
            <v>0</v>
          </cell>
          <cell r="Z57">
            <v>3.9789424829946407E-2</v>
          </cell>
          <cell r="AA57" t="str">
            <v>Non focus</v>
          </cell>
          <cell r="AB57">
            <v>4749.8775260388666</v>
          </cell>
          <cell r="AC57">
            <v>5035.8849447264911</v>
          </cell>
          <cell r="AD57">
            <v>5690.6104251594834</v>
          </cell>
          <cell r="AE57">
            <v>6153.7471731486821</v>
          </cell>
          <cell r="AF57">
            <v>6055.2801283324561</v>
          </cell>
          <cell r="AG57">
            <v>6009.3289537212931</v>
          </cell>
          <cell r="AH57">
            <v>5790.3105881075644</v>
          </cell>
          <cell r="AI57">
            <v>5938.7178220136175</v>
          </cell>
          <cell r="AJ57">
            <v>6128.8367445620279</v>
          </cell>
          <cell r="AK57">
            <v>0</v>
          </cell>
          <cell r="AL57">
            <v>6.0213640692782011E-2</v>
          </cell>
          <cell r="AM57">
            <v>0.13001200138986735</v>
          </cell>
          <cell r="AN57">
            <v>8.1386127917238094E-2</v>
          </cell>
          <cell r="AO57">
            <v>-1.6001152150981746E-2</v>
          </cell>
          <cell r="AP57">
            <v>-7.5886125228391554E-3</v>
          </cell>
          <cell r="AQ57">
            <v>-3.6446393149787704E-2</v>
          </cell>
          <cell r="AR57">
            <v>2.5630271752755229E-2</v>
          </cell>
          <cell r="AS57">
            <v>3.2013462879761478E-2</v>
          </cell>
          <cell r="AT57">
            <v>9.4556594251794746E-2</v>
          </cell>
          <cell r="AU57">
            <v>-8.1091605463368133E-4</v>
          </cell>
        </row>
        <row r="58">
          <cell r="B58" t="str">
            <v>GMCVOOther Retails</v>
          </cell>
          <cell r="C58" t="str">
            <v>GM</v>
          </cell>
          <cell r="D58" t="str">
            <v>CVO</v>
          </cell>
          <cell r="E58" t="str">
            <v>Retail</v>
          </cell>
          <cell r="F58" t="str">
            <v>Other Retails</v>
          </cell>
          <cell r="G58">
            <v>3596.843251592461</v>
          </cell>
          <cell r="H58">
            <v>4152.1035175216339</v>
          </cell>
          <cell r="I58">
            <v>4707.3637834508072</v>
          </cell>
          <cell r="J58">
            <v>4519.0327730661456</v>
          </cell>
          <cell r="K58">
            <v>4338.2364617411149</v>
          </cell>
          <cell r="L58">
            <v>4164.6734031562628</v>
          </cell>
          <cell r="M58">
            <v>3998.0542111796494</v>
          </cell>
          <cell r="N58">
            <v>3838.10107736594</v>
          </cell>
          <cell r="O58">
            <v>3684.5473077592696</v>
          </cell>
          <cell r="P58">
            <v>0.65776007066826814</v>
          </cell>
          <cell r="Q58">
            <v>0.54617712637518345</v>
          </cell>
          <cell r="R58">
            <v>0.47981916527708074</v>
          </cell>
          <cell r="S58">
            <v>0</v>
          </cell>
          <cell r="T58">
            <v>0</v>
          </cell>
          <cell r="U58">
            <v>0</v>
          </cell>
          <cell r="V58">
            <v>0</v>
          </cell>
          <cell r="W58">
            <v>0</v>
          </cell>
          <cell r="X58">
            <v>0</v>
          </cell>
          <cell r="Y58">
            <v>0</v>
          </cell>
          <cell r="Z58">
            <v>-4.0007745109217563E-2</v>
          </cell>
          <cell r="AA58" t="str">
            <v>Non focus</v>
          </cell>
          <cell r="AB58">
            <v>2365.8598713501406</v>
          </cell>
          <cell r="AC58">
            <v>2267.7839676122571</v>
          </cell>
          <cell r="AD58">
            <v>2258.6833612309269</v>
          </cell>
          <cell r="AE58">
            <v>2442.5088541926048</v>
          </cell>
          <cell r="AF58">
            <v>2346.7175414870894</v>
          </cell>
          <cell r="AG58">
            <v>2273.9590609005836</v>
          </cell>
          <cell r="AH58">
            <v>2282.3140946440608</v>
          </cell>
          <cell r="AI58">
            <v>2270.3411468699055</v>
          </cell>
          <cell r="AJ58">
            <v>2272.4867530342312</v>
          </cell>
          <cell r="AK58">
            <v>0</v>
          </cell>
          <cell r="AL58">
            <v>-4.1454654574243133E-2</v>
          </cell>
          <cell r="AM58">
            <v>-4.0129952902490107E-3</v>
          </cell>
          <cell r="AN58">
            <v>8.1386127917238316E-2</v>
          </cell>
          <cell r="AO58">
            <v>-3.9218409604160898E-2</v>
          </cell>
          <cell r="AP58">
            <v>-3.1004362178330025E-2</v>
          </cell>
          <cell r="AQ58">
            <v>3.6742234665245732E-3</v>
          </cell>
          <cell r="AR58">
            <v>-5.2459684678162199E-3</v>
          </cell>
          <cell r="AS58">
            <v>9.4505892530016844E-4</v>
          </cell>
          <cell r="AT58">
            <v>-2.2913152545244286E-2</v>
          </cell>
          <cell r="AU58">
            <v>-1.4326586064701829E-2</v>
          </cell>
        </row>
        <row r="59">
          <cell r="B59" t="str">
            <v>GMCVOOEM Auth. W/S</v>
          </cell>
          <cell r="C59" t="str">
            <v>GM</v>
          </cell>
          <cell r="D59" t="str">
            <v>CVO</v>
          </cell>
          <cell r="E59" t="str">
            <v>OEM Auth W/S</v>
          </cell>
          <cell r="F59" t="str">
            <v>OEM Auth. W/S</v>
          </cell>
          <cell r="G59">
            <v>206.49572298942499</v>
          </cell>
          <cell r="H59">
            <v>319.10026122832693</v>
          </cell>
          <cell r="I59">
            <v>431.70479946722884</v>
          </cell>
          <cell r="J59">
            <v>436.51916920512764</v>
          </cell>
          <cell r="K59">
            <v>441.38722876996792</v>
          </cell>
          <cell r="L59">
            <v>446.30957691042789</v>
          </cell>
          <cell r="M59">
            <v>451.28681905242797</v>
          </cell>
          <cell r="N59">
            <v>456.31956737359542</v>
          </cell>
          <cell r="O59">
            <v>461.40844087855942</v>
          </cell>
          <cell r="P59">
            <v>0</v>
          </cell>
          <cell r="Q59">
            <v>0</v>
          </cell>
          <cell r="R59">
            <v>0</v>
          </cell>
          <cell r="S59">
            <v>0</v>
          </cell>
          <cell r="T59">
            <v>0</v>
          </cell>
          <cell r="U59">
            <v>0</v>
          </cell>
          <cell r="V59">
            <v>0</v>
          </cell>
          <cell r="W59">
            <v>0</v>
          </cell>
          <cell r="X59">
            <v>0</v>
          </cell>
          <cell r="Y59">
            <v>0</v>
          </cell>
          <cell r="Z59">
            <v>1.1151994936911214E-2</v>
          </cell>
          <cell r="AA59" t="str">
            <v>Non focus</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t="e">
            <v>#DIV/0!</v>
          </cell>
          <cell r="AU59" t="e">
            <v>#DIV/0!</v>
          </cell>
        </row>
        <row r="60">
          <cell r="B60" t="str">
            <v>GMCVOOEM FF</v>
          </cell>
          <cell r="C60" t="str">
            <v>GM</v>
          </cell>
          <cell r="D60" t="str">
            <v>CVO</v>
          </cell>
          <cell r="E60" t="str">
            <v>OEM FF</v>
          </cell>
          <cell r="F60" t="str">
            <v>OEM FF</v>
          </cell>
          <cell r="G60">
            <v>25.81196537367812</v>
          </cell>
          <cell r="H60">
            <v>84.856782598043878</v>
          </cell>
          <cell r="I60">
            <v>143.90159982240965</v>
          </cell>
          <cell r="J60">
            <v>141.26272821446247</v>
          </cell>
          <cell r="K60">
            <v>138.67224830870501</v>
          </cell>
          <cell r="L60">
            <v>136.12927269673369</v>
          </cell>
          <cell r="M60">
            <v>133.63293024346538</v>
          </cell>
          <cell r="N60">
            <v>131.18236578871671</v>
          </cell>
          <cell r="O60">
            <v>128.77673985425596</v>
          </cell>
          <cell r="P60">
            <v>0</v>
          </cell>
          <cell r="Q60">
            <v>0</v>
          </cell>
          <cell r="R60">
            <v>0</v>
          </cell>
          <cell r="S60">
            <v>0</v>
          </cell>
          <cell r="T60">
            <v>0</v>
          </cell>
          <cell r="U60">
            <v>0</v>
          </cell>
          <cell r="V60">
            <v>0</v>
          </cell>
          <cell r="W60">
            <v>0</v>
          </cell>
          <cell r="X60">
            <v>0</v>
          </cell>
          <cell r="Y60">
            <v>0</v>
          </cell>
          <cell r="Z60">
            <v>-1.8338028286022046E-2</v>
          </cell>
          <cell r="AA60" t="str">
            <v>Non focus</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t="e">
            <v>#DIV/0!</v>
          </cell>
          <cell r="AU60" t="e">
            <v>#DIV/0!</v>
          </cell>
        </row>
        <row r="61">
          <cell r="B61" t="str">
            <v>GMCVOOn Road Transport (Fleet)</v>
          </cell>
          <cell r="C61" t="str">
            <v>GM</v>
          </cell>
          <cell r="D61" t="str">
            <v>CVO</v>
          </cell>
          <cell r="E61" t="str">
            <v>On road transport (taxi)</v>
          </cell>
          <cell r="F61" t="str">
            <v>On Road Transport (Fleet)</v>
          </cell>
          <cell r="G61">
            <v>5199.5808570441995</v>
          </cell>
          <cell r="H61">
            <v>6084.3707555945693</v>
          </cell>
          <cell r="I61">
            <v>6969.1606541449382</v>
          </cell>
          <cell r="J61">
            <v>8021.5156853537655</v>
          </cell>
          <cell r="K61">
            <v>9232.7781039323854</v>
          </cell>
          <cell r="L61">
            <v>10626.943193802887</v>
          </cell>
          <cell r="M61">
            <v>12231.629567292863</v>
          </cell>
          <cell r="N61">
            <v>14078.626293845235</v>
          </cell>
          <cell r="O61">
            <v>16204.522646087493</v>
          </cell>
          <cell r="P61">
            <v>0.3722766464365479</v>
          </cell>
          <cell r="Q61">
            <v>0.354143284256974</v>
          </cell>
          <cell r="R61">
            <v>0.36796447249771752</v>
          </cell>
          <cell r="S61">
            <v>0</v>
          </cell>
          <cell r="T61">
            <v>0</v>
          </cell>
          <cell r="U61">
            <v>0</v>
          </cell>
          <cell r="V61">
            <v>0</v>
          </cell>
          <cell r="W61">
            <v>0</v>
          </cell>
          <cell r="X61">
            <v>0</v>
          </cell>
          <cell r="Y61">
            <v>0</v>
          </cell>
          <cell r="Z61">
            <v>0.15100168921818957</v>
          </cell>
          <cell r="AA61" t="str">
            <v>Focus</v>
          </cell>
          <cell r="AB61">
            <v>1935.6825243360863</v>
          </cell>
          <cell r="AC61">
            <v>2154.7390420233473</v>
          </cell>
          <cell r="AD61">
            <v>2564.4035238542901</v>
          </cell>
          <cell r="AE61">
            <v>2874.5283729216126</v>
          </cell>
          <cell r="AF61">
            <v>3703.6874649679585</v>
          </cell>
          <cell r="AG61">
            <v>4679.1261749552868</v>
          </cell>
          <cell r="AH61">
            <v>5623.1874804101499</v>
          </cell>
          <cell r="AI61">
            <v>6667.8958537795543</v>
          </cell>
          <cell r="AJ61">
            <v>7691.7440204189525</v>
          </cell>
          <cell r="AK61">
            <v>0</v>
          </cell>
          <cell r="AL61">
            <v>0.113167585558688</v>
          </cell>
          <cell r="AM61">
            <v>0.19012255026773861</v>
          </cell>
          <cell r="AN61">
            <v>0.12093449653399557</v>
          </cell>
          <cell r="AO61">
            <v>0.2884504810796511</v>
          </cell>
          <cell r="AP61">
            <v>0.26336960642972795</v>
          </cell>
          <cell r="AQ61">
            <v>0.20176017276642133</v>
          </cell>
          <cell r="AR61">
            <v>0.18578579800316453</v>
          </cell>
          <cell r="AS61">
            <v>0.15354891394397696</v>
          </cell>
          <cell r="AT61">
            <v>0.15100210503738287</v>
          </cell>
          <cell r="AU61">
            <v>0.21756356782914343</v>
          </cell>
        </row>
        <row r="62">
          <cell r="B62" t="str">
            <v>GMCVOOff Road (Mining)</v>
          </cell>
          <cell r="C62" t="str">
            <v>GM</v>
          </cell>
          <cell r="D62" t="str">
            <v>CVO</v>
          </cell>
          <cell r="E62" t="str">
            <v>Off-road (inc Agri, Other)</v>
          </cell>
          <cell r="F62" t="str">
            <v>Off Road (Mining)</v>
          </cell>
          <cell r="G62">
            <v>3505.6074096730758</v>
          </cell>
          <cell r="H62">
            <v>3850.9979267300223</v>
          </cell>
          <cell r="I62">
            <v>4196.3884437869692</v>
          </cell>
          <cell r="J62">
            <v>4329.8486691190619</v>
          </cell>
          <cell r="K62">
            <v>4467.5534089865196</v>
          </cell>
          <cell r="L62">
            <v>4609.6376541972495</v>
          </cell>
          <cell r="M62">
            <v>4756.2406887517154</v>
          </cell>
          <cell r="N62">
            <v>4907.5062263818863</v>
          </cell>
          <cell r="O62">
            <v>5063.5825514326079</v>
          </cell>
          <cell r="P62">
            <v>0.39990938148922323</v>
          </cell>
          <cell r="Q62">
            <v>0.39822094524193874</v>
          </cell>
          <cell r="R62">
            <v>0.42717203958783462</v>
          </cell>
          <cell r="S62">
            <v>0</v>
          </cell>
          <cell r="T62">
            <v>0</v>
          </cell>
          <cell r="U62">
            <v>0</v>
          </cell>
          <cell r="V62">
            <v>0</v>
          </cell>
          <cell r="W62">
            <v>0</v>
          </cell>
          <cell r="X62">
            <v>0</v>
          </cell>
          <cell r="Y62">
            <v>0</v>
          </cell>
          <cell r="Z62">
            <v>3.1803591855203539E-2</v>
          </cell>
          <cell r="AA62" t="str">
            <v>Non focus</v>
          </cell>
          <cell r="AB62">
            <v>1401.9252909463978</v>
          </cell>
          <cell r="AC62">
            <v>1533.5480345071758</v>
          </cell>
          <cell r="AD62">
            <v>1792.5798104352989</v>
          </cell>
          <cell r="AE62">
            <v>1938.4709401892446</v>
          </cell>
          <cell r="AF62">
            <v>1875.8861668835623</v>
          </cell>
          <cell r="AG62">
            <v>1830.8417858324215</v>
          </cell>
          <cell r="AH62">
            <v>1850.8281645119905</v>
          </cell>
          <cell r="AI62">
            <v>1854.4038516098346</v>
          </cell>
          <cell r="AJ62">
            <v>1869.5499534966141</v>
          </cell>
          <cell r="AK62">
            <v>0</v>
          </cell>
          <cell r="AL62">
            <v>9.3887131083799424E-2</v>
          </cell>
          <cell r="AM62">
            <v>0.16891011569218062</v>
          </cell>
          <cell r="AN62">
            <v>8.1386127917238094E-2</v>
          </cell>
          <cell r="AO62">
            <v>-3.2285639164429503E-2</v>
          </cell>
          <cell r="AP62">
            <v>-2.4012321134588732E-2</v>
          </cell>
          <cell r="AQ62">
            <v>1.09164969000759E-2</v>
          </cell>
          <cell r="AR62">
            <v>1.931938991638793E-3</v>
          </cell>
          <cell r="AS62">
            <v>8.1676393594798391E-3</v>
          </cell>
          <cell r="AT62">
            <v>0.13077660612048003</v>
          </cell>
          <cell r="AU62">
            <v>-7.2142021725996042E-3</v>
          </cell>
        </row>
        <row r="63">
          <cell r="B63" t="str">
            <v>GMCVOOff Road (Construction)</v>
          </cell>
          <cell r="C63" t="str">
            <v>GM</v>
          </cell>
          <cell r="D63" t="str">
            <v>CVO</v>
          </cell>
          <cell r="E63" t="str">
            <v>Off-road (inc Agri, Other)</v>
          </cell>
          <cell r="F63" t="str">
            <v>Off Road (Construction)</v>
          </cell>
          <cell r="G63">
            <v>2638.1893017599923</v>
          </cell>
          <cell r="H63">
            <v>3306.2116042591465</v>
          </cell>
          <cell r="I63">
            <v>3974.2339067583007</v>
          </cell>
          <cell r="J63">
            <v>4323.7359971938749</v>
          </cell>
          <cell r="K63">
            <v>4703.9740015400812</v>
          </cell>
          <cell r="L63">
            <v>5117.6508976324576</v>
          </cell>
          <cell r="M63">
            <v>5567.7073685916585</v>
          </cell>
          <cell r="N63">
            <v>6057.3427071023671</v>
          </cell>
          <cell r="O63">
            <v>6590.0375580563687</v>
          </cell>
          <cell r="P63">
            <v>0.45990594360078108</v>
          </cell>
          <cell r="Q63">
            <v>0.45472128240263177</v>
          </cell>
          <cell r="R63">
            <v>0.49647391590613293</v>
          </cell>
          <cell r="S63">
            <v>0</v>
          </cell>
          <cell r="T63">
            <v>0</v>
          </cell>
          <cell r="U63">
            <v>0</v>
          </cell>
          <cell r="V63">
            <v>0</v>
          </cell>
          <cell r="W63">
            <v>0</v>
          </cell>
          <cell r="X63">
            <v>0</v>
          </cell>
          <cell r="Y63">
            <v>0</v>
          </cell>
          <cell r="Z63">
            <v>8.7942003071645125E-2</v>
          </cell>
          <cell r="AA63" t="str">
            <v>Non focus</v>
          </cell>
          <cell r="AB63">
            <v>1213.318940223415</v>
          </cell>
          <cell r="AC63">
            <v>1503.4047805831815</v>
          </cell>
          <cell r="AD63">
            <v>1973.1034704152228</v>
          </cell>
          <cell r="AE63">
            <v>2133.6867218523826</v>
          </cell>
          <cell r="AF63">
            <v>2163.7102277055519</v>
          </cell>
          <cell r="AG63">
            <v>2212.914784892218</v>
          </cell>
          <cell r="AH63">
            <v>2344.2354629131023</v>
          </cell>
          <cell r="AI63">
            <v>2461.2782274852102</v>
          </cell>
          <cell r="AJ63">
            <v>2600.2476973776011</v>
          </cell>
          <cell r="AK63">
            <v>0</v>
          </cell>
          <cell r="AL63">
            <v>0.23908457268980854</v>
          </cell>
          <cell r="AM63">
            <v>0.31242330468700641</v>
          </cell>
          <cell r="AN63">
            <v>8.1386127917238094E-2</v>
          </cell>
          <cell r="AO63">
            <v>1.4071187464251622E-2</v>
          </cell>
          <cell r="AP63">
            <v>2.2740825715301005E-2</v>
          </cell>
          <cell r="AQ63">
            <v>5.9342853560120368E-2</v>
          </cell>
          <cell r="AR63">
            <v>4.9927904608465745E-2</v>
          </cell>
          <cell r="AS63">
            <v>5.6462316344618069E-2</v>
          </cell>
          <cell r="AT63">
            <v>0.27522683067611386</v>
          </cell>
          <cell r="AU63">
            <v>4.0343632010581665E-2</v>
          </cell>
        </row>
        <row r="64">
          <cell r="B64" t="str">
            <v>GMMCOWholesalers</v>
          </cell>
          <cell r="C64" t="str">
            <v>GM</v>
          </cell>
          <cell r="D64" t="str">
            <v>MCO</v>
          </cell>
          <cell r="E64" t="str">
            <v>Retail</v>
          </cell>
          <cell r="F64" t="str">
            <v>Wholesalers</v>
          </cell>
          <cell r="G64">
            <v>16517.602508322318</v>
          </cell>
          <cell r="H64">
            <v>19712.639035970082</v>
          </cell>
          <cell r="I64">
            <v>22907.675563617842</v>
          </cell>
          <cell r="J64">
            <v>19517.8168974646</v>
          </cell>
          <cell r="K64">
            <v>19639.382451984409</v>
          </cell>
          <cell r="L64">
            <v>19757.853623101862</v>
          </cell>
          <cell r="M64">
            <v>19873.324342785487</v>
          </cell>
          <cell r="N64">
            <v>19985.885706252153</v>
          </cell>
          <cell r="O64">
            <v>20095.626057648959</v>
          </cell>
          <cell r="P64">
            <v>0.6025294586409301</v>
          </cell>
          <cell r="Q64">
            <v>0.4979795359906215</v>
          </cell>
          <cell r="R64">
            <v>0.45031156976131059</v>
          </cell>
          <cell r="S64">
            <v>0</v>
          </cell>
          <cell r="T64">
            <v>0</v>
          </cell>
          <cell r="U64">
            <v>0</v>
          </cell>
          <cell r="V64">
            <v>0</v>
          </cell>
          <cell r="W64">
            <v>0</v>
          </cell>
          <cell r="X64">
            <v>0</v>
          </cell>
          <cell r="Y64">
            <v>0</v>
          </cell>
          <cell r="Z64">
            <v>5.8519454946404093E-3</v>
          </cell>
          <cell r="AA64" t="str">
            <v>Non focus</v>
          </cell>
          <cell r="AB64">
            <v>9952.3420973855154</v>
          </cell>
          <cell r="AC64">
            <v>9816.4908402829933</v>
          </cell>
          <cell r="AD64">
            <v>10315.591342635566</v>
          </cell>
          <cell r="AE64">
            <v>9493.789393574345</v>
          </cell>
          <cell r="AF64">
            <v>10344.26441718965</v>
          </cell>
          <cell r="AG64">
            <v>10515.03702576652</v>
          </cell>
          <cell r="AH64">
            <v>11051.858625690957</v>
          </cell>
          <cell r="AI64">
            <v>12187.81874238596</v>
          </cell>
          <cell r="AJ64">
            <v>11410.162042966758</v>
          </cell>
          <cell r="AK64">
            <v>0</v>
          </cell>
          <cell r="AL64">
            <v>-1.3650179603272528E-2</v>
          </cell>
          <cell r="AM64">
            <v>5.08430670871165E-2</v>
          </cell>
          <cell r="AN64">
            <v>-7.9666004765486909E-2</v>
          </cell>
          <cell r="AO64">
            <v>8.958225091773464E-2</v>
          </cell>
          <cell r="AP64">
            <v>1.6508917569149517E-2</v>
          </cell>
          <cell r="AQ64">
            <v>5.10527541281105E-2</v>
          </cell>
          <cell r="AR64">
            <v>0.1027845320111469</v>
          </cell>
          <cell r="AS64">
            <v>-6.3806060449087654E-2</v>
          </cell>
          <cell r="AT64">
            <v>1.8085885614039565E-2</v>
          </cell>
          <cell r="AU64">
            <v>3.7457808476454524E-2</v>
          </cell>
        </row>
        <row r="65">
          <cell r="B65" t="str">
            <v>GMMCOSpare-parts</v>
          </cell>
          <cell r="C65" t="str">
            <v>GM</v>
          </cell>
          <cell r="D65" t="str">
            <v>MCO</v>
          </cell>
          <cell r="E65" t="str">
            <v>Retail</v>
          </cell>
          <cell r="F65" t="str">
            <v>Spare-parts</v>
          </cell>
          <cell r="G65">
            <v>5120.7600366358356</v>
          </cell>
          <cell r="H65">
            <v>6009.9213558471001</v>
          </cell>
          <cell r="I65">
            <v>6899.0826750583637</v>
          </cell>
          <cell r="J65">
            <v>6579.0359546999171</v>
          </cell>
          <cell r="K65">
            <v>6833.3497836480419</v>
          </cell>
          <cell r="L65">
            <v>7097.1266881807169</v>
          </cell>
          <cell r="M65">
            <v>7370.7145419910166</v>
          </cell>
          <cell r="N65">
            <v>7654.4739559642467</v>
          </cell>
          <cell r="O65">
            <v>7948.7787439220492</v>
          </cell>
          <cell r="P65">
            <v>0.64404017822251958</v>
          </cell>
          <cell r="Q65">
            <v>0.56139668790914499</v>
          </cell>
          <cell r="R65">
            <v>0.53797090737005204</v>
          </cell>
          <cell r="S65">
            <v>0</v>
          </cell>
          <cell r="T65">
            <v>0</v>
          </cell>
          <cell r="U65">
            <v>0</v>
          </cell>
          <cell r="V65">
            <v>0</v>
          </cell>
          <cell r="W65">
            <v>0</v>
          </cell>
          <cell r="X65">
            <v>0</v>
          </cell>
          <cell r="Y65">
            <v>0</v>
          </cell>
          <cell r="Z65">
            <v>3.8550525275813152E-2</v>
          </cell>
          <cell r="AA65" t="str">
            <v>Non focus</v>
          </cell>
          <cell r="AB65">
            <v>3297.9752066296992</v>
          </cell>
          <cell r="AC65">
            <v>3373.9499437670001</v>
          </cell>
          <cell r="AD65">
            <v>3711.505766722154</v>
          </cell>
          <cell r="AE65">
            <v>4077.9337846063549</v>
          </cell>
          <cell r="AF65">
            <v>3886.4124262761429</v>
          </cell>
          <cell r="AG65">
            <v>3957.8220105747696</v>
          </cell>
          <cell r="AH65">
            <v>4121.1106086106856</v>
          </cell>
          <cell r="AI65">
            <v>4132.6965591681173</v>
          </cell>
          <cell r="AJ65">
            <v>3330.3836966592717</v>
          </cell>
          <cell r="AK65">
            <v>0</v>
          </cell>
          <cell r="AL65">
            <v>2.3036782382285459E-2</v>
          </cell>
          <cell r="AM65">
            <v>0.1000476677428932</v>
          </cell>
          <cell r="AN65">
            <v>9.8727589532432436E-2</v>
          </cell>
          <cell r="AO65">
            <v>-4.6965293809619779E-2</v>
          </cell>
          <cell r="AP65">
            <v>1.8374165288229438E-2</v>
          </cell>
          <cell r="AQ65">
            <v>4.1257185795528617E-2</v>
          </cell>
          <cell r="AR65">
            <v>2.8113660752575598E-3</v>
          </cell>
          <cell r="AS65">
            <v>-0.19413785914888115</v>
          </cell>
          <cell r="AT65">
            <v>6.0843639032080343E-2</v>
          </cell>
          <cell r="AU65">
            <v>-3.969139500704888E-2</v>
          </cell>
        </row>
        <row r="66">
          <cell r="B66" t="str">
            <v>GMMCORetail Others</v>
          </cell>
          <cell r="C66" t="str">
            <v>GM</v>
          </cell>
          <cell r="D66" t="str">
            <v>MCO</v>
          </cell>
          <cell r="E66" t="str">
            <v>Retail</v>
          </cell>
          <cell r="F66" t="str">
            <v>Retail Others</v>
          </cell>
          <cell r="G66">
            <v>2696.3151962584707</v>
          </cell>
          <cell r="H66">
            <v>3429.2509814780783</v>
          </cell>
          <cell r="I66">
            <v>4162.1867666976859</v>
          </cell>
          <cell r="J66">
            <v>4244.9682126695361</v>
          </cell>
          <cell r="K66">
            <v>4329.3960931195361</v>
          </cell>
          <cell r="L66">
            <v>4415.5031538696403</v>
          </cell>
          <cell r="M66">
            <v>4503.3227920211975</v>
          </cell>
          <cell r="N66">
            <v>4592.88906890821</v>
          </cell>
          <cell r="O66">
            <v>4684.2367233082023</v>
          </cell>
          <cell r="P66">
            <v>0.83333424993835559</v>
          </cell>
          <cell r="Q66">
            <v>0.77644470229144891</v>
          </cell>
          <cell r="R66">
            <v>0.8193898468086952</v>
          </cell>
          <cell r="S66">
            <v>0</v>
          </cell>
          <cell r="T66">
            <v>0</v>
          </cell>
          <cell r="U66">
            <v>0</v>
          </cell>
          <cell r="V66">
            <v>0</v>
          </cell>
          <cell r="W66">
            <v>0</v>
          </cell>
          <cell r="X66">
            <v>0</v>
          </cell>
          <cell r="Y66">
            <v>0</v>
          </cell>
          <cell r="Z66">
            <v>1.9888931134517396E-2</v>
          </cell>
          <cell r="AA66" t="str">
            <v>Non focus</v>
          </cell>
          <cell r="AB66">
            <v>2246.9318016714428</v>
          </cell>
          <cell r="AC66">
            <v>2662.6237573964054</v>
          </cell>
          <cell r="AD66">
            <v>3410.4535771535952</v>
          </cell>
          <cell r="AE66">
            <v>3360.3237078526768</v>
          </cell>
          <cell r="AF66">
            <v>3488.7344511687511</v>
          </cell>
          <cell r="AG66">
            <v>3705.2162421657158</v>
          </cell>
          <cell r="AH66">
            <v>3746.3749209972239</v>
          </cell>
          <cell r="AI66">
            <v>2961.3090405208986</v>
          </cell>
          <cell r="AJ66">
            <v>4348.2530814065613</v>
          </cell>
          <cell r="AK66">
            <v>0</v>
          </cell>
          <cell r="AL66">
            <v>0.18500426021641525</v>
          </cell>
          <cell r="AM66">
            <v>0.28086199474477791</v>
          </cell>
          <cell r="AN66">
            <v>-1.4698886282087265E-2</v>
          </cell>
          <cell r="AO66">
            <v>3.8213801550128546E-2</v>
          </cell>
          <cell r="AP66">
            <v>6.2051667739985605E-2</v>
          </cell>
          <cell r="AQ66">
            <v>1.1108306814354929E-2</v>
          </cell>
          <cell r="AR66">
            <v>-0.20955347423352744</v>
          </cell>
          <cell r="AS66">
            <v>0.46835504903658998</v>
          </cell>
          <cell r="AT66">
            <v>0.23200118527615765</v>
          </cell>
          <cell r="AU66">
            <v>5.2899063677510627E-2</v>
          </cell>
        </row>
        <row r="67">
          <cell r="B67" t="str">
            <v>GMMCOBranded W/S</v>
          </cell>
          <cell r="C67" t="str">
            <v>GM</v>
          </cell>
          <cell r="D67" t="str">
            <v>MCO</v>
          </cell>
          <cell r="E67" t="str">
            <v>Other WS</v>
          </cell>
          <cell r="F67" t="str">
            <v>Branded W/S</v>
          </cell>
          <cell r="G67">
            <v>509.39960626199644</v>
          </cell>
          <cell r="H67">
            <v>2124.3236356290795</v>
          </cell>
          <cell r="I67">
            <v>3739.2476649961627</v>
          </cell>
          <cell r="J67">
            <v>4756.63469144798</v>
          </cell>
          <cell r="K67">
            <v>5784.5992729167092</v>
          </cell>
          <cell r="L67">
            <v>7034.8762867187079</v>
          </cell>
          <cell r="M67">
            <v>8555.5739431853162</v>
          </cell>
          <cell r="N67">
            <v>10405.216701914207</v>
          </cell>
          <cell r="O67">
            <v>12655.001645023682</v>
          </cell>
          <cell r="P67">
            <v>0.80588932693134241</v>
          </cell>
          <cell r="Q67">
            <v>0.67914813681836894</v>
          </cell>
          <cell r="R67">
            <v>0.78627223077349562</v>
          </cell>
          <cell r="S67">
            <v>0</v>
          </cell>
          <cell r="T67">
            <v>0</v>
          </cell>
          <cell r="U67">
            <v>0</v>
          </cell>
          <cell r="V67">
            <v>0</v>
          </cell>
          <cell r="W67">
            <v>0</v>
          </cell>
          <cell r="X67">
            <v>0</v>
          </cell>
          <cell r="Y67">
            <v>0</v>
          </cell>
          <cell r="Z67">
            <v>0.21616494593853774</v>
          </cell>
          <cell r="AA67" t="str">
            <v>Focus</v>
          </cell>
          <cell r="AB67">
            <v>410.51970582957114</v>
          </cell>
          <cell r="AC67">
            <v>1442.7304391367129</v>
          </cell>
          <cell r="AD67">
            <v>2940.0666029711174</v>
          </cell>
          <cell r="AE67">
            <v>3757.7414062439052</v>
          </cell>
          <cell r="AF67">
            <v>4627.6794183333677</v>
          </cell>
          <cell r="AG67">
            <v>5698.2497922421544</v>
          </cell>
          <cell r="AH67">
            <v>7015.5706334119586</v>
          </cell>
          <cell r="AI67">
            <v>8605.1142124830494</v>
          </cell>
          <cell r="AJ67">
            <v>10554.271371949748</v>
          </cell>
          <cell r="AK67">
            <v>0</v>
          </cell>
          <cell r="AL67">
            <v>2.5143999633860892</v>
          </cell>
          <cell r="AM67">
            <v>1.0378488754492254</v>
          </cell>
          <cell r="AN67">
            <v>0.27811438096214469</v>
          </cell>
          <cell r="AO67">
            <v>0.23150555560953823</v>
          </cell>
          <cell r="AP67">
            <v>0.23134065200530829</v>
          </cell>
          <cell r="AQ67">
            <v>0.23117990421607382</v>
          </cell>
          <cell r="AR67">
            <v>0.22657366907558751</v>
          </cell>
          <cell r="AS67">
            <v>0.22651148042162461</v>
          </cell>
          <cell r="AT67">
            <v>1.676156948548635</v>
          </cell>
          <cell r="AU67">
            <v>0.22941999827722159</v>
          </cell>
        </row>
        <row r="68">
          <cell r="B68" t="str">
            <v>GMMCOIWS</v>
          </cell>
          <cell r="C68" t="str">
            <v>GM</v>
          </cell>
          <cell r="D68" t="str">
            <v>MCO</v>
          </cell>
          <cell r="E68" t="str">
            <v>Other WS</v>
          </cell>
          <cell r="F68" t="str">
            <v>IWS</v>
          </cell>
          <cell r="G68">
            <v>11551.625423134796</v>
          </cell>
          <cell r="H68">
            <v>14663.240006579881</v>
          </cell>
          <cell r="I68">
            <v>17774.854590024963</v>
          </cell>
          <cell r="J68">
            <v>21069.454536404057</v>
          </cell>
          <cell r="K68">
            <v>22794.504096507055</v>
          </cell>
          <cell r="L68">
            <v>24671.202099156973</v>
          </cell>
          <cell r="M68">
            <v>26713.97764174523</v>
          </cell>
          <cell r="N68">
            <v>28938.748869120624</v>
          </cell>
          <cell r="O68">
            <v>31363.088448101837</v>
          </cell>
          <cell r="P68">
            <v>0.63480761289456278</v>
          </cell>
          <cell r="Q68">
            <v>0.60976006242636438</v>
          </cell>
          <cell r="R68">
            <v>0.66044559661192637</v>
          </cell>
          <cell r="S68">
            <v>0</v>
          </cell>
          <cell r="T68">
            <v>0</v>
          </cell>
          <cell r="U68">
            <v>0</v>
          </cell>
          <cell r="V68">
            <v>0</v>
          </cell>
          <cell r="W68">
            <v>0</v>
          </cell>
          <cell r="X68">
            <v>0</v>
          </cell>
          <cell r="Y68">
            <v>0</v>
          </cell>
          <cell r="Z68">
            <v>8.2812114694423844E-2</v>
          </cell>
          <cell r="AA68" t="str">
            <v>Focus</v>
          </cell>
          <cell r="AB68">
            <v>7333.0597599123439</v>
          </cell>
          <cell r="AC68">
            <v>8941.0581417849116</v>
          </cell>
          <cell r="AD68">
            <v>11324.574169782283</v>
          </cell>
          <cell r="AE68">
            <v>13905.839994026679</v>
          </cell>
          <cell r="AF68">
            <v>15272.317744659726</v>
          </cell>
          <cell r="AG68">
            <v>16776.417427426739</v>
          </cell>
          <cell r="AH68">
            <v>18165.504796386758</v>
          </cell>
          <cell r="AI68">
            <v>19620.471733263785</v>
          </cell>
          <cell r="AJ68">
            <v>21201.447790916842</v>
          </cell>
          <cell r="AK68">
            <v>0</v>
          </cell>
          <cell r="AL68">
            <v>0.21928068698730874</v>
          </cell>
          <cell r="AM68">
            <v>0.26658097847035678</v>
          </cell>
          <cell r="AN68">
            <v>0.2279349126550001</v>
          </cell>
          <cell r="AO68">
            <v>9.8266465831623462E-2</v>
          </cell>
          <cell r="AP68">
            <v>9.8485358143687973E-2</v>
          </cell>
          <cell r="AQ68">
            <v>8.2800000355802261E-2</v>
          </cell>
          <cell r="AR68">
            <v>8.0095045702579526E-2</v>
          </cell>
          <cell r="AS68">
            <v>8.057788207878458E-2</v>
          </cell>
          <cell r="AT68">
            <v>0.24270580812773002</v>
          </cell>
          <cell r="AU68">
            <v>8.8011931910217278E-2</v>
          </cell>
        </row>
        <row r="69">
          <cell r="B69" t="str">
            <v>GMMCOBikes wash (light servicing)</v>
          </cell>
          <cell r="C69" t="str">
            <v>GM</v>
          </cell>
          <cell r="D69" t="str">
            <v>MCO</v>
          </cell>
          <cell r="E69" t="str">
            <v>Other WS</v>
          </cell>
          <cell r="F69" t="str">
            <v>Bikes wash (light servicing)</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row>
        <row r="70">
          <cell r="B70" t="str">
            <v>GMMCOOEM Auth</v>
          </cell>
          <cell r="C70" t="str">
            <v>GM</v>
          </cell>
          <cell r="D70" t="str">
            <v>MCO</v>
          </cell>
          <cell r="E70" t="str">
            <v>OEM Auth W/S</v>
          </cell>
          <cell r="F70" t="str">
            <v>OEM Auth</v>
          </cell>
          <cell r="G70">
            <v>5603.284518141134</v>
          </cell>
          <cell r="H70">
            <v>6200.7368881021193</v>
          </cell>
          <cell r="I70">
            <v>6798.1892580631038</v>
          </cell>
          <cell r="J70">
            <v>6920.4822663876394</v>
          </cell>
          <cell r="K70">
            <v>7044.975210506449</v>
          </cell>
          <cell r="L70">
            <v>7171.7076651880761</v>
          </cell>
          <cell r="M70">
            <v>7300.7199171137991</v>
          </cell>
          <cell r="N70">
            <v>7432.0529776842659</v>
          </cell>
          <cell r="O70">
            <v>7565.7485960565182</v>
          </cell>
          <cell r="P70">
            <v>0.18087643813589291</v>
          </cell>
          <cell r="Q70">
            <v>0.1322429163871838</v>
          </cell>
          <cell r="R70">
            <v>9.0491476995497366E-2</v>
          </cell>
          <cell r="S70">
            <v>0</v>
          </cell>
          <cell r="T70">
            <v>0</v>
          </cell>
          <cell r="U70">
            <v>0</v>
          </cell>
          <cell r="V70">
            <v>0</v>
          </cell>
          <cell r="W70">
            <v>0</v>
          </cell>
          <cell r="X70">
            <v>0</v>
          </cell>
          <cell r="Y70">
            <v>0</v>
          </cell>
          <cell r="Z70">
            <v>1.79890561563123E-2</v>
          </cell>
          <cell r="AA70" t="str">
            <v>Non focus</v>
          </cell>
          <cell r="AB70">
            <v>1013.5021455033614</v>
          </cell>
          <cell r="AC70">
            <v>820.00352983221489</v>
          </cell>
          <cell r="AD70">
            <v>615.1781868570547</v>
          </cell>
          <cell r="AE70">
            <v>239.66894634458694</v>
          </cell>
          <cell r="AF70">
            <v>92.708796951492985</v>
          </cell>
          <cell r="AG70">
            <v>0</v>
          </cell>
          <cell r="AH70">
            <v>0</v>
          </cell>
          <cell r="AI70">
            <v>0</v>
          </cell>
          <cell r="AJ70">
            <v>0</v>
          </cell>
          <cell r="AK70">
            <v>0</v>
          </cell>
          <cell r="AL70">
            <v>-0.19092077557965537</v>
          </cell>
          <cell r="AM70">
            <v>-0.24978592838139435</v>
          </cell>
          <cell r="AN70">
            <v>-0.61040727472952905</v>
          </cell>
          <cell r="AO70">
            <v>-0.6131797699890591</v>
          </cell>
          <cell r="AP70">
            <v>-1</v>
          </cell>
          <cell r="AQ70">
            <v>0</v>
          </cell>
          <cell r="AR70">
            <v>0</v>
          </cell>
          <cell r="AS70">
            <v>0</v>
          </cell>
          <cell r="AT70">
            <v>-0.22090910721892643</v>
          </cell>
          <cell r="AU70">
            <v>-1</v>
          </cell>
        </row>
        <row r="71">
          <cell r="B71" t="str">
            <v>GMMCOOEM FF</v>
          </cell>
          <cell r="C71" t="str">
            <v>GM</v>
          </cell>
          <cell r="D71" t="str">
            <v>MCO</v>
          </cell>
          <cell r="E71" t="str">
            <v>OEM FF</v>
          </cell>
          <cell r="F71" t="str">
            <v>OEM FF</v>
          </cell>
          <cell r="G71">
            <v>974.36062813360081</v>
          </cell>
          <cell r="H71">
            <v>1078.2522054023229</v>
          </cell>
          <cell r="I71">
            <v>1182.1437826710453</v>
          </cell>
          <cell r="J71">
            <v>1030.6457044500992</v>
          </cell>
          <cell r="K71">
            <v>898.56291905654564</v>
          </cell>
          <cell r="L71">
            <v>783.40725238283176</v>
          </cell>
          <cell r="M71">
            <v>683.0094032039583</v>
          </cell>
          <cell r="N71">
            <v>595.47807790405705</v>
          </cell>
          <cell r="O71">
            <v>519.16436230735542</v>
          </cell>
          <cell r="P71">
            <v>0.19456985575772343</v>
          </cell>
          <cell r="Q71">
            <v>0.23198964634292324</v>
          </cell>
          <cell r="R71">
            <v>0.29565722495564795</v>
          </cell>
          <cell r="S71">
            <v>0</v>
          </cell>
          <cell r="T71">
            <v>0</v>
          </cell>
          <cell r="U71">
            <v>0</v>
          </cell>
          <cell r="V71">
            <v>0</v>
          </cell>
          <cell r="W71">
            <v>0</v>
          </cell>
          <cell r="X71">
            <v>0</v>
          </cell>
          <cell r="Y71">
            <v>0</v>
          </cell>
          <cell r="Z71">
            <v>-0.12815537368782437</v>
          </cell>
          <cell r="AA71" t="str">
            <v>Non focus</v>
          </cell>
          <cell r="AB71">
            <v>189.58120687195949</v>
          </cell>
          <cell r="AC71">
            <v>250.14334779976193</v>
          </cell>
          <cell r="AD71">
            <v>349.50935028309385</v>
          </cell>
          <cell r="AE71">
            <v>115.99977003078011</v>
          </cell>
          <cell r="AF71">
            <v>46.354398475746507</v>
          </cell>
          <cell r="AG71">
            <v>0</v>
          </cell>
          <cell r="AH71">
            <v>0</v>
          </cell>
          <cell r="AI71">
            <v>0</v>
          </cell>
          <cell r="AJ71">
            <v>0</v>
          </cell>
          <cell r="AK71">
            <v>0</v>
          </cell>
          <cell r="AL71">
            <v>0.3194522385792451</v>
          </cell>
          <cell r="AM71">
            <v>0.39723623817041798</v>
          </cell>
          <cell r="AN71">
            <v>-0.66810681906843639</v>
          </cell>
          <cell r="AO71">
            <v>-0.6003923243688627</v>
          </cell>
          <cell r="AP71">
            <v>-1</v>
          </cell>
          <cell r="AQ71">
            <v>0</v>
          </cell>
          <cell r="AR71">
            <v>0</v>
          </cell>
          <cell r="AS71">
            <v>0</v>
          </cell>
          <cell r="AT71">
            <v>0.35778734795917178</v>
          </cell>
          <cell r="AU71">
            <v>-1</v>
          </cell>
        </row>
        <row r="72">
          <cell r="B72" t="str">
            <v>GM plIndustrialCement</v>
          </cell>
          <cell r="C72" t="str">
            <v>GM pl</v>
          </cell>
          <cell r="D72" t="str">
            <v>Industrial</v>
          </cell>
          <cell r="E72" t="str">
            <v>Off-road (inc Agri, Other)</v>
          </cell>
          <cell r="F72" t="str">
            <v>Cement</v>
          </cell>
          <cell r="G72">
            <v>0.56000000000000005</v>
          </cell>
          <cell r="H72">
            <v>0.67999999999999994</v>
          </cell>
          <cell r="I72">
            <v>0.67999999999999994</v>
          </cell>
          <cell r="J72">
            <v>0.67999999999999994</v>
          </cell>
          <cell r="K72">
            <v>0.67999999999999994</v>
          </cell>
          <cell r="L72">
            <v>0.67999999999999994</v>
          </cell>
          <cell r="M72">
            <v>0.67999999999999994</v>
          </cell>
          <cell r="N72">
            <v>0.67999999999999994</v>
          </cell>
          <cell r="O72">
            <v>0.67999999999999994</v>
          </cell>
          <cell r="P72">
            <v>0</v>
          </cell>
          <cell r="Q72">
            <v>0</v>
          </cell>
          <cell r="R72">
            <v>0</v>
          </cell>
          <cell r="S72">
            <v>0</v>
          </cell>
          <cell r="T72">
            <v>0</v>
          </cell>
          <cell r="U72">
            <v>0</v>
          </cell>
          <cell r="V72">
            <v>0</v>
          </cell>
          <cell r="W72">
            <v>0</v>
          </cell>
          <cell r="X72">
            <v>0</v>
          </cell>
          <cell r="Y72">
            <v>0</v>
          </cell>
          <cell r="Z72">
            <v>0</v>
          </cell>
          <cell r="AA72" t="str">
            <v>Non focus</v>
          </cell>
          <cell r="AB72">
            <v>0.66</v>
          </cell>
          <cell r="AC72">
            <v>0.8</v>
          </cell>
          <cell r="AD72">
            <v>0.8</v>
          </cell>
          <cell r="AE72">
            <v>0.80300000000000005</v>
          </cell>
          <cell r="AF72">
            <v>0.80600000000000005</v>
          </cell>
          <cell r="AG72">
            <v>0.80899999999999994</v>
          </cell>
          <cell r="AH72">
            <v>0.81200000000000006</v>
          </cell>
          <cell r="AI72">
            <v>0.81500000000000006</v>
          </cell>
          <cell r="AJ72">
            <v>0.81800000000000006</v>
          </cell>
          <cell r="AK72">
            <v>0</v>
          </cell>
          <cell r="AL72">
            <v>0.21212121212121215</v>
          </cell>
          <cell r="AM72">
            <v>0</v>
          </cell>
          <cell r="AN72">
            <v>3.7499999999999201E-3</v>
          </cell>
          <cell r="AO72">
            <v>3.7359900373599153E-3</v>
          </cell>
          <cell r="AP72">
            <v>3.7220843672454151E-3</v>
          </cell>
          <cell r="AQ72">
            <v>3.7082818294191799E-3</v>
          </cell>
          <cell r="AR72">
            <v>3.6945812807882561E-3</v>
          </cell>
          <cell r="AS72">
            <v>3.6809815950920033E-3</v>
          </cell>
          <cell r="AT72">
            <v>0.10096376512636063</v>
          </cell>
          <cell r="AU72">
            <v>3.7083836335587428E-3</v>
          </cell>
        </row>
        <row r="73">
          <cell r="B73" t="str">
            <v>GM plIndustrialPower</v>
          </cell>
          <cell r="C73" t="str">
            <v>GM pl</v>
          </cell>
          <cell r="D73" t="str">
            <v>Industrial</v>
          </cell>
          <cell r="E73" t="str">
            <v>Off-road (inc Agri, Other)</v>
          </cell>
          <cell r="F73" t="str">
            <v>Power</v>
          </cell>
          <cell r="G73">
            <v>0.6</v>
          </cell>
          <cell r="H73">
            <v>0.72</v>
          </cell>
          <cell r="I73">
            <v>0.72</v>
          </cell>
          <cell r="J73">
            <v>0.72</v>
          </cell>
          <cell r="K73">
            <v>0.72</v>
          </cell>
          <cell r="L73">
            <v>0.72</v>
          </cell>
          <cell r="M73">
            <v>0.72</v>
          </cell>
          <cell r="N73">
            <v>0.72</v>
          </cell>
          <cell r="O73">
            <v>0.72</v>
          </cell>
          <cell r="P73">
            <v>0</v>
          </cell>
          <cell r="Q73">
            <v>0</v>
          </cell>
          <cell r="R73">
            <v>0</v>
          </cell>
          <cell r="S73">
            <v>0</v>
          </cell>
          <cell r="T73">
            <v>0</v>
          </cell>
          <cell r="U73">
            <v>0</v>
          </cell>
          <cell r="V73">
            <v>0</v>
          </cell>
          <cell r="W73">
            <v>0</v>
          </cell>
          <cell r="X73">
            <v>0</v>
          </cell>
          <cell r="Y73">
            <v>0</v>
          </cell>
          <cell r="Z73">
            <v>0</v>
          </cell>
          <cell r="AA73" t="str">
            <v>Non focus</v>
          </cell>
          <cell r="AB73">
            <v>0.7</v>
          </cell>
          <cell r="AC73">
            <v>0.84000000000000008</v>
          </cell>
          <cell r="AD73">
            <v>0.84</v>
          </cell>
          <cell r="AE73">
            <v>0.84299999999999997</v>
          </cell>
          <cell r="AF73">
            <v>0.84599999999999997</v>
          </cell>
          <cell r="AG73">
            <v>0.84899999999999998</v>
          </cell>
          <cell r="AH73">
            <v>0.85199999999999998</v>
          </cell>
          <cell r="AI73">
            <v>0.85499999999999998</v>
          </cell>
          <cell r="AJ73">
            <v>0.85799999999999998</v>
          </cell>
          <cell r="AK73">
            <v>0</v>
          </cell>
          <cell r="AL73">
            <v>0.20000000000000018</v>
          </cell>
          <cell r="AM73">
            <v>-1.1102230246251565E-16</v>
          </cell>
          <cell r="AN73">
            <v>3.5714285714285587E-3</v>
          </cell>
          <cell r="AO73">
            <v>3.558718861210064E-3</v>
          </cell>
          <cell r="AP73">
            <v>3.5460992907800915E-3</v>
          </cell>
          <cell r="AQ73">
            <v>3.5335689045936647E-3</v>
          </cell>
          <cell r="AR73">
            <v>3.5211267605634866E-3</v>
          </cell>
          <cell r="AS73">
            <v>3.5087719298245723E-3</v>
          </cell>
          <cell r="AT73">
            <v>9.5445115010332149E-2</v>
          </cell>
          <cell r="AU73">
            <v>3.5336569940245255E-3</v>
          </cell>
        </row>
        <row r="74">
          <cell r="B74" t="str">
            <v>GM plIndustrialMetal</v>
          </cell>
          <cell r="C74" t="str">
            <v>GM pl</v>
          </cell>
          <cell r="D74" t="str">
            <v>Industrial</v>
          </cell>
          <cell r="E74" t="str">
            <v>Off-road (inc Agri, Other)</v>
          </cell>
          <cell r="F74" t="str">
            <v>Metal</v>
          </cell>
          <cell r="G74">
            <v>0.41</v>
          </cell>
          <cell r="H74">
            <v>0.54</v>
          </cell>
          <cell r="I74">
            <v>0.51</v>
          </cell>
          <cell r="J74">
            <v>0.51300000000000001</v>
          </cell>
          <cell r="K74">
            <v>0.51600000000000001</v>
          </cell>
          <cell r="L74">
            <v>0.51900000000000002</v>
          </cell>
          <cell r="M74">
            <v>0.52200000000000002</v>
          </cell>
          <cell r="N74">
            <v>0.52500000000000002</v>
          </cell>
          <cell r="O74">
            <v>0.52800000000000002</v>
          </cell>
          <cell r="P74">
            <v>0</v>
          </cell>
          <cell r="Q74">
            <v>0</v>
          </cell>
          <cell r="R74">
            <v>0</v>
          </cell>
          <cell r="S74">
            <v>0</v>
          </cell>
          <cell r="T74">
            <v>0</v>
          </cell>
          <cell r="U74">
            <v>0</v>
          </cell>
          <cell r="V74">
            <v>0</v>
          </cell>
          <cell r="W74">
            <v>0</v>
          </cell>
          <cell r="X74">
            <v>0</v>
          </cell>
          <cell r="Y74">
            <v>0</v>
          </cell>
          <cell r="Z74">
            <v>5.7807320250482519E-3</v>
          </cell>
          <cell r="AA74" t="str">
            <v>Non focus</v>
          </cell>
          <cell r="AB74">
            <v>0.43000000000000005</v>
          </cell>
          <cell r="AC74">
            <v>0.58000000000000007</v>
          </cell>
          <cell r="AD74">
            <v>0.55000000000000016</v>
          </cell>
          <cell r="AE74">
            <v>0.55300000000000005</v>
          </cell>
          <cell r="AF74">
            <v>0.55600000000000005</v>
          </cell>
          <cell r="AG74">
            <v>0.55900000000000005</v>
          </cell>
          <cell r="AH74">
            <v>0.56200000000000006</v>
          </cell>
          <cell r="AI74">
            <v>0.56500000000000006</v>
          </cell>
          <cell r="AJ74">
            <v>0.56800000000000006</v>
          </cell>
          <cell r="AK74">
            <v>0</v>
          </cell>
          <cell r="AL74">
            <v>0.34883720930232553</v>
          </cell>
          <cell r="AM74">
            <v>-5.1724137931034364E-2</v>
          </cell>
          <cell r="AN74">
            <v>5.4545454545451566E-3</v>
          </cell>
          <cell r="AO74">
            <v>5.4249547920433017E-3</v>
          </cell>
          <cell r="AP74">
            <v>5.3956834532373765E-3</v>
          </cell>
          <cell r="AQ74">
            <v>5.3667262969587792E-3</v>
          </cell>
          <cell r="AR74">
            <v>5.3380782918148739E-3</v>
          </cell>
          <cell r="AS74">
            <v>5.3097345132744334E-3</v>
          </cell>
          <cell r="AT74">
            <v>0.13095966658491442</v>
          </cell>
          <cell r="AU74">
            <v>5.3670346441587746E-3</v>
          </cell>
        </row>
        <row r="75">
          <cell r="B75" t="str">
            <v>GM plIndustrialAutomotive Manufacture</v>
          </cell>
          <cell r="C75" t="str">
            <v>GM pl</v>
          </cell>
          <cell r="D75" t="str">
            <v>Industrial</v>
          </cell>
          <cell r="E75" t="str">
            <v>Off-road (inc Agri, Other)</v>
          </cell>
          <cell r="F75" t="str">
            <v>Automotive Manufacture</v>
          </cell>
          <cell r="G75">
            <v>0.52999999999999992</v>
          </cell>
          <cell r="H75">
            <v>0.67999999999999994</v>
          </cell>
          <cell r="I75">
            <v>0.67999999999999994</v>
          </cell>
          <cell r="J75">
            <v>0.68203999999999987</v>
          </cell>
          <cell r="K75">
            <v>0.6840861199999998</v>
          </cell>
          <cell r="L75">
            <v>0.68613837835999969</v>
          </cell>
          <cell r="M75">
            <v>0.68819679349507956</v>
          </cell>
          <cell r="N75">
            <v>0.69026138387556468</v>
          </cell>
          <cell r="O75">
            <v>0.69233216802719133</v>
          </cell>
          <cell r="P75">
            <v>0</v>
          </cell>
          <cell r="Q75">
            <v>0</v>
          </cell>
          <cell r="R75">
            <v>0</v>
          </cell>
          <cell r="S75">
            <v>0</v>
          </cell>
          <cell r="T75">
            <v>0</v>
          </cell>
          <cell r="U75">
            <v>0</v>
          </cell>
          <cell r="V75">
            <v>0</v>
          </cell>
          <cell r="W75">
            <v>0</v>
          </cell>
          <cell r="X75">
            <v>0</v>
          </cell>
          <cell r="Y75">
            <v>0</v>
          </cell>
          <cell r="Z75">
            <v>2.9999999999998916E-3</v>
          </cell>
          <cell r="AA75" t="str">
            <v>Non focus</v>
          </cell>
          <cell r="AB75">
            <v>0.75</v>
          </cell>
          <cell r="AC75">
            <v>0.9</v>
          </cell>
          <cell r="AD75">
            <v>0.9</v>
          </cell>
          <cell r="AE75">
            <v>0.90300000000000002</v>
          </cell>
          <cell r="AF75">
            <v>0.90600000000000003</v>
          </cell>
          <cell r="AG75">
            <v>0.90900000000000014</v>
          </cell>
          <cell r="AH75">
            <v>0.91200000000000003</v>
          </cell>
          <cell r="AI75">
            <v>0.91500000000000004</v>
          </cell>
          <cell r="AJ75">
            <v>0.91800000000000004</v>
          </cell>
          <cell r="AK75">
            <v>0</v>
          </cell>
          <cell r="AL75">
            <v>0.19999999999999996</v>
          </cell>
          <cell r="AM75">
            <v>0</v>
          </cell>
          <cell r="AN75">
            <v>3.3333333333334103E-3</v>
          </cell>
          <cell r="AO75">
            <v>3.3222591362125353E-3</v>
          </cell>
          <cell r="AP75">
            <v>3.3112582781458233E-3</v>
          </cell>
          <cell r="AQ75">
            <v>3.3003300330032292E-3</v>
          </cell>
          <cell r="AR75">
            <v>3.2894736842106198E-3</v>
          </cell>
          <cell r="AS75">
            <v>3.2786885245901232E-3</v>
          </cell>
          <cell r="AT75">
            <v>9.5445115010332149E-2</v>
          </cell>
          <cell r="AU75">
            <v>3.300401812972531E-3</v>
          </cell>
        </row>
        <row r="76">
          <cell r="B76" t="str">
            <v>GM plIndustrialMachinery Manufacture</v>
          </cell>
          <cell r="C76" t="str">
            <v>GM pl</v>
          </cell>
          <cell r="D76" t="str">
            <v>Industrial</v>
          </cell>
          <cell r="E76" t="str">
            <v>Off-road (inc Agri, Other)</v>
          </cell>
          <cell r="F76" t="str">
            <v>Machinery Manufacture</v>
          </cell>
          <cell r="G76">
            <v>0.53000000000000014</v>
          </cell>
          <cell r="H76">
            <v>0.68</v>
          </cell>
          <cell r="I76">
            <v>0.67999999999999994</v>
          </cell>
          <cell r="J76">
            <v>0.68203999999999987</v>
          </cell>
          <cell r="K76">
            <v>0.6840861199999998</v>
          </cell>
          <cell r="L76">
            <v>0.68613837835999969</v>
          </cell>
          <cell r="M76">
            <v>0.68819679349507967</v>
          </cell>
          <cell r="N76">
            <v>0.69026138387556468</v>
          </cell>
          <cell r="O76">
            <v>0.69233216802719133</v>
          </cell>
          <cell r="P76">
            <v>0</v>
          </cell>
          <cell r="Q76">
            <v>0</v>
          </cell>
          <cell r="R76">
            <v>0</v>
          </cell>
          <cell r="S76">
            <v>0</v>
          </cell>
          <cell r="T76">
            <v>0</v>
          </cell>
          <cell r="U76">
            <v>0</v>
          </cell>
          <cell r="V76">
            <v>0</v>
          </cell>
          <cell r="W76">
            <v>0</v>
          </cell>
          <cell r="X76">
            <v>0</v>
          </cell>
          <cell r="Y76">
            <v>0</v>
          </cell>
          <cell r="Z76">
            <v>2.9999999999998916E-3</v>
          </cell>
          <cell r="AA76" t="str">
            <v>Non focus</v>
          </cell>
          <cell r="AB76">
            <v>0.74999999999999989</v>
          </cell>
          <cell r="AC76">
            <v>0.89999999999999991</v>
          </cell>
          <cell r="AD76">
            <v>0.9</v>
          </cell>
          <cell r="AE76">
            <v>0.90300000000000002</v>
          </cell>
          <cell r="AF76">
            <v>0.90599999999999992</v>
          </cell>
          <cell r="AG76">
            <v>0.90900000000000003</v>
          </cell>
          <cell r="AH76">
            <v>0.91200000000000003</v>
          </cell>
          <cell r="AI76">
            <v>0.91500000000000004</v>
          </cell>
          <cell r="AJ76">
            <v>0.91799999999999993</v>
          </cell>
          <cell r="AK76">
            <v>0</v>
          </cell>
          <cell r="AL76">
            <v>0.19999999999999996</v>
          </cell>
          <cell r="AM76">
            <v>2.2204460492503131E-16</v>
          </cell>
          <cell r="AN76">
            <v>3.3333333333334103E-3</v>
          </cell>
          <cell r="AO76">
            <v>3.3222591362125353E-3</v>
          </cell>
          <cell r="AP76">
            <v>3.3112582781458233E-3</v>
          </cell>
          <cell r="AQ76">
            <v>3.3003300330032292E-3</v>
          </cell>
          <cell r="AR76">
            <v>3.2894736842106198E-3</v>
          </cell>
          <cell r="AS76">
            <v>3.2786885245901232E-3</v>
          </cell>
          <cell r="AT76">
            <v>9.5445115010332371E-2</v>
          </cell>
          <cell r="AU76">
            <v>3.300401812972531E-3</v>
          </cell>
        </row>
        <row r="77">
          <cell r="B77" t="str">
            <v>GM plIndustrialPetro Chemicals</v>
          </cell>
          <cell r="C77" t="str">
            <v>GM pl</v>
          </cell>
          <cell r="D77" t="str">
            <v>Industrial</v>
          </cell>
          <cell r="E77" t="str">
            <v>Off-road (inc Agri, Other)</v>
          </cell>
          <cell r="F77" t="str">
            <v>Petro Chemicals</v>
          </cell>
          <cell r="G77">
            <v>0.51</v>
          </cell>
          <cell r="H77">
            <v>0.63000000000000012</v>
          </cell>
          <cell r="I77">
            <v>0.63</v>
          </cell>
          <cell r="J77">
            <v>0.63188999999999995</v>
          </cell>
          <cell r="K77">
            <v>0.63378566999999986</v>
          </cell>
          <cell r="L77">
            <v>0.63568702700999979</v>
          </cell>
          <cell r="M77">
            <v>0.63759408809102969</v>
          </cell>
          <cell r="N77">
            <v>0.63950687035530274</v>
          </cell>
          <cell r="O77">
            <v>0.64142539096636852</v>
          </cell>
          <cell r="P77">
            <v>0</v>
          </cell>
          <cell r="Q77">
            <v>0</v>
          </cell>
          <cell r="R77">
            <v>0</v>
          </cell>
          <cell r="S77">
            <v>0</v>
          </cell>
          <cell r="T77">
            <v>0</v>
          </cell>
          <cell r="U77">
            <v>0</v>
          </cell>
          <cell r="V77">
            <v>0</v>
          </cell>
          <cell r="W77">
            <v>0</v>
          </cell>
          <cell r="X77">
            <v>0</v>
          </cell>
          <cell r="Y77">
            <v>0</v>
          </cell>
          <cell r="Z77">
            <v>2.9999999999998916E-3</v>
          </cell>
          <cell r="AA77" t="str">
            <v>Non focus</v>
          </cell>
          <cell r="AB77">
            <v>0.68</v>
          </cell>
          <cell r="AC77">
            <v>0.8</v>
          </cell>
          <cell r="AD77">
            <v>0.8</v>
          </cell>
          <cell r="AE77">
            <v>0.80300000000000005</v>
          </cell>
          <cell r="AF77">
            <v>0.80600000000000005</v>
          </cell>
          <cell r="AG77">
            <v>0.80900000000000005</v>
          </cell>
          <cell r="AH77">
            <v>0.81199999999999994</v>
          </cell>
          <cell r="AI77">
            <v>0.81500000000000006</v>
          </cell>
          <cell r="AJ77">
            <v>0.81800000000000006</v>
          </cell>
          <cell r="AK77">
            <v>0</v>
          </cell>
          <cell r="AL77">
            <v>0.17647058823529416</v>
          </cell>
          <cell r="AM77">
            <v>0</v>
          </cell>
          <cell r="AN77">
            <v>3.7499999999999201E-3</v>
          </cell>
          <cell r="AO77">
            <v>3.7359900373599153E-3</v>
          </cell>
          <cell r="AP77">
            <v>3.7220843672456372E-3</v>
          </cell>
          <cell r="AQ77">
            <v>3.7082818294189579E-3</v>
          </cell>
          <cell r="AR77">
            <v>3.6945812807882561E-3</v>
          </cell>
          <cell r="AS77">
            <v>3.6809815950920033E-3</v>
          </cell>
          <cell r="AT77">
            <v>8.4652289093280819E-2</v>
          </cell>
          <cell r="AU77">
            <v>3.7083836335587428E-3</v>
          </cell>
        </row>
        <row r="78">
          <cell r="B78" t="str">
            <v>GM plIndustrialTextile</v>
          </cell>
          <cell r="C78" t="str">
            <v>GM pl</v>
          </cell>
          <cell r="D78" t="str">
            <v>Industrial</v>
          </cell>
          <cell r="E78" t="str">
            <v>Off-road (inc Agri, Other)</v>
          </cell>
          <cell r="F78" t="str">
            <v>Textile</v>
          </cell>
          <cell r="G78">
            <v>0.42999999999999983</v>
          </cell>
          <cell r="H78">
            <v>0.57999999999999996</v>
          </cell>
          <cell r="I78">
            <v>0.57999999999999996</v>
          </cell>
          <cell r="J78">
            <v>0.57999999999999996</v>
          </cell>
          <cell r="K78">
            <v>0.57999999999999996</v>
          </cell>
          <cell r="L78">
            <v>0.57999999999999996</v>
          </cell>
          <cell r="M78">
            <v>0.57999999999999996</v>
          </cell>
          <cell r="N78">
            <v>0.57999999999999996</v>
          </cell>
          <cell r="O78">
            <v>0.57999999999999996</v>
          </cell>
          <cell r="P78">
            <v>0</v>
          </cell>
          <cell r="Q78">
            <v>0</v>
          </cell>
          <cell r="R78">
            <v>0</v>
          </cell>
          <cell r="S78">
            <v>0</v>
          </cell>
          <cell r="T78">
            <v>0</v>
          </cell>
          <cell r="U78">
            <v>0</v>
          </cell>
          <cell r="V78">
            <v>0</v>
          </cell>
          <cell r="W78">
            <v>0</v>
          </cell>
          <cell r="X78">
            <v>0</v>
          </cell>
          <cell r="Y78">
            <v>0</v>
          </cell>
          <cell r="Z78">
            <v>0</v>
          </cell>
          <cell r="AA78" t="str">
            <v>Non focus</v>
          </cell>
          <cell r="AB78">
            <v>0.7</v>
          </cell>
          <cell r="AC78">
            <v>0.85</v>
          </cell>
          <cell r="AD78">
            <v>0.85</v>
          </cell>
          <cell r="AE78">
            <v>0.79999999999999993</v>
          </cell>
          <cell r="AF78">
            <v>0.74999999999999989</v>
          </cell>
          <cell r="AG78">
            <v>0.74999999999999989</v>
          </cell>
          <cell r="AH78">
            <v>0.74999999999999989</v>
          </cell>
          <cell r="AI78">
            <v>0.74999999999999989</v>
          </cell>
          <cell r="AJ78">
            <v>0.74999999999999989</v>
          </cell>
          <cell r="AK78">
            <v>0</v>
          </cell>
          <cell r="AL78">
            <v>0.21428571428571441</v>
          </cell>
          <cell r="AM78">
            <v>0</v>
          </cell>
          <cell r="AN78">
            <v>-5.8823529411764719E-2</v>
          </cell>
          <cell r="AO78">
            <v>-6.2500000000000111E-2</v>
          </cell>
          <cell r="AP78">
            <v>0</v>
          </cell>
          <cell r="AQ78">
            <v>0</v>
          </cell>
          <cell r="AR78">
            <v>0</v>
          </cell>
          <cell r="AS78">
            <v>0</v>
          </cell>
          <cell r="AT78">
            <v>0.10194633003867959</v>
          </cell>
          <cell r="AU78">
            <v>-1.2824757082590121E-2</v>
          </cell>
        </row>
        <row r="79">
          <cell r="B79" t="str">
            <v>GM plIndustrialRubber-Footwear</v>
          </cell>
          <cell r="C79" t="str">
            <v>GM pl</v>
          </cell>
          <cell r="D79" t="str">
            <v>Industrial</v>
          </cell>
          <cell r="E79" t="str">
            <v>Off-road (inc Agri, Other)</v>
          </cell>
          <cell r="F79" t="str">
            <v>Rubber-Footwear</v>
          </cell>
          <cell r="G79">
            <v>0.2</v>
          </cell>
          <cell r="H79">
            <v>0.29999999999999993</v>
          </cell>
          <cell r="I79">
            <v>0.3</v>
          </cell>
          <cell r="J79">
            <v>0.3</v>
          </cell>
          <cell r="K79">
            <v>0.3</v>
          </cell>
          <cell r="L79">
            <v>0.3</v>
          </cell>
          <cell r="M79">
            <v>0.3</v>
          </cell>
          <cell r="N79">
            <v>0.3</v>
          </cell>
          <cell r="O79">
            <v>0.3</v>
          </cell>
          <cell r="P79">
            <v>0</v>
          </cell>
          <cell r="Q79">
            <v>0</v>
          </cell>
          <cell r="R79">
            <v>0</v>
          </cell>
          <cell r="S79">
            <v>0</v>
          </cell>
          <cell r="T79">
            <v>0</v>
          </cell>
          <cell r="U79">
            <v>0</v>
          </cell>
          <cell r="V79">
            <v>0</v>
          </cell>
          <cell r="W79">
            <v>0</v>
          </cell>
          <cell r="X79">
            <v>0</v>
          </cell>
          <cell r="Y79">
            <v>0</v>
          </cell>
          <cell r="Z79">
            <v>0</v>
          </cell>
          <cell r="AA79" t="str">
            <v>Non focus</v>
          </cell>
          <cell r="AB79">
            <v>0.44999999999999996</v>
          </cell>
          <cell r="AC79">
            <v>0.6</v>
          </cell>
          <cell r="AD79">
            <v>0.6</v>
          </cell>
          <cell r="AE79">
            <v>0.6</v>
          </cell>
          <cell r="AF79">
            <v>0.6</v>
          </cell>
          <cell r="AG79">
            <v>0.6</v>
          </cell>
          <cell r="AH79">
            <v>0.6</v>
          </cell>
          <cell r="AI79">
            <v>0.6</v>
          </cell>
          <cell r="AJ79">
            <v>0.6</v>
          </cell>
          <cell r="AK79">
            <v>0</v>
          </cell>
          <cell r="AL79">
            <v>0.33333333333333348</v>
          </cell>
          <cell r="AM79">
            <v>0</v>
          </cell>
          <cell r="AN79">
            <v>0</v>
          </cell>
          <cell r="AO79">
            <v>0</v>
          </cell>
          <cell r="AP79">
            <v>0</v>
          </cell>
          <cell r="AQ79">
            <v>0</v>
          </cell>
          <cell r="AR79">
            <v>0</v>
          </cell>
          <cell r="AS79">
            <v>0</v>
          </cell>
          <cell r="AT79">
            <v>0.15470053837925168</v>
          </cell>
          <cell r="AU79">
            <v>0</v>
          </cell>
        </row>
        <row r="80">
          <cell r="B80" t="str">
            <v>GM plIndustrialOther</v>
          </cell>
          <cell r="C80" t="str">
            <v>GM pl</v>
          </cell>
          <cell r="D80" t="str">
            <v>Industrial</v>
          </cell>
          <cell r="E80" t="str">
            <v>Off-road (inc Agri, Other)</v>
          </cell>
          <cell r="F80" t="str">
            <v>Other</v>
          </cell>
          <cell r="G80">
            <v>0.43799999999999994</v>
          </cell>
          <cell r="H80">
            <v>0.56000000000000005</v>
          </cell>
          <cell r="I80">
            <v>0.57000000000000006</v>
          </cell>
          <cell r="J80">
            <v>0.58000000000000007</v>
          </cell>
          <cell r="K80">
            <v>0.59000000000000008</v>
          </cell>
          <cell r="L80">
            <v>0.60000000000000009</v>
          </cell>
          <cell r="M80">
            <v>0.61000000000000021</v>
          </cell>
          <cell r="N80">
            <v>0.62000000000000011</v>
          </cell>
          <cell r="O80">
            <v>0.63000000000000012</v>
          </cell>
          <cell r="P80">
            <v>0</v>
          </cell>
          <cell r="Q80">
            <v>0</v>
          </cell>
          <cell r="R80">
            <v>0</v>
          </cell>
          <cell r="S80">
            <v>0</v>
          </cell>
          <cell r="T80">
            <v>0</v>
          </cell>
          <cell r="U80">
            <v>0</v>
          </cell>
          <cell r="V80">
            <v>0</v>
          </cell>
          <cell r="W80">
            <v>0</v>
          </cell>
          <cell r="X80">
            <v>0</v>
          </cell>
          <cell r="Y80">
            <v>0</v>
          </cell>
          <cell r="Z80">
            <v>1.6675858612995365E-2</v>
          </cell>
          <cell r="AA80" t="str">
            <v>Non focus</v>
          </cell>
          <cell r="AB80">
            <v>0.68799999999999994</v>
          </cell>
          <cell r="AC80">
            <v>0.89</v>
          </cell>
          <cell r="AD80">
            <v>0.87</v>
          </cell>
          <cell r="AE80">
            <v>0.85604510003390988</v>
          </cell>
          <cell r="AF80">
            <v>0.876</v>
          </cell>
          <cell r="AG80">
            <v>0.879</v>
          </cell>
          <cell r="AH80">
            <v>0.88200000000000001</v>
          </cell>
          <cell r="AI80">
            <v>0.88500000000000001</v>
          </cell>
          <cell r="AJ80">
            <v>0.88800000000000001</v>
          </cell>
          <cell r="AK80">
            <v>0</v>
          </cell>
          <cell r="AL80">
            <v>0.29360465116279078</v>
          </cell>
          <cell r="AM80">
            <v>-2.2471910112359605E-2</v>
          </cell>
          <cell r="AN80">
            <v>-1.6040114903551839E-2</v>
          </cell>
          <cell r="AO80">
            <v>2.3310570862796531E-2</v>
          </cell>
          <cell r="AP80">
            <v>3.424657534246478E-3</v>
          </cell>
          <cell r="AQ80">
            <v>3.4129692832765013E-3</v>
          </cell>
          <cell r="AR80">
            <v>3.4013605442175798E-3</v>
          </cell>
          <cell r="AS80">
            <v>3.3898305084745228E-3</v>
          </cell>
          <cell r="AT80">
            <v>0.12451539950368407</v>
          </cell>
          <cell r="AU80">
            <v>7.3566645255258578E-3</v>
          </cell>
        </row>
        <row r="81">
          <cell r="B81" t="str">
            <v>GM plPCORetail</v>
          </cell>
          <cell r="C81" t="str">
            <v>GM pl</v>
          </cell>
          <cell r="D81" t="str">
            <v>PCO</v>
          </cell>
          <cell r="E81" t="str">
            <v>Retail</v>
          </cell>
          <cell r="F81" t="str">
            <v>Retail</v>
          </cell>
          <cell r="G81">
            <v>0.69130766441135816</v>
          </cell>
          <cell r="H81">
            <v>0.78925755321341307</v>
          </cell>
          <cell r="I81">
            <v>0.87326536701399293</v>
          </cell>
          <cell r="J81">
            <v>0.88920803600785803</v>
          </cell>
          <cell r="K81">
            <v>0.93506831126955881</v>
          </cell>
          <cell r="L81">
            <v>0.95351461075294086</v>
          </cell>
          <cell r="M81">
            <v>0.98294026826693526</v>
          </cell>
          <cell r="N81">
            <v>1.014561383328777</v>
          </cell>
          <cell r="O81">
            <v>1.0486379029456403</v>
          </cell>
          <cell r="P81">
            <v>0</v>
          </cell>
          <cell r="Q81">
            <v>0</v>
          </cell>
          <cell r="R81">
            <v>0</v>
          </cell>
          <cell r="S81">
            <v>0</v>
          </cell>
          <cell r="T81">
            <v>0</v>
          </cell>
          <cell r="U81">
            <v>0</v>
          </cell>
          <cell r="V81">
            <v>0</v>
          </cell>
          <cell r="W81">
            <v>0</v>
          </cell>
          <cell r="X81">
            <v>0</v>
          </cell>
          <cell r="Y81">
            <v>0</v>
          </cell>
          <cell r="Z81">
            <v>3.3533205985203374E-2</v>
          </cell>
          <cell r="AA81" t="str">
            <v>Non focus</v>
          </cell>
          <cell r="AB81">
            <v>1.0354203260070036</v>
          </cell>
          <cell r="AC81">
            <v>1.1216377029754354</v>
          </cell>
          <cell r="AD81">
            <v>1.2285139044970048</v>
          </cell>
          <cell r="AE81">
            <v>1.2530901233103253</v>
          </cell>
          <cell r="AF81">
            <v>1.2723596833332682</v>
          </cell>
          <cell r="AG81">
            <v>1.2862665345738278</v>
          </cell>
          <cell r="AH81">
            <v>1.3020542111028328</v>
          </cell>
          <cell r="AI81">
            <v>1.283054050342888</v>
          </cell>
          <cell r="AJ81">
            <v>1.3242005989733074</v>
          </cell>
          <cell r="AK81">
            <v>0</v>
          </cell>
          <cell r="AL81">
            <v>8.3267997356127443E-2</v>
          </cell>
          <cell r="AM81">
            <v>9.5285849644722642E-2</v>
          </cell>
          <cell r="AN81">
            <v>2.0004835698935741E-2</v>
          </cell>
          <cell r="AO81">
            <v>1.537763299261985E-2</v>
          </cell>
          <cell r="AP81">
            <v>1.0929968485111852E-2</v>
          </cell>
          <cell r="AQ81">
            <v>1.2274031940227692E-2</v>
          </cell>
          <cell r="AR81">
            <v>-1.4592449836517751E-2</v>
          </cell>
          <cell r="AS81">
            <v>3.2069224690435494E-2</v>
          </cell>
          <cell r="AT81">
            <v>8.9260349446881992E-2</v>
          </cell>
          <cell r="AU81">
            <v>1.1100428890041592E-2</v>
          </cell>
        </row>
        <row r="82">
          <cell r="B82" t="str">
            <v>GM plPCOIndependent WS</v>
          </cell>
          <cell r="C82" t="str">
            <v>GM pl</v>
          </cell>
          <cell r="D82" t="str">
            <v>PCO</v>
          </cell>
          <cell r="E82" t="str">
            <v>Other WS</v>
          </cell>
          <cell r="F82" t="str">
            <v>Independent WS</v>
          </cell>
          <cell r="G82">
            <v>1.0432864205415704</v>
          </cell>
          <cell r="H82">
            <v>1.2000407241841367</v>
          </cell>
          <cell r="I82">
            <v>1.3584127931328778</v>
          </cell>
          <cell r="J82">
            <v>1.396907673728516</v>
          </cell>
          <cell r="K82">
            <v>1.483496279735961</v>
          </cell>
          <cell r="L82">
            <v>1.5277393761273743</v>
          </cell>
          <cell r="M82">
            <v>1.5904786563159616</v>
          </cell>
          <cell r="N82">
            <v>1.6578981393001313</v>
          </cell>
          <cell r="O82">
            <v>1.7305488589091489</v>
          </cell>
          <cell r="P82">
            <v>0</v>
          </cell>
          <cell r="Q82">
            <v>0</v>
          </cell>
          <cell r="R82">
            <v>0</v>
          </cell>
          <cell r="S82">
            <v>0.1</v>
          </cell>
          <cell r="T82">
            <v>0.1</v>
          </cell>
          <cell r="U82">
            <v>0.1</v>
          </cell>
          <cell r="V82">
            <v>0.1</v>
          </cell>
          <cell r="W82">
            <v>0.1</v>
          </cell>
          <cell r="X82">
            <v>0.1</v>
          </cell>
          <cell r="Y82">
            <v>0</v>
          </cell>
          <cell r="Z82">
            <v>4.3766208024660802E-2</v>
          </cell>
          <cell r="AA82" t="str">
            <v>Focus</v>
          </cell>
          <cell r="AB82">
            <v>1.2115419028149736</v>
          </cell>
          <cell r="AC82">
            <v>1.3124245707754083</v>
          </cell>
          <cell r="AD82">
            <v>1.4374800610963536</v>
          </cell>
          <cell r="AE82">
            <v>1.5021737854395496</v>
          </cell>
          <cell r="AF82">
            <v>1.6049546386727191</v>
          </cell>
          <cell r="AG82">
            <v>1.6819357934281789</v>
          </cell>
          <cell r="AH82">
            <v>1.7866837091814127</v>
          </cell>
          <cell r="AI82">
            <v>1.8231332646864546</v>
          </cell>
          <cell r="AJ82">
            <v>1.8928426604164295</v>
          </cell>
          <cell r="AK82">
            <v>0</v>
          </cell>
          <cell r="AL82">
            <v>8.3267997356127221E-2</v>
          </cell>
          <cell r="AM82">
            <v>9.5285849644722642E-2</v>
          </cell>
          <cell r="AN82">
            <v>4.5004954220968285E-2</v>
          </cell>
          <cell r="AO82">
            <v>6.8421413174305279E-2</v>
          </cell>
          <cell r="AP82">
            <v>4.7964691898783052E-2</v>
          </cell>
          <cell r="AQ82">
            <v>6.227818931169371E-2</v>
          </cell>
          <cell r="AR82">
            <v>2.040067602213802E-2</v>
          </cell>
          <cell r="AS82">
            <v>3.8236039613902539E-2</v>
          </cell>
          <cell r="AT82">
            <v>8.926034944688177E-2</v>
          </cell>
          <cell r="AU82">
            <v>4.7318722524013035E-2</v>
          </cell>
        </row>
        <row r="83">
          <cell r="B83" t="str">
            <v>GM plPCOCar fleet (taxi)</v>
          </cell>
          <cell r="C83" t="str">
            <v>GM pl</v>
          </cell>
          <cell r="D83" t="str">
            <v>PCO</v>
          </cell>
          <cell r="E83" t="str">
            <v>On road transport (taxi)</v>
          </cell>
          <cell r="F83" t="str">
            <v>Car fleet (taxi)</v>
          </cell>
          <cell r="G83">
            <v>0.36606541071634052</v>
          </cell>
          <cell r="H83">
            <v>0.39839408657125192</v>
          </cell>
          <cell r="I83">
            <v>0.44334067619915468</v>
          </cell>
          <cell r="J83">
            <v>0.4745936701933946</v>
          </cell>
          <cell r="K83">
            <v>0.49880796676435485</v>
          </cell>
          <cell r="L83">
            <v>0.51150059161056116</v>
          </cell>
          <cell r="M83">
            <v>0.52533914460772335</v>
          </cell>
          <cell r="N83">
            <v>0.53213332151760151</v>
          </cell>
          <cell r="O83">
            <v>0.53560382365407999</v>
          </cell>
          <cell r="P83">
            <v>0</v>
          </cell>
          <cell r="Q83">
            <v>0</v>
          </cell>
          <cell r="R83">
            <v>0</v>
          </cell>
          <cell r="S83">
            <v>0</v>
          </cell>
          <cell r="T83">
            <v>0</v>
          </cell>
          <cell r="U83">
            <v>0</v>
          </cell>
          <cell r="V83">
            <v>0</v>
          </cell>
          <cell r="W83">
            <v>0</v>
          </cell>
          <cell r="X83">
            <v>0</v>
          </cell>
          <cell r="Y83">
            <v>0</v>
          </cell>
          <cell r="Z83">
            <v>2.4482030949105837E-2</v>
          </cell>
          <cell r="AA83" t="str">
            <v>Non focus</v>
          </cell>
          <cell r="AB83">
            <v>0.7350339726452183</v>
          </cell>
          <cell r="AC83">
            <v>0.74553445796872131</v>
          </cell>
          <cell r="AD83">
            <v>0.72111289308276927</v>
          </cell>
          <cell r="AE83">
            <v>0.72832747491134009</v>
          </cell>
          <cell r="AF83">
            <v>0.73227715862172338</v>
          </cell>
          <cell r="AG83">
            <v>0.73302326876147472</v>
          </cell>
          <cell r="AH83">
            <v>0.73474570977738696</v>
          </cell>
          <cell r="AI83">
            <v>0.71692569565050235</v>
          </cell>
          <cell r="AJ83">
            <v>0.73266285915624696</v>
          </cell>
          <cell r="AK83">
            <v>0</v>
          </cell>
          <cell r="AL83">
            <v>1.4285714285714235E-2</v>
          </cell>
          <cell r="AM83">
            <v>-3.2757124268261051E-2</v>
          </cell>
          <cell r="AN83">
            <v>1.0004788290122413E-2</v>
          </cell>
          <cell r="AO83">
            <v>5.4229503162215309E-3</v>
          </cell>
          <cell r="AP83">
            <v>1.0188903627086354E-3</v>
          </cell>
          <cell r="AQ83">
            <v>2.3497767251270396E-3</v>
          </cell>
          <cell r="AR83">
            <v>-2.425330817145388E-2</v>
          </cell>
          <cell r="AS83">
            <v>2.1950898958176479E-2</v>
          </cell>
          <cell r="AT83">
            <v>-9.5149516023298464E-3</v>
          </cell>
          <cell r="AU83">
            <v>1.1876795871978985E-3</v>
          </cell>
        </row>
        <row r="84">
          <cell r="B84" t="str">
            <v>GM plOEMToyota</v>
          </cell>
          <cell r="C84" t="str">
            <v>GM pl</v>
          </cell>
          <cell r="D84" t="str">
            <v>OEM</v>
          </cell>
          <cell r="E84" t="str">
            <v>OEM Auth W/S</v>
          </cell>
          <cell r="F84" t="str">
            <v>Toyota</v>
          </cell>
          <cell r="G84">
            <v>0.32041680198087713</v>
          </cell>
          <cell r="H84">
            <v>0.35647187336386238</v>
          </cell>
          <cell r="I84">
            <v>0.33854171586986431</v>
          </cell>
          <cell r="J84">
            <v>0.36396956200903047</v>
          </cell>
          <cell r="K84">
            <v>0.34887353345914812</v>
          </cell>
          <cell r="L84">
            <v>0.35284144003798246</v>
          </cell>
          <cell r="M84">
            <v>0.34959220063364965</v>
          </cell>
          <cell r="N84">
            <v>0.34090103933767746</v>
          </cell>
          <cell r="O84">
            <v>0.33096832609895072</v>
          </cell>
          <cell r="P84">
            <v>0</v>
          </cell>
          <cell r="Q84">
            <v>0</v>
          </cell>
          <cell r="R84">
            <v>0</v>
          </cell>
          <cell r="S84">
            <v>0</v>
          </cell>
          <cell r="T84">
            <v>0</v>
          </cell>
          <cell r="U84">
            <v>0</v>
          </cell>
          <cell r="V84">
            <v>0</v>
          </cell>
          <cell r="W84">
            <v>0</v>
          </cell>
          <cell r="X84">
            <v>0</v>
          </cell>
          <cell r="Y84">
            <v>0</v>
          </cell>
          <cell r="Z84">
            <v>-1.882997148204324E-2</v>
          </cell>
          <cell r="AA84" t="str">
            <v>Non focus</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t="e">
            <v>#DIV/0!</v>
          </cell>
          <cell r="AU84" t="e">
            <v>#DIV/0!</v>
          </cell>
        </row>
        <row r="85">
          <cell r="B85" t="str">
            <v>GM plOEMWestern OEM</v>
          </cell>
          <cell r="C85" t="str">
            <v>GM pl</v>
          </cell>
          <cell r="D85" t="str">
            <v>OEM</v>
          </cell>
          <cell r="E85" t="str">
            <v>OEM Auth W/S</v>
          </cell>
          <cell r="F85" t="str">
            <v>Western OEM</v>
          </cell>
          <cell r="G85">
            <v>1.5448667238363716</v>
          </cell>
          <cell r="H85">
            <v>1.7585945752617211</v>
          </cell>
          <cell r="I85">
            <v>1.6927085793493215</v>
          </cell>
          <cell r="J85">
            <v>1.8744432443465071</v>
          </cell>
          <cell r="K85">
            <v>1.295419760763836</v>
          </cell>
          <cell r="L85">
            <v>1.3494577888693453</v>
          </cell>
          <cell r="M85">
            <v>1.281838068990049</v>
          </cell>
          <cell r="N85">
            <v>1.193153637681871</v>
          </cell>
          <cell r="O85">
            <v>1.0811631985899055</v>
          </cell>
          <cell r="P85">
            <v>0</v>
          </cell>
          <cell r="Q85">
            <v>0</v>
          </cell>
          <cell r="R85">
            <v>0</v>
          </cell>
          <cell r="S85">
            <v>0</v>
          </cell>
          <cell r="T85">
            <v>0</v>
          </cell>
          <cell r="U85">
            <v>0</v>
          </cell>
          <cell r="V85">
            <v>0</v>
          </cell>
          <cell r="W85">
            <v>0</v>
          </cell>
          <cell r="X85">
            <v>0</v>
          </cell>
          <cell r="Y85">
            <v>0</v>
          </cell>
          <cell r="Z85">
            <v>-0.10421498762162129</v>
          </cell>
          <cell r="AA85" t="str">
            <v>Non focus</v>
          </cell>
          <cell r="AB85">
            <v>0.77066115702479343</v>
          </cell>
          <cell r="AC85">
            <v>1.3267991226339038</v>
          </cell>
          <cell r="AD85">
            <v>1.7818384531745501</v>
          </cell>
          <cell r="AE85">
            <v>1.7818384531745499</v>
          </cell>
          <cell r="AF85">
            <v>1.1405519836444233</v>
          </cell>
          <cell r="AG85">
            <v>1.1405519836444233</v>
          </cell>
          <cell r="AH85">
            <v>1.0320757675799659</v>
          </cell>
          <cell r="AI85">
            <v>1.0320757675799661</v>
          </cell>
          <cell r="AJ85">
            <v>1.0320757675799661</v>
          </cell>
          <cell r="AK85">
            <v>0</v>
          </cell>
          <cell r="AL85">
            <v>0.72163746743916724</v>
          </cell>
          <cell r="AM85">
            <v>0.3429602287023843</v>
          </cell>
          <cell r="AN85">
            <v>-1.1102230246251565E-16</v>
          </cell>
          <cell r="AO85">
            <v>-0.35990157715341764</v>
          </cell>
          <cell r="AP85">
            <v>0</v>
          </cell>
          <cell r="AQ85">
            <v>-9.5108524311046105E-2</v>
          </cell>
          <cell r="AR85">
            <v>2.2204460492503131E-16</v>
          </cell>
          <cell r="AS85">
            <v>0</v>
          </cell>
          <cell r="AT85">
            <v>0.52055603218516677</v>
          </cell>
          <cell r="AU85">
            <v>-0.10346210556208502</v>
          </cell>
        </row>
        <row r="86">
          <cell r="B86" t="str">
            <v>GM plOEMOther OEMs</v>
          </cell>
          <cell r="C86" t="str">
            <v>GM pl</v>
          </cell>
          <cell r="D86" t="str">
            <v>OEM</v>
          </cell>
          <cell r="E86" t="str">
            <v>OEM Auth W/S</v>
          </cell>
          <cell r="F86" t="str">
            <v>Other OEMs</v>
          </cell>
          <cell r="G86">
            <v>0.85825929102020637</v>
          </cell>
          <cell r="H86">
            <v>0.9268268707460422</v>
          </cell>
          <cell r="I86">
            <v>0.90277790898630506</v>
          </cell>
          <cell r="J86">
            <v>0.98999720866456298</v>
          </cell>
          <cell r="K86">
            <v>0.67754031186034247</v>
          </cell>
          <cell r="L86">
            <v>0.69895122994634429</v>
          </cell>
          <cell r="M86">
            <v>0.70636503625526503</v>
          </cell>
          <cell r="N86">
            <v>0.7025802808708278</v>
          </cell>
          <cell r="O86">
            <v>0.69575163619612157</v>
          </cell>
          <cell r="P86">
            <v>0</v>
          </cell>
          <cell r="Q86">
            <v>0</v>
          </cell>
          <cell r="R86">
            <v>0</v>
          </cell>
          <cell r="S86">
            <v>0</v>
          </cell>
          <cell r="T86">
            <v>0</v>
          </cell>
          <cell r="U86">
            <v>0</v>
          </cell>
          <cell r="V86">
            <v>0</v>
          </cell>
          <cell r="W86">
            <v>0</v>
          </cell>
          <cell r="X86">
            <v>0</v>
          </cell>
          <cell r="Y86">
            <v>0</v>
          </cell>
          <cell r="Z86">
            <v>-6.8111283476943174E-2</v>
          </cell>
          <cell r="AA86" t="str">
            <v>Non focus</v>
          </cell>
          <cell r="AB86">
            <v>1.1000000000000001</v>
          </cell>
          <cell r="AC86">
            <v>1.1000000000000001</v>
          </cell>
          <cell r="AD86">
            <v>1.1499999999999999</v>
          </cell>
          <cell r="AE86">
            <v>1.1499999999999999</v>
          </cell>
          <cell r="AF86">
            <v>1.1499999999999999</v>
          </cell>
          <cell r="AG86">
            <v>1.1499999999999999</v>
          </cell>
          <cell r="AH86">
            <v>1.1499999999999999</v>
          </cell>
          <cell r="AI86">
            <v>1.1499999999999999</v>
          </cell>
          <cell r="AJ86">
            <v>1.1499999999999999</v>
          </cell>
          <cell r="AK86">
            <v>0</v>
          </cell>
          <cell r="AL86">
            <v>0</v>
          </cell>
          <cell r="AM86">
            <v>4.5454545454545192E-2</v>
          </cell>
          <cell r="AN86">
            <v>0</v>
          </cell>
          <cell r="AO86">
            <v>0</v>
          </cell>
          <cell r="AP86">
            <v>0</v>
          </cell>
          <cell r="AQ86">
            <v>0</v>
          </cell>
          <cell r="AR86">
            <v>0</v>
          </cell>
          <cell r="AS86">
            <v>0</v>
          </cell>
          <cell r="AT86">
            <v>2.2474716291090102E-2</v>
          </cell>
          <cell r="AU86">
            <v>0</v>
          </cell>
        </row>
        <row r="87">
          <cell r="B87" t="str">
            <v>GM plOEMOEM FF</v>
          </cell>
          <cell r="C87" t="str">
            <v>GM pl</v>
          </cell>
          <cell r="D87" t="str">
            <v>OEM</v>
          </cell>
          <cell r="E87" t="str">
            <v>OEM FF</v>
          </cell>
          <cell r="F87" t="str">
            <v>OEM FF</v>
          </cell>
          <cell r="G87">
            <v>0.37356888238906316</v>
          </cell>
          <cell r="H87">
            <v>0.42354511261657557</v>
          </cell>
          <cell r="I87">
            <v>0.41352596612480036</v>
          </cell>
          <cell r="J87">
            <v>0.44903173314079203</v>
          </cell>
          <cell r="K87">
            <v>0.40701912236900611</v>
          </cell>
          <cell r="L87">
            <v>0.38812558404178071</v>
          </cell>
          <cell r="M87">
            <v>0.37289834734255978</v>
          </cell>
          <cell r="N87">
            <v>0.36362777529352258</v>
          </cell>
          <cell r="O87">
            <v>0.34200060363558238</v>
          </cell>
          <cell r="P87">
            <v>0</v>
          </cell>
          <cell r="Q87">
            <v>0</v>
          </cell>
          <cell r="R87">
            <v>0</v>
          </cell>
          <cell r="S87">
            <v>0</v>
          </cell>
          <cell r="T87">
            <v>0</v>
          </cell>
          <cell r="U87">
            <v>0</v>
          </cell>
          <cell r="V87">
            <v>0</v>
          </cell>
          <cell r="W87">
            <v>0</v>
          </cell>
          <cell r="X87">
            <v>0</v>
          </cell>
          <cell r="Y87">
            <v>0</v>
          </cell>
          <cell r="Z87">
            <v>-5.300002449581187E-2</v>
          </cell>
          <cell r="AA87" t="str">
            <v>Non focus</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t="e">
            <v>#DIV/0!</v>
          </cell>
          <cell r="AU87" t="e">
            <v>#DIV/0!</v>
          </cell>
        </row>
        <row r="88">
          <cell r="B88" t="str">
            <v>GM plCVOGarage-Washing Shop</v>
          </cell>
          <cell r="C88" t="str">
            <v>GM pl</v>
          </cell>
          <cell r="D88" t="str">
            <v>CVO</v>
          </cell>
          <cell r="E88" t="str">
            <v>Other WS</v>
          </cell>
          <cell r="F88" t="str">
            <v>Garage-Washing Shop</v>
          </cell>
          <cell r="G88">
            <v>0.34009574424572153</v>
          </cell>
          <cell r="H88">
            <v>0.44121185162539817</v>
          </cell>
          <cell r="I88">
            <v>0.54959248008591544</v>
          </cell>
          <cell r="J88">
            <v>0.55676196942667056</v>
          </cell>
          <cell r="K88">
            <v>0.56402498547907065</v>
          </cell>
          <cell r="L88">
            <v>0.57138274830850322</v>
          </cell>
          <cell r="M88">
            <v>0.57883649389623182</v>
          </cell>
          <cell r="N88">
            <v>0.58638747434702032</v>
          </cell>
          <cell r="O88">
            <v>0.59403695809946555</v>
          </cell>
          <cell r="P88">
            <v>0</v>
          </cell>
          <cell r="Q88">
            <v>0</v>
          </cell>
          <cell r="R88">
            <v>0</v>
          </cell>
          <cell r="S88">
            <v>2.0184799997017531E-2</v>
          </cell>
          <cell r="T88">
            <v>5.1471239992394703E-2</v>
          </cell>
          <cell r="U88">
            <v>5.3625046399477842E-2</v>
          </cell>
          <cell r="V88">
            <v>5.4329107335907678E-2</v>
          </cell>
          <cell r="W88">
            <v>5.4967647650527113E-2</v>
          </cell>
          <cell r="X88">
            <v>5.5609959968453616E-2</v>
          </cell>
          <cell r="Y88">
            <v>0</v>
          </cell>
          <cell r="Z88">
            <v>1.3045100871166282E-2</v>
          </cell>
          <cell r="AA88" t="str">
            <v>Focus</v>
          </cell>
          <cell r="AB88">
            <v>0.65662394620229181</v>
          </cell>
          <cell r="AC88">
            <v>0.86595142652357227</v>
          </cell>
          <cell r="AD88">
            <v>1.0092399998508765</v>
          </cell>
          <cell r="AE88">
            <v>1.0214843585010509</v>
          </cell>
          <cell r="AF88">
            <v>1.0416788529313783</v>
          </cell>
          <cell r="AG88">
            <v>1.0453897561008336</v>
          </cell>
          <cell r="AH88">
            <v>1.0663606449252692</v>
          </cell>
          <cell r="AI88">
            <v>1.094948695369929</v>
          </cell>
          <cell r="AJ88">
            <v>1.1124118162591226</v>
          </cell>
          <cell r="AK88">
            <v>0</v>
          </cell>
          <cell r="AL88">
            <v>0.31879355227899531</v>
          </cell>
          <cell r="AM88">
            <v>0.16546952743359644</v>
          </cell>
          <cell r="AN88">
            <v>1.2132256600990488E-2</v>
          </cell>
          <cell r="AO88">
            <v>1.9769753949009372E-2</v>
          </cell>
          <cell r="AP88">
            <v>3.5624253665249572E-3</v>
          </cell>
          <cell r="AQ88">
            <v>2.0060354238264466E-2</v>
          </cell>
          <cell r="AR88">
            <v>2.6808988666928268E-2</v>
          </cell>
          <cell r="AS88">
            <v>1.5948802864497402E-2</v>
          </cell>
          <cell r="AT88">
            <v>0.23976356542571242</v>
          </cell>
          <cell r="AU88">
            <v>1.7200990739035138E-2</v>
          </cell>
        </row>
        <row r="89">
          <cell r="B89" t="str">
            <v>GM plCVONational Petrol Station</v>
          </cell>
          <cell r="C89" t="str">
            <v>GM pl</v>
          </cell>
          <cell r="D89" t="str">
            <v>CVO</v>
          </cell>
          <cell r="E89" t="str">
            <v>Retail</v>
          </cell>
          <cell r="F89" t="str">
            <v>National Petrol Station</v>
          </cell>
          <cell r="G89">
            <v>0.16724502963800911</v>
          </cell>
          <cell r="H89">
            <v>0.1951794926475843</v>
          </cell>
          <cell r="I89">
            <v>0.22524181940398555</v>
          </cell>
          <cell r="J89">
            <v>0.21207494954969991</v>
          </cell>
          <cell r="K89">
            <v>0.1996777700762612</v>
          </cell>
          <cell r="L89">
            <v>0.18800528750466297</v>
          </cell>
          <cell r="M89">
            <v>0.1770151385214869</v>
          </cell>
          <cell r="N89">
            <v>0.16666743622837751</v>
          </cell>
          <cell r="O89">
            <v>0.1569246253792495</v>
          </cell>
          <cell r="P89">
            <v>0</v>
          </cell>
          <cell r="Q89">
            <v>0</v>
          </cell>
          <cell r="R89">
            <v>0</v>
          </cell>
          <cell r="S89">
            <v>0</v>
          </cell>
          <cell r="T89">
            <v>0</v>
          </cell>
          <cell r="U89">
            <v>0</v>
          </cell>
          <cell r="V89">
            <v>0</v>
          </cell>
          <cell r="W89">
            <v>0</v>
          </cell>
          <cell r="X89">
            <v>0</v>
          </cell>
          <cell r="Y89">
            <v>0</v>
          </cell>
          <cell r="Z89">
            <v>-5.8456595179023796E-2</v>
          </cell>
          <cell r="AA89" t="str">
            <v>Non focus</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t="e">
            <v>#DIV/0!</v>
          </cell>
          <cell r="AU89" t="e">
            <v>#DIV/0!</v>
          </cell>
        </row>
        <row r="90">
          <cell r="B90" t="str">
            <v>GM plCVOPetrol Station</v>
          </cell>
          <cell r="C90" t="str">
            <v>GM pl</v>
          </cell>
          <cell r="D90" t="str">
            <v>CVO</v>
          </cell>
          <cell r="E90" t="str">
            <v>Retail</v>
          </cell>
          <cell r="F90" t="str">
            <v>Petrol Station</v>
          </cell>
          <cell r="G90">
            <v>0.34754547936153235</v>
          </cell>
          <cell r="H90">
            <v>0.45555671575349316</v>
          </cell>
          <cell r="I90">
            <v>0.57130186262694616</v>
          </cell>
          <cell r="J90">
            <v>0.59084259709144882</v>
          </cell>
          <cell r="K90">
            <v>0.61105170029127542</v>
          </cell>
          <cell r="L90">
            <v>0.63195203302355574</v>
          </cell>
          <cell r="M90">
            <v>0.65356723801314565</v>
          </cell>
          <cell r="N90">
            <v>0.67592176665758086</v>
          </cell>
          <cell r="O90">
            <v>0.6990409066868124</v>
          </cell>
          <cell r="P90">
            <v>0</v>
          </cell>
          <cell r="Q90">
            <v>0</v>
          </cell>
          <cell r="R90">
            <v>0</v>
          </cell>
          <cell r="S90">
            <v>0</v>
          </cell>
          <cell r="T90">
            <v>0</v>
          </cell>
          <cell r="U90">
            <v>0</v>
          </cell>
          <cell r="V90">
            <v>0</v>
          </cell>
          <cell r="W90">
            <v>0</v>
          </cell>
          <cell r="X90">
            <v>0</v>
          </cell>
          <cell r="Y90">
            <v>0</v>
          </cell>
          <cell r="Z90">
            <v>3.4203869692724043E-2</v>
          </cell>
          <cell r="AA90" t="str">
            <v>Focus</v>
          </cell>
          <cell r="AB90">
            <v>0.65662394620229181</v>
          </cell>
          <cell r="AC90">
            <v>0.86592574180789939</v>
          </cell>
          <cell r="AD90">
            <v>0.99434367383552014</v>
          </cell>
          <cell r="AE90">
            <v>1.0214843585010505</v>
          </cell>
          <cell r="AF90">
            <v>1.0222618817845914</v>
          </cell>
          <cell r="AG90">
            <v>1.0167495645589739</v>
          </cell>
          <cell r="AH90">
            <v>1.0281819650165258</v>
          </cell>
          <cell r="AI90">
            <v>1.0282754022347382</v>
          </cell>
          <cell r="AJ90">
            <v>1.0358308433250649</v>
          </cell>
          <cell r="AK90">
            <v>0</v>
          </cell>
          <cell r="AL90">
            <v>0.31875443595400976</v>
          </cell>
          <cell r="AM90">
            <v>0.1483013217270881</v>
          </cell>
          <cell r="AN90">
            <v>2.7295074509640527E-2</v>
          </cell>
          <cell r="AO90">
            <v>7.6117003365760993E-4</v>
          </cell>
          <cell r="AP90">
            <v>-5.3922750362114247E-3</v>
          </cell>
          <cell r="AQ90">
            <v>1.1244067227617505E-2</v>
          </cell>
          <cell r="AR90">
            <v>9.0876149739571588E-5</v>
          </cell>
          <cell r="AS90">
            <v>7.3476824145617403E-3</v>
          </cell>
          <cell r="AT90">
            <v>0.23058013223009977</v>
          </cell>
          <cell r="AU90">
            <v>2.7932998098989525E-3</v>
          </cell>
        </row>
        <row r="91">
          <cell r="B91" t="str">
            <v>GM plCVOOil Shop &amp; SP</v>
          </cell>
          <cell r="C91" t="str">
            <v>GM pl</v>
          </cell>
          <cell r="D91" t="str">
            <v>CVO</v>
          </cell>
          <cell r="E91" t="str">
            <v>Retail</v>
          </cell>
          <cell r="F91" t="str">
            <v>Oil Shop &amp; SP</v>
          </cell>
          <cell r="G91">
            <v>0.31983556365378851</v>
          </cell>
          <cell r="H91">
            <v>0.37959345361504354</v>
          </cell>
          <cell r="I91">
            <v>0.44733106358675234</v>
          </cell>
          <cell r="J91">
            <v>0.4586597490247134</v>
          </cell>
          <cell r="K91">
            <v>0.47027533408624012</v>
          </cell>
          <cell r="L91">
            <v>0.48218508452113656</v>
          </cell>
          <cell r="M91">
            <v>0.49439645008474725</v>
          </cell>
          <cell r="N91">
            <v>0.50691706919790769</v>
          </cell>
          <cell r="O91">
            <v>0.51975477372491019</v>
          </cell>
          <cell r="P91">
            <v>0</v>
          </cell>
          <cell r="Q91">
            <v>0</v>
          </cell>
          <cell r="R91">
            <v>0</v>
          </cell>
          <cell r="S91">
            <v>0</v>
          </cell>
          <cell r="T91">
            <v>0</v>
          </cell>
          <cell r="U91">
            <v>0</v>
          </cell>
          <cell r="V91">
            <v>0</v>
          </cell>
          <cell r="W91">
            <v>0</v>
          </cell>
          <cell r="X91">
            <v>0</v>
          </cell>
          <cell r="Y91">
            <v>0</v>
          </cell>
          <cell r="Z91">
            <v>2.5325058687242441E-2</v>
          </cell>
          <cell r="AA91" t="str">
            <v>Non focus</v>
          </cell>
          <cell r="AB91">
            <v>0.68548731416964681</v>
          </cell>
          <cell r="AC91">
            <v>0.88499338373410952</v>
          </cell>
          <cell r="AD91">
            <v>1.0092399998508765</v>
          </cell>
          <cell r="AE91">
            <v>1.0214843585010505</v>
          </cell>
          <cell r="AF91">
            <v>1.002844910637805</v>
          </cell>
          <cell r="AG91">
            <v>0.99765610353106793</v>
          </cell>
          <cell r="AH91">
            <v>1.0090926250621546</v>
          </cell>
          <cell r="AI91">
            <v>1.0187506460725684</v>
          </cell>
          <cell r="AJ91">
            <v>1.0358308433250647</v>
          </cell>
          <cell r="AK91">
            <v>0</v>
          </cell>
          <cell r="AL91">
            <v>0.29104268662671151</v>
          </cell>
          <cell r="AM91">
            <v>0.14039270620592137</v>
          </cell>
          <cell r="AN91">
            <v>1.2132256600990043E-2</v>
          </cell>
          <cell r="AO91">
            <v>-1.8247413881694041E-2</v>
          </cell>
          <cell r="AP91">
            <v>-5.1740872907626301E-3</v>
          </cell>
          <cell r="AQ91">
            <v>1.1463390531675888E-2</v>
          </cell>
          <cell r="AR91">
            <v>9.5709955365286259E-3</v>
          </cell>
          <cell r="AS91">
            <v>1.6765827161281388E-2</v>
          </cell>
          <cell r="AT91">
            <v>0.21338191153057773</v>
          </cell>
          <cell r="AU91">
            <v>2.7932998098989525E-3</v>
          </cell>
        </row>
        <row r="92">
          <cell r="B92" t="str">
            <v>GM plCVOOther Retails</v>
          </cell>
          <cell r="C92" t="str">
            <v>GM pl</v>
          </cell>
          <cell r="D92" t="str">
            <v>CVO</v>
          </cell>
          <cell r="E92" t="str">
            <v>Retail</v>
          </cell>
          <cell r="F92" t="str">
            <v>Other Retails</v>
          </cell>
          <cell r="G92">
            <v>0.30946454854869065</v>
          </cell>
          <cell r="H92">
            <v>0.36812843451674288</v>
          </cell>
          <cell r="I92">
            <v>0.43119203012650525</v>
          </cell>
          <cell r="J92">
            <v>0.41328209994812626</v>
          </cell>
          <cell r="K92">
            <v>0.39611607405503824</v>
          </cell>
          <cell r="L92">
            <v>0.37966305374578535</v>
          </cell>
          <cell r="M92">
            <v>0.36389342372293398</v>
          </cell>
          <cell r="N92">
            <v>0.34877879878578716</v>
          </cell>
          <cell r="O92">
            <v>0.33429197273726341</v>
          </cell>
          <cell r="P92">
            <v>0</v>
          </cell>
          <cell r="Q92">
            <v>0</v>
          </cell>
          <cell r="R92">
            <v>0</v>
          </cell>
          <cell r="S92">
            <v>0</v>
          </cell>
          <cell r="T92">
            <v>0</v>
          </cell>
          <cell r="U92">
            <v>0</v>
          </cell>
          <cell r="V92">
            <v>0</v>
          </cell>
          <cell r="W92">
            <v>0</v>
          </cell>
          <cell r="X92">
            <v>0</v>
          </cell>
          <cell r="Y92">
            <v>0</v>
          </cell>
          <cell r="Z92">
            <v>-4.1535856247446379E-2</v>
          </cell>
          <cell r="AA92" t="str">
            <v>Non focus</v>
          </cell>
          <cell r="AB92">
            <v>0.65662394620229181</v>
          </cell>
          <cell r="AC92">
            <v>0.86464205411450057</v>
          </cell>
          <cell r="AD92">
            <v>1.0092399998508763</v>
          </cell>
          <cell r="AE92">
            <v>1.0214843585010505</v>
          </cell>
          <cell r="AF92">
            <v>1.0028449106378048</v>
          </cell>
          <cell r="AG92">
            <v>0.99765610353106771</v>
          </cell>
          <cell r="AH92">
            <v>1.0090926250621541</v>
          </cell>
          <cell r="AI92">
            <v>1.0187506460725684</v>
          </cell>
          <cell r="AJ92">
            <v>1.0358308433250647</v>
          </cell>
          <cell r="AK92">
            <v>0</v>
          </cell>
          <cell r="AL92">
            <v>0.31679945441423607</v>
          </cell>
          <cell r="AM92">
            <v>0.16723445852337337</v>
          </cell>
          <cell r="AN92">
            <v>1.2132256600990265E-2</v>
          </cell>
          <cell r="AO92">
            <v>-1.8247413881694263E-2</v>
          </cell>
          <cell r="AP92">
            <v>-5.1740872907626301E-3</v>
          </cell>
          <cell r="AQ92">
            <v>1.1463390531675666E-2</v>
          </cell>
          <cell r="AR92">
            <v>9.57099553652907E-3</v>
          </cell>
          <cell r="AS92">
            <v>1.6765827161281388E-2</v>
          </cell>
          <cell r="AT92">
            <v>0.2397635654257122</v>
          </cell>
          <cell r="AU92">
            <v>2.7932998098989525E-3</v>
          </cell>
        </row>
        <row r="93">
          <cell r="B93" t="str">
            <v>GM plCVOOEM Auth. W/S</v>
          </cell>
          <cell r="C93" t="str">
            <v>GM pl</v>
          </cell>
          <cell r="D93" t="str">
            <v>CVO</v>
          </cell>
          <cell r="E93" t="str">
            <v>OEM Auth W/S</v>
          </cell>
          <cell r="F93" t="str">
            <v>OEM Auth. W/S</v>
          </cell>
          <cell r="G93">
            <v>1.3233567406590165</v>
          </cell>
          <cell r="H93">
            <v>1.6161570341154405</v>
          </cell>
          <cell r="I93">
            <v>1.8433668380455233</v>
          </cell>
          <cell r="J93">
            <v>1.7314286821464009</v>
          </cell>
          <cell r="K93">
            <v>1.6262879528297061</v>
          </cell>
          <cell r="L93">
            <v>1.5275318774552935</v>
          </cell>
          <cell r="M93">
            <v>1.4347727489354567</v>
          </cell>
          <cell r="N93">
            <v>1.3476464036332727</v>
          </cell>
          <cell r="O93">
            <v>1.2658107916903245</v>
          </cell>
          <cell r="P93">
            <v>0</v>
          </cell>
          <cell r="Q93">
            <v>0</v>
          </cell>
          <cell r="R93">
            <v>0</v>
          </cell>
          <cell r="S93">
            <v>0</v>
          </cell>
          <cell r="T93">
            <v>0</v>
          </cell>
          <cell r="U93">
            <v>0</v>
          </cell>
          <cell r="V93">
            <v>0</v>
          </cell>
          <cell r="W93">
            <v>0</v>
          </cell>
          <cell r="X93">
            <v>0</v>
          </cell>
          <cell r="Y93">
            <v>0</v>
          </cell>
          <cell r="Z93">
            <v>-6.0724839781650664E-2</v>
          </cell>
          <cell r="AA93" t="str">
            <v>Non focus</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t="e">
            <v>#DIV/0!</v>
          </cell>
          <cell r="AU93" t="e">
            <v>#DIV/0!</v>
          </cell>
        </row>
        <row r="94">
          <cell r="B94" t="str">
            <v>GM plCVOOEM FF</v>
          </cell>
          <cell r="C94" t="str">
            <v>GM pl</v>
          </cell>
          <cell r="D94" t="str">
            <v>CVO</v>
          </cell>
          <cell r="E94" t="str">
            <v>OEM FF</v>
          </cell>
          <cell r="F94" t="str">
            <v>OEM FF</v>
          </cell>
          <cell r="G94">
            <v>1.3233567406590165</v>
          </cell>
          <cell r="H94">
            <v>1.6868745067287656</v>
          </cell>
          <cell r="I94">
            <v>1.8433668380455235</v>
          </cell>
          <cell r="J94">
            <v>1.6662480393375672</v>
          </cell>
          <cell r="K94">
            <v>1.5061475943334304</v>
          </cell>
          <cell r="L94">
            <v>1.3614303047091569</v>
          </cell>
          <cell r="M94">
            <v>1.2306180891924874</v>
          </cell>
          <cell r="N94">
            <v>1.1123748870650383</v>
          </cell>
          <cell r="O94">
            <v>1.0054930122024335</v>
          </cell>
          <cell r="P94">
            <v>0</v>
          </cell>
          <cell r="Q94">
            <v>0</v>
          </cell>
          <cell r="R94">
            <v>0</v>
          </cell>
          <cell r="S94">
            <v>0</v>
          </cell>
          <cell r="T94">
            <v>0</v>
          </cell>
          <cell r="U94">
            <v>0</v>
          </cell>
          <cell r="V94">
            <v>0</v>
          </cell>
          <cell r="W94">
            <v>0</v>
          </cell>
          <cell r="X94">
            <v>0</v>
          </cell>
          <cell r="Y94">
            <v>0</v>
          </cell>
          <cell r="Z94">
            <v>-9.6084401136211528E-2</v>
          </cell>
          <cell r="AA94" t="str">
            <v>Non focus</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t="e">
            <v>#DIV/0!</v>
          </cell>
          <cell r="AU94" t="e">
            <v>#DIV/0!</v>
          </cell>
        </row>
        <row r="95">
          <cell r="B95" t="str">
            <v>GM plCVOOn Road Transport (Fleet)</v>
          </cell>
          <cell r="C95" t="str">
            <v>GM pl</v>
          </cell>
          <cell r="D95" t="str">
            <v>CVO</v>
          </cell>
          <cell r="E95" t="str">
            <v>On road transport (taxi)</v>
          </cell>
          <cell r="F95" t="str">
            <v>On Road Transport (Fleet)</v>
          </cell>
          <cell r="G95">
            <v>0.34959741769775871</v>
          </cell>
          <cell r="H95">
            <v>0.43997533232211222</v>
          </cell>
          <cell r="I95">
            <v>0.5436330581548382</v>
          </cell>
          <cell r="J95">
            <v>0.56926083347566081</v>
          </cell>
          <cell r="K95">
            <v>0.59609674516354649</v>
          </cell>
          <cell r="L95">
            <v>0.62419774679574302</v>
          </cell>
          <cell r="M95">
            <v>0.65362347683677535</v>
          </cell>
          <cell r="N95">
            <v>0.684436385208541</v>
          </cell>
          <cell r="O95">
            <v>0.71670186582713258</v>
          </cell>
          <cell r="P95">
            <v>0</v>
          </cell>
          <cell r="Q95">
            <v>0</v>
          </cell>
          <cell r="R95">
            <v>0</v>
          </cell>
          <cell r="S95">
            <v>0</v>
          </cell>
          <cell r="T95">
            <v>0</v>
          </cell>
          <cell r="U95">
            <v>0</v>
          </cell>
          <cell r="V95">
            <v>0</v>
          </cell>
          <cell r="W95">
            <v>0</v>
          </cell>
          <cell r="X95">
            <v>0</v>
          </cell>
          <cell r="Y95">
            <v>0</v>
          </cell>
          <cell r="Z95">
            <v>4.7141679366973666E-2</v>
          </cell>
          <cell r="AA95" t="str">
            <v>Focus</v>
          </cell>
          <cell r="AB95">
            <v>0.65662394620229181</v>
          </cell>
          <cell r="AC95">
            <v>0.86546812340063051</v>
          </cell>
          <cell r="AD95">
            <v>1.0092399998508763</v>
          </cell>
          <cell r="AE95">
            <v>1.0214843585010505</v>
          </cell>
          <cell r="AF95">
            <v>1.0028449106378048</v>
          </cell>
          <cell r="AG95">
            <v>0.99765610353106782</v>
          </cell>
          <cell r="AH95">
            <v>1.0090926250621541</v>
          </cell>
          <cell r="AI95">
            <v>1.0187506460725682</v>
          </cell>
          <cell r="AJ95">
            <v>1.0358308433250647</v>
          </cell>
          <cell r="AK95">
            <v>0</v>
          </cell>
          <cell r="AL95">
            <v>0.31805750979114955</v>
          </cell>
          <cell r="AM95">
            <v>0.16612036025698074</v>
          </cell>
          <cell r="AN95">
            <v>1.2132256600990265E-2</v>
          </cell>
          <cell r="AO95">
            <v>-1.8247413881694263E-2</v>
          </cell>
          <cell r="AP95">
            <v>-5.1740872907625191E-3</v>
          </cell>
          <cell r="AQ95">
            <v>1.1463390531675444E-2</v>
          </cell>
          <cell r="AR95">
            <v>9.5709955365288479E-3</v>
          </cell>
          <cell r="AS95">
            <v>1.676582716128161E-2</v>
          </cell>
          <cell r="AT95">
            <v>0.2397635654257122</v>
          </cell>
          <cell r="AU95">
            <v>2.7932998098989525E-3</v>
          </cell>
        </row>
        <row r="96">
          <cell r="B96" t="str">
            <v>GM plCVOOff Road (Mining)</v>
          </cell>
          <cell r="C96" t="str">
            <v>GM pl</v>
          </cell>
          <cell r="D96" t="str">
            <v>CVO</v>
          </cell>
          <cell r="E96" t="str">
            <v>Off-road (inc Agri, Other)</v>
          </cell>
          <cell r="F96" t="str">
            <v>Off Road (Mining)</v>
          </cell>
          <cell r="G96">
            <v>0.37341715038919238</v>
          </cell>
          <cell r="H96">
            <v>0.44879258369441943</v>
          </cell>
          <cell r="I96">
            <v>0.53731723659652753</v>
          </cell>
          <cell r="J96">
            <v>0.55352335406443764</v>
          </cell>
          <cell r="K96">
            <v>0.57021826702502043</v>
          </cell>
          <cell r="L96">
            <v>0.58741671812309071</v>
          </cell>
          <cell r="M96">
            <v>0.60513389465890588</v>
          </cell>
          <cell r="N96">
            <v>0.6233854419994953</v>
          </cell>
          <cell r="O96">
            <v>0.642187477394491</v>
          </cell>
          <cell r="P96">
            <v>0</v>
          </cell>
          <cell r="Q96">
            <v>0</v>
          </cell>
          <cell r="R96">
            <v>0</v>
          </cell>
          <cell r="S96">
            <v>0</v>
          </cell>
          <cell r="T96">
            <v>0</v>
          </cell>
          <cell r="U96">
            <v>0</v>
          </cell>
          <cell r="V96">
            <v>0</v>
          </cell>
          <cell r="W96">
            <v>0</v>
          </cell>
          <cell r="X96">
            <v>0</v>
          </cell>
          <cell r="Y96">
            <v>0</v>
          </cell>
          <cell r="Z96">
            <v>3.0161171769889528E-2</v>
          </cell>
          <cell r="AA96" t="str">
            <v>Non focus</v>
          </cell>
          <cell r="AB96">
            <v>0.65662394620229181</v>
          </cell>
          <cell r="AC96">
            <v>0.86537778522452602</v>
          </cell>
          <cell r="AD96">
            <v>1.0092399998508763</v>
          </cell>
          <cell r="AE96">
            <v>1.0214843585010502</v>
          </cell>
          <cell r="AF96">
            <v>1.0028449106378048</v>
          </cell>
          <cell r="AG96">
            <v>0.99765610353106782</v>
          </cell>
          <cell r="AH96">
            <v>1.0090926250621544</v>
          </cell>
          <cell r="AI96">
            <v>1.0187506460725679</v>
          </cell>
          <cell r="AJ96">
            <v>1.0358308433250649</v>
          </cell>
          <cell r="AK96">
            <v>0</v>
          </cell>
          <cell r="AL96">
            <v>0.31791993001412955</v>
          </cell>
          <cell r="AM96">
            <v>0.16624209343324492</v>
          </cell>
          <cell r="AN96">
            <v>1.2132256600990043E-2</v>
          </cell>
          <cell r="AO96">
            <v>-1.8247413881694041E-2</v>
          </cell>
          <cell r="AP96">
            <v>-5.1740872907625191E-3</v>
          </cell>
          <cell r="AQ96">
            <v>1.1463390531675666E-2</v>
          </cell>
          <cell r="AR96">
            <v>9.5709955365284038E-3</v>
          </cell>
          <cell r="AS96">
            <v>1.6765827161281832E-2</v>
          </cell>
          <cell r="AT96">
            <v>0.2397635654257122</v>
          </cell>
          <cell r="AU96">
            <v>2.7932998098991746E-3</v>
          </cell>
        </row>
        <row r="97">
          <cell r="B97" t="str">
            <v>GM plCVOOff Road (Construction)</v>
          </cell>
          <cell r="C97" t="str">
            <v>GM pl</v>
          </cell>
          <cell r="D97" t="str">
            <v>CVO</v>
          </cell>
          <cell r="E97" t="str">
            <v>Off-road (inc Agri, Other)</v>
          </cell>
          <cell r="F97" t="str">
            <v>Off Road (Construction)</v>
          </cell>
          <cell r="G97">
            <v>0.38548852855990301</v>
          </cell>
          <cell r="H97">
            <v>0.47762636042249323</v>
          </cell>
          <cell r="I97">
            <v>0.57076086273385418</v>
          </cell>
          <cell r="J97">
            <v>0.59127135522192042</v>
          </cell>
          <cell r="K97">
            <v>0.61251889947644456</v>
          </cell>
          <cell r="L97">
            <v>0.63452998171206798</v>
          </cell>
          <cell r="M97">
            <v>0.65733203993487721</v>
          </cell>
          <cell r="N97">
            <v>0.68095349814536477</v>
          </cell>
          <cell r="O97">
            <v>0.70542380177048469</v>
          </cell>
          <cell r="P97">
            <v>0</v>
          </cell>
          <cell r="Q97">
            <v>0</v>
          </cell>
          <cell r="R97">
            <v>0</v>
          </cell>
          <cell r="S97">
            <v>0</v>
          </cell>
          <cell r="T97">
            <v>0</v>
          </cell>
          <cell r="U97">
            <v>0</v>
          </cell>
          <cell r="V97">
            <v>0</v>
          </cell>
          <cell r="W97">
            <v>0</v>
          </cell>
          <cell r="X97">
            <v>0</v>
          </cell>
          <cell r="Y97">
            <v>0</v>
          </cell>
          <cell r="Z97">
            <v>3.5935351961282391E-2</v>
          </cell>
          <cell r="AA97" t="str">
            <v>Non focus</v>
          </cell>
          <cell r="AB97">
            <v>0.65662394620229181</v>
          </cell>
          <cell r="AC97">
            <v>0.86598933820288149</v>
          </cell>
          <cell r="AD97">
            <v>1.0092399998508765</v>
          </cell>
          <cell r="AE97">
            <v>1.0214843585010505</v>
          </cell>
          <cell r="AF97">
            <v>1.002844910637805</v>
          </cell>
          <cell r="AG97">
            <v>0.99765610353106804</v>
          </cell>
          <cell r="AH97">
            <v>1.0090926250621544</v>
          </cell>
          <cell r="AI97">
            <v>1.0187506460725682</v>
          </cell>
          <cell r="AJ97">
            <v>1.0358308433250649</v>
          </cell>
          <cell r="AK97">
            <v>0</v>
          </cell>
          <cell r="AL97">
            <v>0.31885128955697373</v>
          </cell>
          <cell r="AM97">
            <v>0.16541850497290378</v>
          </cell>
          <cell r="AN97">
            <v>1.2132256600990043E-2</v>
          </cell>
          <cell r="AO97">
            <v>-1.8247413881694041E-2</v>
          </cell>
          <cell r="AP97">
            <v>-5.1740872907625191E-3</v>
          </cell>
          <cell r="AQ97">
            <v>1.1463390531675444E-2</v>
          </cell>
          <cell r="AR97">
            <v>9.5709955365286259E-3</v>
          </cell>
          <cell r="AS97">
            <v>1.6765827161281832E-2</v>
          </cell>
          <cell r="AT97">
            <v>0.23976356542571242</v>
          </cell>
          <cell r="AU97">
            <v>2.7932998098989525E-3</v>
          </cell>
        </row>
        <row r="98">
          <cell r="B98" t="str">
            <v>GM plMCOWholesalers</v>
          </cell>
          <cell r="C98" t="str">
            <v>GM pl</v>
          </cell>
          <cell r="D98" t="str">
            <v>MCO</v>
          </cell>
          <cell r="E98" t="str">
            <v>Retail</v>
          </cell>
          <cell r="F98" t="str">
            <v>Wholesalers</v>
          </cell>
          <cell r="G98">
            <v>0.55214548885290105</v>
          </cell>
          <cell r="H98">
            <v>0.66423861686687313</v>
          </cell>
          <cell r="I98">
            <v>0.78213992342075267</v>
          </cell>
          <cell r="J98">
            <v>0.68715440532329874</v>
          </cell>
          <cell r="K98">
            <v>0.71296890303646387</v>
          </cell>
          <cell r="L98">
            <v>0.73960900275066876</v>
          </cell>
          <cell r="M98">
            <v>0.76710110895658734</v>
          </cell>
          <cell r="N98">
            <v>0.79547247061611226</v>
          </cell>
          <cell r="O98">
            <v>0.82475120817032255</v>
          </cell>
          <cell r="P98">
            <v>0</v>
          </cell>
          <cell r="Q98">
            <v>0</v>
          </cell>
          <cell r="R98">
            <v>0</v>
          </cell>
          <cell r="S98">
            <v>0</v>
          </cell>
          <cell r="T98">
            <v>6.3876034639929413E-2</v>
          </cell>
          <cell r="U98">
            <v>7.1506440020824735E-2</v>
          </cell>
          <cell r="V98">
            <v>5.5546418322685254E-2</v>
          </cell>
          <cell r="W98">
            <v>6.5888826501884212E-2</v>
          </cell>
          <cell r="X98">
            <v>6.5792939664109484E-2</v>
          </cell>
          <cell r="Y98">
            <v>0</v>
          </cell>
          <cell r="Z98">
            <v>3.7179024211512202E-2</v>
          </cell>
          <cell r="AA98" t="str">
            <v>Non focus</v>
          </cell>
          <cell r="AB98">
            <v>1.04636481612176</v>
          </cell>
          <cell r="AC98">
            <v>1.162317070155829</v>
          </cell>
          <cell r="AD98">
            <v>1.3977966279727565</v>
          </cell>
          <cell r="AE98">
            <v>1.2850768189028421</v>
          </cell>
          <cell r="AF98">
            <v>1.3767444281086103</v>
          </cell>
          <cell r="AG98">
            <v>1.297691875534569</v>
          </cell>
          <cell r="AH98">
            <v>1.3104361781199865</v>
          </cell>
          <cell r="AI98">
            <v>1.2965537986997429</v>
          </cell>
          <cell r="AJ98">
            <v>1.1839761768341612</v>
          </cell>
          <cell r="AK98">
            <v>0</v>
          </cell>
          <cell r="AL98">
            <v>0.11081436631617025</v>
          </cell>
          <cell r="AM98">
            <v>0.20259494062610428</v>
          </cell>
          <cell r="AN98">
            <v>-8.064106524093817E-2</v>
          </cell>
          <cell r="AO98">
            <v>7.1332396520879637E-2</v>
          </cell>
          <cell r="AP98">
            <v>-5.7419918294236205E-2</v>
          </cell>
          <cell r="AQ98">
            <v>9.8207462231105769E-3</v>
          </cell>
          <cell r="AR98">
            <v>-1.0593708913134492E-2</v>
          </cell>
          <cell r="AS98">
            <v>-8.6828346018870017E-2</v>
          </cell>
          <cell r="AT98">
            <v>0.15579398549508761</v>
          </cell>
          <cell r="AU98">
            <v>-1.625446350224069E-2</v>
          </cell>
        </row>
        <row r="99">
          <cell r="B99" t="str">
            <v>GM plMCOSpare-parts</v>
          </cell>
          <cell r="C99" t="str">
            <v>GM pl</v>
          </cell>
          <cell r="D99" t="str">
            <v>MCO</v>
          </cell>
          <cell r="E99" t="str">
            <v>Retail</v>
          </cell>
          <cell r="F99" t="str">
            <v>Spare-parts</v>
          </cell>
          <cell r="G99">
            <v>0.61752947388955992</v>
          </cell>
          <cell r="H99">
            <v>0.67915992746502774</v>
          </cell>
          <cell r="I99">
            <v>0.73234385978261585</v>
          </cell>
          <cell r="J99">
            <v>0.68993056511909612</v>
          </cell>
          <cell r="K99">
            <v>0.70793960239768339</v>
          </cell>
          <cell r="L99">
            <v>0.72638111361290769</v>
          </cell>
          <cell r="M99">
            <v>0.74526548431192419</v>
          </cell>
          <cell r="N99">
            <v>0.76460334944325137</v>
          </cell>
          <cell r="O99">
            <v>0.7844055993459651</v>
          </cell>
          <cell r="P99">
            <v>0</v>
          </cell>
          <cell r="Q99">
            <v>0</v>
          </cell>
          <cell r="R99">
            <v>0</v>
          </cell>
          <cell r="S99">
            <v>0</v>
          </cell>
          <cell r="T99">
            <v>6.3876034639929413E-2</v>
          </cell>
          <cell r="U99">
            <v>7.1506440020824735E-2</v>
          </cell>
          <cell r="V99">
            <v>5.5546418322685254E-2</v>
          </cell>
          <cell r="W99">
            <v>6.5888826501884212E-2</v>
          </cell>
          <cell r="X99">
            <v>6.5792939664109484E-2</v>
          </cell>
          <cell r="Y99">
            <v>0</v>
          </cell>
          <cell r="Z99">
            <v>2.5999289324755148E-2</v>
          </cell>
          <cell r="AA99" t="str">
            <v>Non focus</v>
          </cell>
          <cell r="AB99">
            <v>1.0477948169375286</v>
          </cell>
          <cell r="AC99">
            <v>1.1587034800540565</v>
          </cell>
          <cell r="AD99">
            <v>1.3868955303630293</v>
          </cell>
          <cell r="AE99">
            <v>1.6245247752883787</v>
          </cell>
          <cell r="AF99">
            <v>1.2580867453478717</v>
          </cell>
          <cell r="AG99">
            <v>1.3323640735447608</v>
          </cell>
          <cell r="AH99">
            <v>1.3145241195980502</v>
          </cell>
          <cell r="AI99">
            <v>1.6872653742933768</v>
          </cell>
          <cell r="AJ99">
            <v>1.6038644701637157</v>
          </cell>
          <cell r="AK99">
            <v>0</v>
          </cell>
          <cell r="AL99">
            <v>0.10584960082231487</v>
          </cell>
          <cell r="AM99">
            <v>0.19693739963422474</v>
          </cell>
          <cell r="AN99">
            <v>0.17133896513686819</v>
          </cell>
          <cell r="AO99">
            <v>-0.22556629207175893</v>
          </cell>
          <cell r="AP99">
            <v>5.9039909983592542E-2</v>
          </cell>
          <cell r="AQ99">
            <v>-1.3389699032673064E-2</v>
          </cell>
          <cell r="AR99">
            <v>0.28355604065241646</v>
          </cell>
          <cell r="AS99">
            <v>-4.9429630572836891E-2</v>
          </cell>
          <cell r="AT99">
            <v>0.15049239267141923</v>
          </cell>
          <cell r="AU99">
            <v>-2.5565895582546627E-3</v>
          </cell>
        </row>
        <row r="100">
          <cell r="B100" t="str">
            <v>GM plMCORetail Others</v>
          </cell>
          <cell r="C100" t="str">
            <v>GM pl</v>
          </cell>
          <cell r="D100" t="str">
            <v>MCO</v>
          </cell>
          <cell r="E100" t="str">
            <v>Retail</v>
          </cell>
          <cell r="F100" t="str">
            <v>Retail Others</v>
          </cell>
          <cell r="G100">
            <v>0.52517686105627337</v>
          </cell>
          <cell r="H100">
            <v>0.63756810289932087</v>
          </cell>
          <cell r="I100">
            <v>0.74017464179325687</v>
          </cell>
          <cell r="J100">
            <v>0.76686734346094632</v>
          </cell>
          <cell r="K100">
            <v>0.79452265622349039</v>
          </cell>
          <cell r="L100">
            <v>0.82317529444331961</v>
          </cell>
          <cell r="M100">
            <v>0.85286122437676526</v>
          </cell>
          <cell r="N100">
            <v>0.88361770932074424</v>
          </cell>
          <cell r="O100">
            <v>0.91548335638755296</v>
          </cell>
          <cell r="P100">
            <v>0</v>
          </cell>
          <cell r="Q100">
            <v>0</v>
          </cell>
          <cell r="R100">
            <v>0</v>
          </cell>
          <cell r="S100">
            <v>0</v>
          </cell>
          <cell r="T100">
            <v>6.3876034639929413E-2</v>
          </cell>
          <cell r="U100">
            <v>7.1506440020824735E-2</v>
          </cell>
          <cell r="V100">
            <v>5.5546418322685254E-2</v>
          </cell>
          <cell r="W100">
            <v>6.5888826501884212E-2</v>
          </cell>
          <cell r="X100">
            <v>6.5792939664109484E-2</v>
          </cell>
          <cell r="Y100">
            <v>0</v>
          </cell>
          <cell r="Z100">
            <v>3.6062707583469411E-2</v>
          </cell>
          <cell r="AA100" t="str">
            <v>Non focus</v>
          </cell>
          <cell r="AB100">
            <v>1.0201695228045369</v>
          </cell>
          <cell r="AC100">
            <v>1.1501471148047404</v>
          </cell>
          <cell r="AD100">
            <v>1.40489561635486</v>
          </cell>
          <cell r="AE100">
            <v>1.44045011007921</v>
          </cell>
          <cell r="AF100">
            <v>1.5362092102736205</v>
          </cell>
          <cell r="AG100">
            <v>1.6356270061583875</v>
          </cell>
          <cell r="AH100">
            <v>1.6803858637466758</v>
          </cell>
          <cell r="AI100">
            <v>1.4113333795729324</v>
          </cell>
          <cell r="AJ100">
            <v>2.1087555502665287</v>
          </cell>
          <cell r="AK100">
            <v>0</v>
          </cell>
          <cell r="AL100">
            <v>0.12740783673176548</v>
          </cell>
          <cell r="AM100">
            <v>0.22149210155030308</v>
          </cell>
          <cell r="AN100">
            <v>2.530756969446557E-2</v>
          </cell>
          <cell r="AO100">
            <v>6.6478595492033277E-2</v>
          </cell>
          <cell r="AP100">
            <v>6.4716312869299353E-2</v>
          </cell>
          <cell r="AQ100">
            <v>2.7364953879927434E-2</v>
          </cell>
          <cell r="AR100">
            <v>-0.16011351319859946</v>
          </cell>
          <cell r="AS100">
            <v>0.4941583475511897</v>
          </cell>
          <cell r="AT100">
            <v>0.17350746388498317</v>
          </cell>
          <cell r="AU100">
            <v>7.9209111971179746E-2</v>
          </cell>
        </row>
        <row r="101">
          <cell r="B101" t="str">
            <v>GM plMCOBranded W/S</v>
          </cell>
          <cell r="C101" t="str">
            <v>GM pl</v>
          </cell>
          <cell r="D101" t="str">
            <v>MCO</v>
          </cell>
          <cell r="E101" t="str">
            <v>Other WS</v>
          </cell>
          <cell r="F101" t="str">
            <v>Branded W/S</v>
          </cell>
          <cell r="G101">
            <v>0.95851503302787588</v>
          </cell>
          <cell r="H101">
            <v>1.2866655869985562</v>
          </cell>
          <cell r="I101">
            <v>1.3029614578393778</v>
          </cell>
          <cell r="J101">
            <v>1.3940045650335171</v>
          </cell>
          <cell r="K101">
            <v>1.4257872754587948</v>
          </cell>
          <cell r="L101">
            <v>1.4583272101908362</v>
          </cell>
          <cell r="M101">
            <v>1.4916424101280756</v>
          </cell>
          <cell r="N101">
            <v>1.5257513459940513</v>
          </cell>
          <cell r="O101">
            <v>1.5606729285780054</v>
          </cell>
          <cell r="P101">
            <v>0</v>
          </cell>
          <cell r="Q101">
            <v>0</v>
          </cell>
          <cell r="R101">
            <v>0</v>
          </cell>
          <cell r="S101">
            <v>0.01</v>
          </cell>
          <cell r="T101">
            <v>0.03</v>
          </cell>
          <cell r="U101">
            <v>0.04</v>
          </cell>
          <cell r="V101">
            <v>0.04</v>
          </cell>
          <cell r="W101">
            <v>0.05</v>
          </cell>
          <cell r="X101">
            <v>0.06</v>
          </cell>
          <cell r="Y101">
            <v>0</v>
          </cell>
          <cell r="Z101">
            <v>2.28443257256008E-2</v>
          </cell>
          <cell r="AA101" t="str">
            <v>Focus</v>
          </cell>
          <cell r="AB101">
            <v>1.1197465556272737</v>
          </cell>
          <cell r="AC101">
            <v>1.2816727813722026</v>
          </cell>
          <cell r="AD101">
            <v>1.5599605574805049</v>
          </cell>
          <cell r="AE101">
            <v>1.6921549366736421</v>
          </cell>
          <cell r="AF101">
            <v>1.8208379333636102</v>
          </cell>
          <cell r="AG101">
            <v>1.8841362543860563</v>
          </cell>
          <cell r="AH101">
            <v>1.9494359131901353</v>
          </cell>
          <cell r="AI101">
            <v>1.9965024310958221</v>
          </cell>
          <cell r="AJ101">
            <v>2.0259450372997283</v>
          </cell>
          <cell r="AK101">
            <v>0</v>
          </cell>
          <cell r="AL101">
            <v>0.14460971094858088</v>
          </cell>
          <cell r="AM101">
            <v>0.2171285683467179</v>
          </cell>
          <cell r="AN101">
            <v>8.4742129253988718E-2</v>
          </cell>
          <cell r="AO101">
            <v>7.6046816932098915E-2</v>
          </cell>
          <cell r="AP101">
            <v>3.4763292142928837E-2</v>
          </cell>
          <cell r="AQ101">
            <v>3.465760963522091E-2</v>
          </cell>
          <cell r="AR101">
            <v>2.4143660013252299E-2</v>
          </cell>
          <cell r="AS101">
            <v>1.474709258818474E-2</v>
          </cell>
          <cell r="AT101">
            <v>0.18031232256661478</v>
          </cell>
          <cell r="AU101">
            <v>3.6662781669447142E-2</v>
          </cell>
        </row>
        <row r="102">
          <cell r="B102" t="str">
            <v>GM plMCOIWS</v>
          </cell>
          <cell r="C102" t="str">
            <v>GM pl</v>
          </cell>
          <cell r="D102" t="str">
            <v>MCO</v>
          </cell>
          <cell r="E102" t="str">
            <v>Other WS</v>
          </cell>
          <cell r="F102" t="str">
            <v>IWS</v>
          </cell>
          <cell r="G102">
            <v>0.71103698486468048</v>
          </cell>
          <cell r="H102">
            <v>0.84202524014915969</v>
          </cell>
          <cell r="I102">
            <v>0.95469759679808019</v>
          </cell>
          <cell r="J102">
            <v>1.0833244366774049</v>
          </cell>
          <cell r="K102">
            <v>1.1219575018410222</v>
          </cell>
          <cell r="L102">
            <v>1.1624469299259381</v>
          </cell>
          <cell r="M102">
            <v>1.2049069795913618</v>
          </cell>
          <cell r="N102">
            <v>1.2494602422505936</v>
          </cell>
          <cell r="O102">
            <v>1.296238302635736</v>
          </cell>
          <cell r="P102">
            <v>0</v>
          </cell>
          <cell r="Q102">
            <v>0</v>
          </cell>
          <cell r="R102">
            <v>0</v>
          </cell>
          <cell r="S102">
            <v>0.01</v>
          </cell>
          <cell r="T102">
            <v>0.03</v>
          </cell>
          <cell r="U102">
            <v>0.04</v>
          </cell>
          <cell r="V102">
            <v>0.04</v>
          </cell>
          <cell r="W102">
            <v>0.05</v>
          </cell>
          <cell r="X102">
            <v>0.06</v>
          </cell>
          <cell r="Y102">
            <v>0</v>
          </cell>
          <cell r="Z102">
            <v>3.6538081026907809E-2</v>
          </cell>
          <cell r="AA102" t="str">
            <v>Focus</v>
          </cell>
          <cell r="AB102">
            <v>1.047981393652176</v>
          </cell>
          <cell r="AC102">
            <v>1.169352421959891</v>
          </cell>
          <cell r="AD102">
            <v>1.3652280496065021</v>
          </cell>
          <cell r="AE102">
            <v>1.5826412634196387</v>
          </cell>
          <cell r="AF102">
            <v>1.6825552945271856</v>
          </cell>
          <cell r="AG102">
            <v>1.7998118483407288</v>
          </cell>
          <cell r="AH102">
            <v>1.8872988216375783</v>
          </cell>
          <cell r="AI102">
            <v>1.9544105534170426</v>
          </cell>
          <cell r="AJ102">
            <v>1.9995269349225029</v>
          </cell>
          <cell r="AK102">
            <v>0</v>
          </cell>
          <cell r="AL102">
            <v>0.11581410609280129</v>
          </cell>
          <cell r="AM102">
            <v>0.16750777949244267</v>
          </cell>
          <cell r="AN102">
            <v>0.15925047384999247</v>
          </cell>
          <cell r="AO102">
            <v>6.3131193035913302E-2</v>
          </cell>
          <cell r="AP102">
            <v>6.9689569308623245E-2</v>
          </cell>
          <cell r="AQ102">
            <v>4.8608955084668892E-2</v>
          </cell>
          <cell r="AR102">
            <v>3.5559674498833571E-2</v>
          </cell>
          <cell r="AS102">
            <v>2.3084393105931467E-2</v>
          </cell>
          <cell r="AT102">
            <v>0.14136832325535975</v>
          </cell>
          <cell r="AU102">
            <v>4.7873734823177028E-2</v>
          </cell>
        </row>
        <row r="103">
          <cell r="B103" t="str">
            <v>GM plMCOBikes wash (light servicing)</v>
          </cell>
          <cell r="C103" t="str">
            <v>GM pl</v>
          </cell>
          <cell r="D103" t="str">
            <v>MCO</v>
          </cell>
          <cell r="E103" t="str">
            <v>Other WS</v>
          </cell>
          <cell r="F103" t="str">
            <v>Bikes wash (light servicing)</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B104" t="str">
            <v>GM plMCOOEM Auth</v>
          </cell>
          <cell r="C104" t="str">
            <v>GM pl</v>
          </cell>
          <cell r="D104" t="str">
            <v>MCO</v>
          </cell>
          <cell r="E104" t="str">
            <v>OEM Auth W/S</v>
          </cell>
          <cell r="F104" t="str">
            <v>OEM Auth</v>
          </cell>
          <cell r="G104">
            <v>0.31177041460046306</v>
          </cell>
          <cell r="H104">
            <v>0.32932743758104799</v>
          </cell>
          <cell r="I104">
            <v>0.34535296631478613</v>
          </cell>
          <cell r="J104">
            <v>0.33000874392563168</v>
          </cell>
          <cell r="K104">
            <v>0.31534627378328789</v>
          </cell>
          <cell r="L104">
            <v>0.30133526526016585</v>
          </cell>
          <cell r="M104">
            <v>0.28794677355793358</v>
          </cell>
          <cell r="N104">
            <v>0.27515313991158125</v>
          </cell>
          <cell r="O104">
            <v>0.26292793445025309</v>
          </cell>
          <cell r="P104">
            <v>0</v>
          </cell>
          <cell r="Q104">
            <v>0</v>
          </cell>
          <cell r="R104">
            <v>0</v>
          </cell>
          <cell r="S104">
            <v>0</v>
          </cell>
          <cell r="T104">
            <v>0</v>
          </cell>
          <cell r="U104">
            <v>0</v>
          </cell>
          <cell r="V104">
            <v>0</v>
          </cell>
          <cell r="W104">
            <v>0</v>
          </cell>
          <cell r="X104">
            <v>0</v>
          </cell>
          <cell r="Y104">
            <v>0</v>
          </cell>
          <cell r="Z104">
            <v>-4.443055043913624E-2</v>
          </cell>
          <cell r="AA104" t="str">
            <v>Non focus</v>
          </cell>
          <cell r="AB104">
            <v>0.18495727499703365</v>
          </cell>
          <cell r="AC104">
            <v>0.3766969229605453</v>
          </cell>
          <cell r="AD104">
            <v>0.50673357731734714</v>
          </cell>
          <cell r="AE104">
            <v>0.48681166673698756</v>
          </cell>
          <cell r="AF104">
            <v>0.48258976033182865</v>
          </cell>
          <cell r="AG104">
            <v>0</v>
          </cell>
          <cell r="AH104">
            <v>0</v>
          </cell>
          <cell r="AI104">
            <v>0</v>
          </cell>
          <cell r="AJ104">
            <v>0</v>
          </cell>
          <cell r="AK104">
            <v>0</v>
          </cell>
          <cell r="AL104">
            <v>1.0366699442700309</v>
          </cell>
          <cell r="AM104">
            <v>0.3452023269391602</v>
          </cell>
          <cell r="AN104">
            <v>-3.9314368481019879E-2</v>
          </cell>
          <cell r="AO104">
            <v>-8.6725661968161116E-3</v>
          </cell>
          <cell r="AP104">
            <v>-1</v>
          </cell>
          <cell r="AQ104">
            <v>0</v>
          </cell>
          <cell r="AR104">
            <v>0</v>
          </cell>
          <cell r="AS104">
            <v>0</v>
          </cell>
          <cell r="AT104">
            <v>0.65521392823981972</v>
          </cell>
          <cell r="AU104">
            <v>-1</v>
          </cell>
        </row>
        <row r="105">
          <cell r="B105" t="str">
            <v>GM plMCOOEM FF</v>
          </cell>
          <cell r="C105" t="str">
            <v>GM pl</v>
          </cell>
          <cell r="D105" t="str">
            <v>MCO</v>
          </cell>
          <cell r="E105" t="str">
            <v>OEM FF</v>
          </cell>
          <cell r="F105" t="str">
            <v>OEM FF</v>
          </cell>
          <cell r="G105">
            <v>0.31177041460046306</v>
          </cell>
          <cell r="H105">
            <v>0.32932743758104799</v>
          </cell>
          <cell r="I105">
            <v>0.34535296631478613</v>
          </cell>
          <cell r="J105">
            <v>0.33000874392563173</v>
          </cell>
          <cell r="K105">
            <v>0.31534627378328789</v>
          </cell>
          <cell r="L105">
            <v>0.30133526526016585</v>
          </cell>
          <cell r="M105">
            <v>0.28794677355793358</v>
          </cell>
          <cell r="N105">
            <v>0.27515313991158125</v>
          </cell>
          <cell r="O105">
            <v>0.26292793445025314</v>
          </cell>
          <cell r="P105">
            <v>0</v>
          </cell>
          <cell r="Q105">
            <v>0</v>
          </cell>
          <cell r="R105">
            <v>0</v>
          </cell>
          <cell r="S105">
            <v>0</v>
          </cell>
          <cell r="T105">
            <v>0</v>
          </cell>
          <cell r="U105">
            <v>0</v>
          </cell>
          <cell r="V105">
            <v>0</v>
          </cell>
          <cell r="W105">
            <v>0</v>
          </cell>
          <cell r="X105">
            <v>0</v>
          </cell>
          <cell r="Y105">
            <v>0</v>
          </cell>
          <cell r="Z105">
            <v>-4.443055043913624E-2</v>
          </cell>
          <cell r="AA105" t="str">
            <v>Non focus</v>
          </cell>
          <cell r="AB105">
            <v>0.18495727499703365</v>
          </cell>
          <cell r="AC105">
            <v>0.36266850477688656</v>
          </cell>
          <cell r="AD105">
            <v>0.50673357731734725</v>
          </cell>
          <cell r="AE105">
            <v>0.48681166673698767</v>
          </cell>
          <cell r="AF105">
            <v>0.48258976033182882</v>
          </cell>
          <cell r="AG105">
            <v>0</v>
          </cell>
          <cell r="AH105">
            <v>0</v>
          </cell>
          <cell r="AI105">
            <v>0</v>
          </cell>
          <cell r="AJ105">
            <v>0</v>
          </cell>
          <cell r="AK105">
            <v>0</v>
          </cell>
          <cell r="AL105">
            <v>0.96082314027768323</v>
          </cell>
          <cell r="AM105">
            <v>0.39723623817041798</v>
          </cell>
          <cell r="AN105">
            <v>-3.9314368481019879E-2</v>
          </cell>
          <cell r="AO105">
            <v>-8.6725661968160006E-3</v>
          </cell>
          <cell r="AP105">
            <v>-1</v>
          </cell>
          <cell r="AQ105">
            <v>0</v>
          </cell>
          <cell r="AR105">
            <v>0</v>
          </cell>
          <cell r="AS105">
            <v>0</v>
          </cell>
          <cell r="AT105">
            <v>0.65521392823981994</v>
          </cell>
          <cell r="AU105">
            <v>-1</v>
          </cell>
        </row>
      </sheetData>
      <sheetData sheetId="11"/>
      <sheetData sheetId="12">
        <row r="13">
          <cell r="G13">
            <v>5.4664969999999995</v>
          </cell>
        </row>
      </sheetData>
      <sheetData sheetId="13"/>
      <sheetData sheetId="14">
        <row r="5">
          <cell r="E5">
            <v>71.076427269999982</v>
          </cell>
        </row>
      </sheetData>
      <sheetData sheetId="15">
        <row r="33">
          <cell r="E33">
            <v>3042.9540660000002</v>
          </cell>
        </row>
      </sheetData>
      <sheetData sheetId="16">
        <row r="1">
          <cell r="B1">
            <v>21.094000000000001</v>
          </cell>
        </row>
      </sheetData>
      <sheetData sheetId="17">
        <row r="4">
          <cell r="C4">
            <v>-34377.291135809683</v>
          </cell>
        </row>
      </sheetData>
      <sheetData sheetId="18">
        <row r="4">
          <cell r="C4">
            <v>-34377.291135809683</v>
          </cell>
        </row>
      </sheetData>
      <sheetData sheetId="19">
        <row r="4">
          <cell r="C4">
            <v>0</v>
          </cell>
        </row>
      </sheetData>
      <sheetData sheetId="20">
        <row r="3">
          <cell r="W3">
            <v>1894.1908592251166</v>
          </cell>
        </row>
      </sheetData>
      <sheetData sheetId="21"/>
      <sheetData sheetId="22"/>
      <sheetData sheetId="23">
        <row r="3">
          <cell r="W3">
            <v>5027.091683274537</v>
          </cell>
        </row>
      </sheetData>
      <sheetData sheetId="24"/>
      <sheetData sheetId="2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Authorization"/>
      <sheetName val="Cover(fixed rate)"/>
      <sheetName val="facesheet(fixed rate)"/>
      <sheetName val="Capital (fixed rate)"/>
      <sheetName val="Non-cap (fixed rate)"/>
      <sheetName val="Equip (fixed rate)"/>
      <sheetName val="Contracts(fixed rate)"/>
      <sheetName val="DCR LOG(fixed rate) "/>
      <sheetName val="FCR LOG(fixed rate)"/>
      <sheetName val="Change Order(fixed rate)"/>
      <sheetName val="PCO - Cap &amp; Noncap(fixed rate)"/>
      <sheetName val="Sheet1"/>
      <sheetName val="Cover(variable rate)"/>
      <sheetName val="facesheet(variable rate)"/>
      <sheetName val="EXCH. RATE"/>
      <sheetName val="Currency Impact(now)"/>
      <sheetName val="Capital(variable rate)"/>
      <sheetName val="Non-cap(variable rate)"/>
      <sheetName val="Contracts(variable rate)"/>
      <sheetName val="Engineering (CAC)"/>
      <sheetName val="Eng'rd Equip(variable rate)"/>
      <sheetName val="DCR LOG(variable rate) "/>
      <sheetName val="FCR LOG(variable rate)"/>
      <sheetName val="Change Order(variable rate)"/>
      <sheetName val="PCO-Cap &amp; Noncap(variable rate)"/>
      <sheetName val="ISBL Summary - 25MW"/>
      <sheetName val="DPA Fcst 25MW"/>
      <sheetName val="Engineering"/>
      <sheetName val="Equip(old)"/>
      <sheetName val="Capital(variable RMB temp)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Definitions"/>
      <sheetName val="Worksheet"/>
      <sheetName val="Summary Facesheet"/>
      <sheetName val="Proj Notes"/>
      <sheetName val="Remarks"/>
      <sheetName val="Capital"/>
      <sheetName val="Non-cap."/>
      <sheetName val="DPMD"/>
      <sheetName val="Contract Status Report"/>
      <sheetName val="EE Status Report"/>
      <sheetName val="Resource"/>
      <sheetName val="CO Log"/>
      <sheetName val="finance"/>
      <sheetName val="Fcst Ex."/>
      <sheetName val="Sheet1"/>
    </sheetNames>
    <sheetDataSet>
      <sheetData sheetId="0"/>
      <sheetData sheetId="1"/>
      <sheetData sheetId="2"/>
      <sheetData sheetId="3"/>
      <sheetData sheetId="4"/>
      <sheetData sheetId="5"/>
      <sheetData sheetId="6">
        <row r="11">
          <cell r="E11">
            <v>6.3630000000000004</v>
          </cell>
        </row>
      </sheetData>
      <sheetData sheetId="7"/>
      <sheetData sheetId="8"/>
      <sheetData sheetId="9"/>
      <sheetData sheetId="10"/>
      <sheetData sheetId="11"/>
      <sheetData sheetId="12"/>
      <sheetData sheetId="13"/>
      <sheetData sheetId="14"/>
      <sheetData sheetId="15"/>
      <sheetData sheetId="16"/>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ing"/>
    </sheetNames>
    <sheetDataSet>
      <sheetData sheetId="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GA FACESHEET"/>
      <sheetName val="CASE 1A DETAILS"/>
      <sheetName val="CASE 1B DETAILS"/>
      <sheetName val="CASE 2 DETAILS"/>
      <sheetName val="CASE 3 DETAILS"/>
      <sheetName val="CASE 4 DETAILS"/>
      <sheetName val="CASE 5 DETAILS"/>
      <sheetName val="CASE 6 DETAILS"/>
      <sheetName val="CASE 7 DETAILS"/>
      <sheetName val="CASE 8 DETAILS"/>
      <sheetName val="CASE 9 DETAILS"/>
      <sheetName val="CASE 10 DETAILS"/>
      <sheetName val="CASE 11 DETAILS"/>
      <sheetName val="CASE 12 DETAILS"/>
      <sheetName val="CASE 13 DETAILS"/>
      <sheetName val="CASE 14 DETAILS"/>
      <sheetName val="DATABASE CRITERI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4">
          <cell r="B4" t="str">
            <v>TYPE</v>
          </cell>
          <cell r="C4" t="str">
            <v>TYPE</v>
          </cell>
          <cell r="D4" t="str">
            <v>TYPE</v>
          </cell>
          <cell r="E4" t="str">
            <v>TYPE</v>
          </cell>
          <cell r="F4" t="str">
            <v>TYPE</v>
          </cell>
          <cell r="G4" t="str">
            <v>TYPE</v>
          </cell>
          <cell r="H4" t="str">
            <v>TYPE</v>
          </cell>
          <cell r="I4" t="str">
            <v>TYPE</v>
          </cell>
          <cell r="J4" t="str">
            <v>TYPE</v>
          </cell>
          <cell r="K4" t="str">
            <v>TYPE</v>
          </cell>
          <cell r="L4" t="str">
            <v>TYPE</v>
          </cell>
          <cell r="M4" t="str">
            <v>TYPE</v>
          </cell>
          <cell r="N4" t="str">
            <v>TYPE</v>
          </cell>
          <cell r="O4" t="str">
            <v>TYPE</v>
          </cell>
          <cell r="P4" t="str">
            <v>TYPE</v>
          </cell>
          <cell r="Q4" t="str">
            <v>TYPE</v>
          </cell>
          <cell r="R4" t="str">
            <v>TYPE</v>
          </cell>
          <cell r="S4" t="str">
            <v>TYPE</v>
          </cell>
          <cell r="T4" t="str">
            <v>TYPE</v>
          </cell>
          <cell r="U4" t="str">
            <v>TYPE</v>
          </cell>
          <cell r="V4" t="str">
            <v>TYPE</v>
          </cell>
          <cell r="W4" t="str">
            <v>TYPE</v>
          </cell>
          <cell r="X4" t="str">
            <v>TYPE</v>
          </cell>
          <cell r="Y4" t="str">
            <v>TYPE</v>
          </cell>
          <cell r="Z4" t="str">
            <v>TYPE</v>
          </cell>
          <cell r="AA4" t="str">
            <v>TYPE</v>
          </cell>
          <cell r="AB4" t="str">
            <v>TYPE</v>
          </cell>
          <cell r="AC4" t="str">
            <v>TYPE</v>
          </cell>
          <cell r="AD4" t="str">
            <v>TYPE</v>
          </cell>
          <cell r="AE4" t="str">
            <v>TYPE</v>
          </cell>
          <cell r="AF4" t="str">
            <v>TYPE</v>
          </cell>
          <cell r="AG4" t="str">
            <v>LCP</v>
          </cell>
        </row>
        <row r="5">
          <cell r="B5" t="str">
            <v>=EE</v>
          </cell>
          <cell r="C5" t="str">
            <v>=EXISTEQ</v>
          </cell>
          <cell r="D5" t="str">
            <v>=EEGCS</v>
          </cell>
          <cell r="E5" t="str">
            <v>=MISCEQ</v>
          </cell>
          <cell r="F5" t="str">
            <v>=FM/FL</v>
          </cell>
          <cell r="G5" t="str">
            <v>=EQINSUL</v>
          </cell>
          <cell r="H5" t="str">
            <v>=FE</v>
          </cell>
          <cell r="I5" t="str">
            <v>=FDN</v>
          </cell>
          <cell r="J5" t="str">
            <v>=SUPP</v>
          </cell>
          <cell r="K5" t="str">
            <v>=PLTF</v>
          </cell>
          <cell r="L5" t="str">
            <v>=PIPE</v>
          </cell>
          <cell r="M5" t="str">
            <v>=INSTR</v>
          </cell>
          <cell r="N5" t="str">
            <v>=DCS</v>
          </cell>
          <cell r="O5" t="str">
            <v>=ELECT</v>
          </cell>
          <cell r="P5" t="str">
            <v>=MCC</v>
          </cell>
          <cell r="Q5" t="str">
            <v>=ELM</v>
          </cell>
          <cell r="R5" t="str">
            <v>=LM</v>
          </cell>
          <cell r="S5" t="str">
            <v>=BLDG</v>
          </cell>
          <cell r="T5" t="str">
            <v>=AC</v>
          </cell>
          <cell r="U5" t="str">
            <v>=PGS</v>
          </cell>
          <cell r="V5" t="str">
            <v>=DR</v>
          </cell>
          <cell r="W5" t="str">
            <v>=FRT/DUTY</v>
          </cell>
          <cell r="X5" t="str">
            <v>=LI</v>
          </cell>
          <cell r="Y5" t="str">
            <v>=PORT</v>
          </cell>
          <cell r="Z5" t="str">
            <v>=SPARE</v>
          </cell>
          <cell r="AA5" t="str">
            <v>=PL</v>
          </cell>
          <cell r="AB5" t="str">
            <v>=EWO</v>
          </cell>
          <cell r="AC5" t="str">
            <v>=SPEC</v>
          </cell>
          <cell r="AD5" t="str">
            <v>=ALLOW</v>
          </cell>
          <cell r="AE5" t="str">
            <v>=PAGESUB</v>
          </cell>
          <cell r="AF5" t="str">
            <v>=NONCAP</v>
          </cell>
        </row>
      </sheetData>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mp;m"/>
      <sheetName val="Sheet4"/>
      <sheetName val="rate anal"/>
      <sheetName val="Top Sheet"/>
      <sheetName val="Batch"/>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ed BOQ week"/>
      <sheetName val="Revised BOQ week Samp"/>
      <sheetName val="BOQ week"/>
      <sheetName val="BOQ week Samp"/>
      <sheetName val="Labour week"/>
      <sheetName val="Labour week Samp"/>
      <sheetName val="labour coeff"/>
      <sheetName val="Material week"/>
      <sheetName val="Job Cost - month"/>
      <sheetName val="JCR Revised Format - month"/>
      <sheetName val="Bulk Samp"/>
      <sheetName val="Bulk Top"/>
      <sheetName val="Claim Vs Cert"/>
      <sheetName val="Sc Recon"/>
      <sheetName val="RMC"/>
      <sheetName val="Steel"/>
      <sheetName val="S7A-Fort Empty"/>
      <sheetName val="S7A-Fort Samp"/>
      <sheetName val="Staffmonthly"/>
      <sheetName val="Scaff - Fort"/>
      <sheetName val="Scaff - Req"/>
      <sheetName val="F3"/>
      <sheetName val="F3-Samp1"/>
      <sheetName val="F3-Samp2"/>
      <sheetName val="F3-Samp3"/>
      <sheetName val="F3-Samp4"/>
      <sheetName val="F3-Samp5"/>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row r="3">
          <cell r="A3" t="str">
            <v>DESCRIP</v>
          </cell>
          <cell r="B3" t="str">
            <v>UNIT</v>
          </cell>
          <cell r="C3" t="str">
            <v>UNSKILL_I</v>
          </cell>
          <cell r="D3" t="str">
            <v>Unskilled_I Productivity</v>
          </cell>
          <cell r="E3" t="str">
            <v>MASON</v>
          </cell>
          <cell r="F3" t="str">
            <v>Mason Productivity</v>
          </cell>
          <cell r="G3" t="str">
            <v>CARPENTER</v>
          </cell>
          <cell r="H3" t="str">
            <v>Carpenter Productivity</v>
          </cell>
          <cell r="I3" t="str">
            <v>FITTER</v>
          </cell>
          <cell r="J3" t="str">
            <v>Fitter Productivity</v>
          </cell>
          <cell r="K3" t="str">
            <v>UNSKILL_II</v>
          </cell>
          <cell r="L3" t="str">
            <v>Unskilled_II  Productivity</v>
          </cell>
          <cell r="M3" t="str">
            <v>PAINTER</v>
          </cell>
          <cell r="N3" t="str">
            <v>Painter Productivity</v>
          </cell>
          <cell r="O3" t="str">
            <v>HELPER</v>
          </cell>
          <cell r="P3" t="str">
            <v>Helper Productivity</v>
          </cell>
          <cell r="Q3" t="str">
            <v>PLUMBER</v>
          </cell>
          <cell r="R3" t="str">
            <v>Plumber productivity</v>
          </cell>
          <cell r="S3" t="str">
            <v>CODEIN</v>
          </cell>
        </row>
        <row r="4">
          <cell r="A4" t="str">
            <v>Excavation</v>
          </cell>
          <cell r="B4" t="str">
            <v>cum</v>
          </cell>
          <cell r="C4">
            <v>0.76280000000000003</v>
          </cell>
          <cell r="D4">
            <v>1.3109596224436286</v>
          </cell>
          <cell r="E4">
            <v>0</v>
          </cell>
          <cell r="G4">
            <v>0</v>
          </cell>
          <cell r="I4">
            <v>0</v>
          </cell>
          <cell r="K4">
            <v>0</v>
          </cell>
          <cell r="M4">
            <v>0</v>
          </cell>
          <cell r="O4">
            <v>0</v>
          </cell>
          <cell r="Q4">
            <v>0</v>
          </cell>
          <cell r="S4">
            <v>10001</v>
          </cell>
        </row>
        <row r="5">
          <cell r="A5" t="str">
            <v>Sand Filling</v>
          </cell>
          <cell r="B5" t="str">
            <v>cum</v>
          </cell>
          <cell r="C5">
            <v>2.3925900000000002</v>
          </cell>
          <cell r="D5">
            <v>0.41795710924144963</v>
          </cell>
          <cell r="E5">
            <v>0</v>
          </cell>
          <cell r="G5">
            <v>0</v>
          </cell>
          <cell r="I5">
            <v>0</v>
          </cell>
          <cell r="K5">
            <v>0</v>
          </cell>
          <cell r="M5">
            <v>0</v>
          </cell>
          <cell r="O5">
            <v>0</v>
          </cell>
          <cell r="Q5">
            <v>0</v>
          </cell>
          <cell r="S5">
            <v>20001</v>
          </cell>
        </row>
        <row r="6">
          <cell r="A6" t="str">
            <v>Pcc in Foundation</v>
          </cell>
          <cell r="B6" t="str">
            <v>cum</v>
          </cell>
          <cell r="C6">
            <v>1.9776400000000001</v>
          </cell>
          <cell r="D6">
            <v>0.50565320280738657</v>
          </cell>
          <cell r="E6">
            <v>0.28251999999999999</v>
          </cell>
          <cell r="F6">
            <v>3.539572419651706</v>
          </cell>
          <cell r="G6">
            <v>0</v>
          </cell>
          <cell r="I6">
            <v>0</v>
          </cell>
          <cell r="K6">
            <v>0</v>
          </cell>
          <cell r="M6">
            <v>0</v>
          </cell>
          <cell r="O6">
            <v>0</v>
          </cell>
          <cell r="Q6">
            <v>0</v>
          </cell>
          <cell r="S6">
            <v>30001</v>
          </cell>
        </row>
        <row r="7">
          <cell r="A7" t="str">
            <v>Footing</v>
          </cell>
          <cell r="B7" t="str">
            <v>cum</v>
          </cell>
          <cell r="C7">
            <v>5.0147300000000001</v>
          </cell>
          <cell r="D7">
            <v>0.19941253068460316</v>
          </cell>
          <cell r="E7">
            <v>0.39552999999999999</v>
          </cell>
          <cell r="F7">
            <v>2.528253229843501</v>
          </cell>
          <cell r="G7">
            <v>1.95645</v>
          </cell>
          <cell r="H7">
            <v>0.51112985253903753</v>
          </cell>
          <cell r="I7">
            <v>0.8</v>
          </cell>
          <cell r="J7">
            <v>1.25</v>
          </cell>
          <cell r="K7">
            <v>2.8781699999999999</v>
          </cell>
          <cell r="L7">
            <v>0.3474429932908758</v>
          </cell>
          <cell r="M7">
            <v>0</v>
          </cell>
          <cell r="O7">
            <v>0</v>
          </cell>
          <cell r="Q7">
            <v>0</v>
          </cell>
          <cell r="S7">
            <v>40001</v>
          </cell>
        </row>
        <row r="8">
          <cell r="A8" t="str">
            <v>Columns in foundation</v>
          </cell>
          <cell r="B8" t="str">
            <v>cum</v>
          </cell>
          <cell r="C8">
            <v>3.5314999999999999</v>
          </cell>
          <cell r="D8">
            <v>0.2831657935721365</v>
          </cell>
          <cell r="E8">
            <v>0.79105999999999999</v>
          </cell>
          <cell r="F8">
            <v>1.2641266149217505</v>
          </cell>
          <cell r="G8">
            <v>4.7534000000000001</v>
          </cell>
          <cell r="H8">
            <v>0.21037573105566543</v>
          </cell>
          <cell r="I8">
            <v>1.7657499999999999</v>
          </cell>
          <cell r="J8">
            <v>0.56633158714427301</v>
          </cell>
          <cell r="K8">
            <v>6.9323300000000003</v>
          </cell>
          <cell r="L8">
            <v>0.14425164410811372</v>
          </cell>
          <cell r="M8">
            <v>0</v>
          </cell>
          <cell r="O8">
            <v>0</v>
          </cell>
          <cell r="Q8">
            <v>0</v>
          </cell>
          <cell r="S8">
            <v>40002</v>
          </cell>
        </row>
        <row r="9">
          <cell r="A9" t="str">
            <v>Brickwork in foundn</v>
          </cell>
          <cell r="B9" t="str">
            <v>cum</v>
          </cell>
          <cell r="C9">
            <v>2.8252000000000002</v>
          </cell>
          <cell r="D9">
            <v>0.35395724196517059</v>
          </cell>
          <cell r="E9">
            <v>1.2713399999999999</v>
          </cell>
          <cell r="F9">
            <v>0.78657164881149033</v>
          </cell>
          <cell r="G9">
            <v>0</v>
          </cell>
          <cell r="I9">
            <v>0</v>
          </cell>
          <cell r="K9">
            <v>0</v>
          </cell>
          <cell r="M9">
            <v>0</v>
          </cell>
          <cell r="O9">
            <v>0</v>
          </cell>
          <cell r="Q9">
            <v>0</v>
          </cell>
          <cell r="S9">
            <v>50001</v>
          </cell>
        </row>
        <row r="10">
          <cell r="A10" t="str">
            <v>Plinth beam</v>
          </cell>
          <cell r="B10" t="str">
            <v>cum</v>
          </cell>
          <cell r="C10">
            <v>4.34375</v>
          </cell>
          <cell r="D10">
            <v>0.23021582733812951</v>
          </cell>
          <cell r="E10">
            <v>0.30018</v>
          </cell>
          <cell r="F10">
            <v>3.3313345326137651</v>
          </cell>
          <cell r="G10">
            <v>0.39906000000000003</v>
          </cell>
          <cell r="H10">
            <v>2.5058888387711118</v>
          </cell>
          <cell r="I10">
            <v>0.19953000000000001</v>
          </cell>
          <cell r="J10">
            <v>5.0117776775422236</v>
          </cell>
          <cell r="K10">
            <v>0.60741999999999996</v>
          </cell>
          <cell r="L10">
            <v>1.6463073326528597</v>
          </cell>
          <cell r="M10">
            <v>0</v>
          </cell>
          <cell r="O10">
            <v>0</v>
          </cell>
          <cell r="Q10">
            <v>0</v>
          </cell>
          <cell r="S10">
            <v>40003</v>
          </cell>
        </row>
        <row r="11">
          <cell r="A11" t="str">
            <v>Sand floor</v>
          </cell>
          <cell r="B11" t="str">
            <v>cum</v>
          </cell>
          <cell r="C11">
            <v>8.3339999999999997E-2</v>
          </cell>
          <cell r="D11">
            <v>11.999040076793857</v>
          </cell>
          <cell r="E11">
            <v>0</v>
          </cell>
          <cell r="G11">
            <v>0</v>
          </cell>
          <cell r="I11">
            <v>0</v>
          </cell>
          <cell r="K11">
            <v>0</v>
          </cell>
          <cell r="M11">
            <v>0</v>
          </cell>
          <cell r="O11">
            <v>0</v>
          </cell>
          <cell r="Q11">
            <v>0</v>
          </cell>
          <cell r="S11">
            <v>20002</v>
          </cell>
        </row>
        <row r="12">
          <cell r="A12" t="str">
            <v>Pcc in floor</v>
          </cell>
          <cell r="B12" t="str">
            <v>cum</v>
          </cell>
          <cell r="C12">
            <v>1.60683</v>
          </cell>
          <cell r="D12">
            <v>0.62234337173191934</v>
          </cell>
          <cell r="E12">
            <v>0.10947999999999999</v>
          </cell>
          <cell r="F12">
            <v>9.134088417975887</v>
          </cell>
          <cell r="G12">
            <v>0</v>
          </cell>
          <cell r="I12">
            <v>0</v>
          </cell>
          <cell r="K12">
            <v>0</v>
          </cell>
          <cell r="M12">
            <v>0</v>
          </cell>
          <cell r="O12">
            <v>0</v>
          </cell>
          <cell r="Q12">
            <v>0</v>
          </cell>
          <cell r="S12">
            <v>30002</v>
          </cell>
        </row>
        <row r="13">
          <cell r="A13" t="str">
            <v>Columns in GF</v>
          </cell>
          <cell r="B13" t="str">
            <v>cum</v>
          </cell>
          <cell r="C13">
            <v>3.5314999999999999</v>
          </cell>
          <cell r="D13">
            <v>0.2831657935721365</v>
          </cell>
          <cell r="E13">
            <v>0.79105999999999999</v>
          </cell>
          <cell r="F13">
            <v>1.2641266149217505</v>
          </cell>
          <cell r="G13">
            <v>4.7534000000000001</v>
          </cell>
          <cell r="H13">
            <v>0.21037573105566543</v>
          </cell>
          <cell r="I13">
            <v>1.7657499999999999</v>
          </cell>
          <cell r="J13">
            <v>0.56633158714427301</v>
          </cell>
          <cell r="K13">
            <v>6.9323300000000003</v>
          </cell>
          <cell r="L13">
            <v>0.14425164410811372</v>
          </cell>
          <cell r="M13">
            <v>0</v>
          </cell>
          <cell r="O13">
            <v>0</v>
          </cell>
          <cell r="Q13">
            <v>0</v>
          </cell>
          <cell r="S13">
            <v>40004</v>
          </cell>
        </row>
        <row r="14">
          <cell r="A14" t="str">
            <v>Slab in Ground Floor</v>
          </cell>
          <cell r="B14" t="str">
            <v>cum</v>
          </cell>
          <cell r="C14">
            <v>2.1648100000000001</v>
          </cell>
          <cell r="D14">
            <v>0.46193430370332728</v>
          </cell>
          <cell r="E14">
            <v>0.11018</v>
          </cell>
          <cell r="F14">
            <v>9.076057360682519</v>
          </cell>
          <cell r="G14">
            <v>0.98529</v>
          </cell>
          <cell r="H14">
            <v>1.0149296146312252</v>
          </cell>
          <cell r="I14">
            <v>6.5689999999999998E-2</v>
          </cell>
          <cell r="J14">
            <v>15.223017202009439</v>
          </cell>
          <cell r="K14">
            <v>0.76280000000000003</v>
          </cell>
          <cell r="L14">
            <v>1.3109596224436286</v>
          </cell>
          <cell r="M14">
            <v>0</v>
          </cell>
          <cell r="O14">
            <v>0</v>
          </cell>
          <cell r="Q14">
            <v>0</v>
          </cell>
          <cell r="S14">
            <v>40005</v>
          </cell>
        </row>
        <row r="15">
          <cell r="A15" t="str">
            <v>Beam in Ground Floor</v>
          </cell>
          <cell r="B15" t="str">
            <v>cum</v>
          </cell>
          <cell r="C15">
            <v>0.57562999999999998</v>
          </cell>
          <cell r="D15">
            <v>1.7372270382016226</v>
          </cell>
          <cell r="E15">
            <v>0.11018</v>
          </cell>
          <cell r="F15">
            <v>9.076057360682519</v>
          </cell>
          <cell r="G15">
            <v>0.98529</v>
          </cell>
          <cell r="H15">
            <v>1.0149296146312252</v>
          </cell>
          <cell r="I15">
            <v>6.5689999999999998E-2</v>
          </cell>
          <cell r="J15">
            <v>15.223017202009439</v>
          </cell>
          <cell r="K15">
            <v>0.76280000000000003</v>
          </cell>
          <cell r="L15">
            <v>1.3109596224436286</v>
          </cell>
          <cell r="M15">
            <v>0</v>
          </cell>
          <cell r="O15">
            <v>0</v>
          </cell>
          <cell r="Q15">
            <v>0</v>
          </cell>
          <cell r="S15">
            <v>40006</v>
          </cell>
        </row>
        <row r="16">
          <cell r="A16" t="str">
            <v>Brickwork in GF</v>
          </cell>
          <cell r="B16" t="str">
            <v>cum</v>
          </cell>
          <cell r="C16">
            <v>2.8252000000000002</v>
          </cell>
          <cell r="D16">
            <v>0.35395724196517059</v>
          </cell>
          <cell r="E16">
            <v>1.2713399999999999</v>
          </cell>
          <cell r="F16">
            <v>0.78657164881149033</v>
          </cell>
          <cell r="G16">
            <v>0</v>
          </cell>
          <cell r="I16">
            <v>0</v>
          </cell>
          <cell r="K16">
            <v>0</v>
          </cell>
          <cell r="M16">
            <v>0</v>
          </cell>
          <cell r="O16">
            <v>0</v>
          </cell>
          <cell r="Q16">
            <v>0</v>
          </cell>
          <cell r="S16">
            <v>50002</v>
          </cell>
        </row>
        <row r="17">
          <cell r="A17" t="str">
            <v>Brickwork in GF</v>
          </cell>
          <cell r="B17" t="str">
            <v>sqm</v>
          </cell>
          <cell r="C17">
            <v>0.19806000000000001</v>
          </cell>
          <cell r="D17">
            <v>5.0489750580632125</v>
          </cell>
          <cell r="E17">
            <v>8.9130000000000001E-2</v>
          </cell>
          <cell r="F17">
            <v>11.219566924716705</v>
          </cell>
          <cell r="G17">
            <v>0</v>
          </cell>
          <cell r="I17">
            <v>0</v>
          </cell>
          <cell r="K17">
            <v>0</v>
          </cell>
          <cell r="M17">
            <v>0</v>
          </cell>
          <cell r="O17">
            <v>0</v>
          </cell>
          <cell r="Q17">
            <v>0</v>
          </cell>
          <cell r="S17">
            <v>50003</v>
          </cell>
        </row>
        <row r="18">
          <cell r="A18" t="str">
            <v>Loft in GF</v>
          </cell>
          <cell r="B18" t="str">
            <v>sqm</v>
          </cell>
          <cell r="C18">
            <v>0.10340000000000001</v>
          </cell>
          <cell r="D18">
            <v>9.6711798839458414</v>
          </cell>
          <cell r="E18">
            <v>2.5899999999999999E-2</v>
          </cell>
          <cell r="F18">
            <v>38.610038610038607</v>
          </cell>
          <cell r="G18">
            <v>1.72E-2</v>
          </cell>
          <cell r="H18">
            <v>58.139534883720927</v>
          </cell>
          <cell r="I18">
            <v>1.72E-2</v>
          </cell>
          <cell r="J18">
            <v>58.139534883720927</v>
          </cell>
          <cell r="K18">
            <v>3.5000000000000003E-2</v>
          </cell>
          <cell r="L18">
            <v>28.571428571428569</v>
          </cell>
          <cell r="S18">
            <v>40007</v>
          </cell>
        </row>
        <row r="19">
          <cell r="A19" t="str">
            <v>Columns in I Floor</v>
          </cell>
          <cell r="B19" t="str">
            <v>cum</v>
          </cell>
          <cell r="C19">
            <v>4.0612300000000001</v>
          </cell>
          <cell r="D19">
            <v>0.24623082169687507</v>
          </cell>
          <cell r="E19">
            <v>0.79459000000000002</v>
          </cell>
          <cell r="F19">
            <v>1.2585106784631068</v>
          </cell>
          <cell r="G19">
            <v>4.7675299999999998</v>
          </cell>
          <cell r="H19">
            <v>0.20975221970286501</v>
          </cell>
          <cell r="I19">
            <v>1.7657499999999999</v>
          </cell>
          <cell r="J19">
            <v>0.56633158714427301</v>
          </cell>
          <cell r="K19">
            <v>1.7657499999999999</v>
          </cell>
          <cell r="L19">
            <v>0.56633158714427301</v>
          </cell>
          <cell r="M19">
            <v>0</v>
          </cell>
          <cell r="O19">
            <v>0</v>
          </cell>
          <cell r="Q19">
            <v>0</v>
          </cell>
          <cell r="S19">
            <v>40008</v>
          </cell>
        </row>
        <row r="20">
          <cell r="A20" t="str">
            <v>Slab in First Floor</v>
          </cell>
          <cell r="B20" t="str">
            <v>cum</v>
          </cell>
          <cell r="C20">
            <v>0.75221000000000005</v>
          </cell>
          <cell r="D20">
            <v>1.3294159875566662</v>
          </cell>
          <cell r="E20">
            <v>0.12007</v>
          </cell>
          <cell r="F20">
            <v>8.3284750562172061</v>
          </cell>
          <cell r="G20">
            <v>1.13008</v>
          </cell>
          <cell r="H20">
            <v>0.8848931049129265</v>
          </cell>
          <cell r="I20">
            <v>7.4870000000000006E-2</v>
          </cell>
          <cell r="J20">
            <v>13.356484573260317</v>
          </cell>
          <cell r="K20">
            <v>1.3772899999999999</v>
          </cell>
          <cell r="L20">
            <v>0.72606350151384247</v>
          </cell>
          <cell r="M20">
            <v>0</v>
          </cell>
          <cell r="O20">
            <v>0</v>
          </cell>
          <cell r="Q20">
            <v>0</v>
          </cell>
          <cell r="S20">
            <v>40009</v>
          </cell>
        </row>
        <row r="21">
          <cell r="A21" t="str">
            <v>Beam in First Floor</v>
          </cell>
          <cell r="B21" t="str">
            <v>cum</v>
          </cell>
          <cell r="C21">
            <v>0.75221000000000005</v>
          </cell>
          <cell r="D21">
            <v>1.3294159875566662</v>
          </cell>
          <cell r="E21">
            <v>0.12007</v>
          </cell>
          <cell r="F21">
            <v>8.3284750562172061</v>
          </cell>
          <cell r="G21">
            <v>1.13008</v>
          </cell>
          <cell r="H21">
            <v>0.8848931049129265</v>
          </cell>
          <cell r="I21">
            <v>7.4870000000000006E-2</v>
          </cell>
          <cell r="J21">
            <v>13.356484573260317</v>
          </cell>
          <cell r="K21">
            <v>1.3772899999999999</v>
          </cell>
          <cell r="L21">
            <v>0.72606350151384247</v>
          </cell>
          <cell r="M21">
            <v>0</v>
          </cell>
          <cell r="O21">
            <v>0</v>
          </cell>
          <cell r="Q21">
            <v>0</v>
          </cell>
          <cell r="S21">
            <v>40010</v>
          </cell>
        </row>
        <row r="22">
          <cell r="A22" t="str">
            <v>BW 9" in First Floor</v>
          </cell>
          <cell r="B22" t="str">
            <v>cum</v>
          </cell>
          <cell r="C22">
            <v>2.8252000000000002</v>
          </cell>
          <cell r="D22">
            <v>0.35395724196517059</v>
          </cell>
          <cell r="E22">
            <v>1.2713399999999999</v>
          </cell>
          <cell r="F22">
            <v>0.78657164881149033</v>
          </cell>
          <cell r="G22">
            <v>0</v>
          </cell>
          <cell r="I22">
            <v>0</v>
          </cell>
          <cell r="K22">
            <v>0</v>
          </cell>
          <cell r="M22">
            <v>0</v>
          </cell>
          <cell r="O22">
            <v>0</v>
          </cell>
          <cell r="Q22">
            <v>0</v>
          </cell>
          <cell r="S22">
            <v>50004</v>
          </cell>
        </row>
        <row r="23">
          <cell r="A23" t="str">
            <v>BW 4.5" in First Flr</v>
          </cell>
          <cell r="B23" t="str">
            <v>sqm</v>
          </cell>
          <cell r="C23">
            <v>0.19806000000000001</v>
          </cell>
          <cell r="D23">
            <v>5.0489750580632125</v>
          </cell>
          <cell r="E23">
            <v>8.9130000000000001E-2</v>
          </cell>
          <cell r="F23">
            <v>11.219566924716705</v>
          </cell>
          <cell r="G23">
            <v>0</v>
          </cell>
          <cell r="I23">
            <v>0</v>
          </cell>
          <cell r="K23">
            <v>0</v>
          </cell>
          <cell r="M23">
            <v>0</v>
          </cell>
          <cell r="O23">
            <v>0</v>
          </cell>
          <cell r="Q23">
            <v>0</v>
          </cell>
          <cell r="S23">
            <v>50005</v>
          </cell>
        </row>
        <row r="24">
          <cell r="A24" t="str">
            <v>Loft in First Floor</v>
          </cell>
          <cell r="B24" t="str">
            <v>sqm</v>
          </cell>
          <cell r="C24">
            <v>1.113</v>
          </cell>
          <cell r="D24">
            <v>0.89847259658580414</v>
          </cell>
          <cell r="E24">
            <v>0.27878999999999998</v>
          </cell>
          <cell r="F24">
            <v>3.5869292298862945</v>
          </cell>
          <cell r="G24">
            <v>0.18514</v>
          </cell>
          <cell r="H24">
            <v>5.4013179215728639</v>
          </cell>
          <cell r="I24">
            <v>1.85141</v>
          </cell>
          <cell r="J24">
            <v>0.54012887474951521</v>
          </cell>
          <cell r="K24">
            <v>0.37674000000000002</v>
          </cell>
          <cell r="L24">
            <v>2.6543504804374369</v>
          </cell>
          <cell r="M24">
            <v>0</v>
          </cell>
          <cell r="O24">
            <v>0</v>
          </cell>
          <cell r="Q24">
            <v>0</v>
          </cell>
          <cell r="S24">
            <v>40011</v>
          </cell>
        </row>
        <row r="25">
          <cell r="A25" t="str">
            <v>Columns in SF</v>
          </cell>
          <cell r="B25" t="str">
            <v>cum</v>
          </cell>
          <cell r="C25">
            <v>4.5556400000000004</v>
          </cell>
          <cell r="D25">
            <v>0.21950812619083157</v>
          </cell>
          <cell r="E25">
            <v>0.79105999999999999</v>
          </cell>
          <cell r="F25">
            <v>1.2641266149217505</v>
          </cell>
          <cell r="G25">
            <v>4.7675299999999998</v>
          </cell>
          <cell r="H25">
            <v>0.20975221970286501</v>
          </cell>
          <cell r="I25">
            <v>1.9140699999999999</v>
          </cell>
          <cell r="J25">
            <v>0.52244693245283613</v>
          </cell>
          <cell r="K25">
            <v>7.3102099999999997</v>
          </cell>
          <cell r="L25">
            <v>0.13679497579412905</v>
          </cell>
          <cell r="M25">
            <v>0</v>
          </cell>
          <cell r="O25">
            <v>0</v>
          </cell>
          <cell r="Q25">
            <v>0</v>
          </cell>
          <cell r="S25">
            <v>40012</v>
          </cell>
        </row>
        <row r="26">
          <cell r="A26" t="str">
            <v>Slab in SF</v>
          </cell>
          <cell r="B26" t="str">
            <v>cum</v>
          </cell>
          <cell r="C26">
            <v>0.84755999999999998</v>
          </cell>
          <cell r="D26">
            <v>1.1798574732172353</v>
          </cell>
          <cell r="E26">
            <v>1.2007099999999999</v>
          </cell>
          <cell r="F26">
            <v>0.83284056932981321</v>
          </cell>
          <cell r="G26">
            <v>1.1654</v>
          </cell>
          <cell r="H26">
            <v>0.85807448086493909</v>
          </cell>
          <cell r="I26">
            <v>0.10489</v>
          </cell>
          <cell r="J26">
            <v>9.5337973114691579</v>
          </cell>
          <cell r="K26">
            <v>1.53267</v>
          </cell>
          <cell r="L26">
            <v>0.65245617125669586</v>
          </cell>
          <cell r="M26">
            <v>0</v>
          </cell>
          <cell r="O26">
            <v>0</v>
          </cell>
          <cell r="Q26">
            <v>0</v>
          </cell>
          <cell r="S26">
            <v>40013</v>
          </cell>
        </row>
        <row r="27">
          <cell r="A27" t="str">
            <v>Beam in SF</v>
          </cell>
          <cell r="B27" t="str">
            <v>cum</v>
          </cell>
          <cell r="C27">
            <v>0.87228000000000006</v>
          </cell>
          <cell r="D27">
            <v>1.1464208740312742</v>
          </cell>
          <cell r="E27">
            <v>1.2007099999999999</v>
          </cell>
          <cell r="F27">
            <v>0.83284056932981321</v>
          </cell>
          <cell r="G27">
            <v>1.1654</v>
          </cell>
          <cell r="H27">
            <v>0.85807448086493909</v>
          </cell>
          <cell r="I27">
            <v>0.10489</v>
          </cell>
          <cell r="J27">
            <v>9.5337973114691579</v>
          </cell>
          <cell r="K27">
            <v>1.53267</v>
          </cell>
          <cell r="L27">
            <v>0.65245617125669586</v>
          </cell>
          <cell r="M27">
            <v>0</v>
          </cell>
          <cell r="O27">
            <v>0</v>
          </cell>
          <cell r="Q27">
            <v>0</v>
          </cell>
          <cell r="S27">
            <v>40014</v>
          </cell>
        </row>
        <row r="28">
          <cell r="A28" t="str">
            <v>BW 9" in SF</v>
          </cell>
          <cell r="B28" t="str">
            <v>cum</v>
          </cell>
          <cell r="C28">
            <v>2.99471</v>
          </cell>
          <cell r="D28">
            <v>0.33392214939009118</v>
          </cell>
          <cell r="E28">
            <v>1.34903</v>
          </cell>
          <cell r="F28">
            <v>0.74127335937673744</v>
          </cell>
          <cell r="G28">
            <v>0</v>
          </cell>
          <cell r="I28">
            <v>0</v>
          </cell>
          <cell r="K28">
            <v>0</v>
          </cell>
          <cell r="M28">
            <v>0</v>
          </cell>
          <cell r="O28">
            <v>0</v>
          </cell>
          <cell r="Q28">
            <v>0</v>
          </cell>
          <cell r="S28">
            <v>50006</v>
          </cell>
        </row>
        <row r="29">
          <cell r="A29" t="str">
            <v>BW 4.5" in SF</v>
          </cell>
          <cell r="B29" t="str">
            <v>sqm</v>
          </cell>
          <cell r="C29">
            <v>0.19806000000000001</v>
          </cell>
          <cell r="D29">
            <v>5.0489750580632125</v>
          </cell>
          <cell r="E29">
            <v>8.9130000000000001E-2</v>
          </cell>
          <cell r="F29">
            <v>11.219566924716705</v>
          </cell>
          <cell r="G29">
            <v>0</v>
          </cell>
          <cell r="I29">
            <v>0</v>
          </cell>
          <cell r="K29">
            <v>0</v>
          </cell>
          <cell r="M29">
            <v>0</v>
          </cell>
          <cell r="O29">
            <v>0</v>
          </cell>
          <cell r="Q29">
            <v>0</v>
          </cell>
          <cell r="S29">
            <v>50007</v>
          </cell>
        </row>
        <row r="30">
          <cell r="A30" t="str">
            <v>Loft in SF</v>
          </cell>
          <cell r="B30" t="str">
            <v>sqm</v>
          </cell>
          <cell r="C30">
            <v>1.1140699999999999</v>
          </cell>
          <cell r="D30">
            <v>0.89760966546087773</v>
          </cell>
          <cell r="E30">
            <v>0.27986</v>
          </cell>
          <cell r="F30">
            <v>3.5732151790180806</v>
          </cell>
          <cell r="G30">
            <v>9.2789999999999997E-2</v>
          </cell>
          <cell r="H30">
            <v>10.777023386140748</v>
          </cell>
          <cell r="I30">
            <v>9.2789999999999997E-2</v>
          </cell>
          <cell r="J30">
            <v>10.777023386140748</v>
          </cell>
          <cell r="K30">
            <v>0.37674000000000002</v>
          </cell>
          <cell r="L30">
            <v>2.6543504804374369</v>
          </cell>
          <cell r="M30">
            <v>0</v>
          </cell>
          <cell r="O30">
            <v>0</v>
          </cell>
          <cell r="Q30">
            <v>0</v>
          </cell>
          <cell r="S30">
            <v>50008</v>
          </cell>
        </row>
        <row r="31">
          <cell r="A31" t="str">
            <v>Column in TF</v>
          </cell>
          <cell r="B31" t="str">
            <v>cum</v>
          </cell>
          <cell r="C31">
            <v>4.5556400000000004</v>
          </cell>
          <cell r="D31">
            <v>0.21950812619083157</v>
          </cell>
          <cell r="E31">
            <v>0.91466000000000003</v>
          </cell>
          <cell r="F31">
            <v>1.0933024293179978</v>
          </cell>
          <cell r="G31">
            <v>0.60741999999999996</v>
          </cell>
          <cell r="H31">
            <v>1.6463073326528597</v>
          </cell>
          <cell r="I31">
            <v>0.60741999999999996</v>
          </cell>
          <cell r="J31">
            <v>1.6463073326528597</v>
          </cell>
          <cell r="K31">
            <v>1.23603</v>
          </cell>
          <cell r="L31">
            <v>0.80904185173499032</v>
          </cell>
          <cell r="M31">
            <v>0</v>
          </cell>
          <cell r="O31">
            <v>0</v>
          </cell>
          <cell r="Q31">
            <v>0</v>
          </cell>
          <cell r="S31">
            <v>40015</v>
          </cell>
        </row>
        <row r="32">
          <cell r="A32" t="str">
            <v>Slab in TF</v>
          </cell>
          <cell r="B32" t="str">
            <v>cum</v>
          </cell>
          <cell r="C32">
            <v>0.87228000000000006</v>
          </cell>
          <cell r="D32">
            <v>1.1464208740312742</v>
          </cell>
          <cell r="E32">
            <v>1.2007099999999999</v>
          </cell>
          <cell r="F32">
            <v>0.83284056932981321</v>
          </cell>
          <cell r="G32">
            <v>1.1654</v>
          </cell>
          <cell r="H32">
            <v>0.85807448086493909</v>
          </cell>
          <cell r="I32">
            <v>0.10489</v>
          </cell>
          <cell r="J32">
            <v>9.5337973114691579</v>
          </cell>
          <cell r="K32">
            <v>1.7092499999999999</v>
          </cell>
          <cell r="L32">
            <v>0.58505192335819811</v>
          </cell>
          <cell r="M32">
            <v>0</v>
          </cell>
          <cell r="O32">
            <v>0</v>
          </cell>
          <cell r="Q32">
            <v>0</v>
          </cell>
          <cell r="S32">
            <v>40016</v>
          </cell>
        </row>
        <row r="33">
          <cell r="A33" t="str">
            <v>Beam in TF</v>
          </cell>
          <cell r="B33" t="str">
            <v>cum</v>
          </cell>
          <cell r="C33">
            <v>0.87228000000000006</v>
          </cell>
          <cell r="D33">
            <v>1.1464208740312742</v>
          </cell>
          <cell r="E33">
            <v>1.2007099999999999</v>
          </cell>
          <cell r="F33">
            <v>0.83284056932981321</v>
          </cell>
          <cell r="G33">
            <v>1.1654</v>
          </cell>
          <cell r="H33">
            <v>0.85807448086493909</v>
          </cell>
          <cell r="I33">
            <v>0.10383000000000001</v>
          </cell>
          <cell r="J33">
            <v>9.6311278050659723</v>
          </cell>
          <cell r="K33">
            <v>1.7092499999999999</v>
          </cell>
          <cell r="L33">
            <v>0.58505192335819811</v>
          </cell>
          <cell r="M33">
            <v>0</v>
          </cell>
          <cell r="O33">
            <v>0</v>
          </cell>
          <cell r="Q33">
            <v>0</v>
          </cell>
          <cell r="S33">
            <v>40017</v>
          </cell>
        </row>
        <row r="34">
          <cell r="A34" t="str">
            <v>BW 9" in TF</v>
          </cell>
          <cell r="B34" t="str">
            <v>cum</v>
          </cell>
          <cell r="C34">
            <v>3.0017800000000001</v>
          </cell>
          <cell r="D34">
            <v>0.33313567283411843</v>
          </cell>
          <cell r="E34">
            <v>1.3772899999999999</v>
          </cell>
          <cell r="F34">
            <v>0.72606350151384247</v>
          </cell>
          <cell r="G34">
            <v>0</v>
          </cell>
          <cell r="I34">
            <v>0</v>
          </cell>
          <cell r="K34">
            <v>0</v>
          </cell>
          <cell r="M34">
            <v>0</v>
          </cell>
          <cell r="O34">
            <v>0</v>
          </cell>
          <cell r="Q34">
            <v>0</v>
          </cell>
          <cell r="S34">
            <v>50009</v>
          </cell>
        </row>
        <row r="35">
          <cell r="A35" t="str">
            <v>BW 4.5" in TF</v>
          </cell>
          <cell r="B35" t="str">
            <v>sqm</v>
          </cell>
          <cell r="C35">
            <v>0.19806000000000001</v>
          </cell>
          <cell r="D35">
            <v>5.0489750580632125</v>
          </cell>
          <cell r="E35">
            <v>8.9130000000000001E-2</v>
          </cell>
          <cell r="F35">
            <v>11.219566924716705</v>
          </cell>
          <cell r="G35">
            <v>0</v>
          </cell>
          <cell r="I35">
            <v>0</v>
          </cell>
          <cell r="K35">
            <v>0</v>
          </cell>
          <cell r="M35">
            <v>0</v>
          </cell>
          <cell r="O35">
            <v>0</v>
          </cell>
          <cell r="Q35">
            <v>0</v>
          </cell>
          <cell r="S35">
            <v>50010</v>
          </cell>
        </row>
        <row r="36">
          <cell r="A36" t="str">
            <v>Loft in TF</v>
          </cell>
          <cell r="B36" t="str">
            <v>sqm</v>
          </cell>
          <cell r="C36">
            <v>1.1140699999999999</v>
          </cell>
          <cell r="D36">
            <v>0.89760966546087773</v>
          </cell>
          <cell r="E36">
            <v>2.7986399999999998</v>
          </cell>
          <cell r="F36">
            <v>0.35731641082811655</v>
          </cell>
          <cell r="G36">
            <v>9.2789999999999997E-2</v>
          </cell>
          <cell r="H36">
            <v>10.777023386140748</v>
          </cell>
          <cell r="I36">
            <v>9.2789999999999997E-2</v>
          </cell>
          <cell r="J36">
            <v>10.777023386140748</v>
          </cell>
          <cell r="K36">
            <v>0.37674000000000002</v>
          </cell>
          <cell r="L36">
            <v>2.6543504804374369</v>
          </cell>
          <cell r="M36">
            <v>0</v>
          </cell>
          <cell r="O36">
            <v>0</v>
          </cell>
          <cell r="Q36">
            <v>0</v>
          </cell>
          <cell r="S36">
            <v>50011</v>
          </cell>
        </row>
        <row r="37">
          <cell r="A37" t="str">
            <v>Columns in HR</v>
          </cell>
          <cell r="B37" t="str">
            <v>cum</v>
          </cell>
          <cell r="C37">
            <v>8.3696599999999997</v>
          </cell>
          <cell r="D37">
            <v>0.11947916641775175</v>
          </cell>
          <cell r="E37">
            <v>0.49793999999999999</v>
          </cell>
          <cell r="F37">
            <v>2.0082740892477005</v>
          </cell>
          <cell r="G37">
            <v>2.5073699999999999</v>
          </cell>
          <cell r="H37">
            <v>0.39882426606364441</v>
          </cell>
          <cell r="I37">
            <v>2.5073699999999999</v>
          </cell>
          <cell r="J37">
            <v>0.39882426606364441</v>
          </cell>
          <cell r="K37">
            <v>4.9794200000000002</v>
          </cell>
          <cell r="L37">
            <v>0.2008266022950464</v>
          </cell>
          <cell r="M37">
            <v>0</v>
          </cell>
          <cell r="O37">
            <v>0</v>
          </cell>
          <cell r="Q37">
            <v>0</v>
          </cell>
          <cell r="S37">
            <v>40018</v>
          </cell>
        </row>
        <row r="38">
          <cell r="A38" t="str">
            <v>Slab in HR</v>
          </cell>
          <cell r="B38" t="str">
            <v>cum</v>
          </cell>
          <cell r="C38">
            <v>8.3096200000000007</v>
          </cell>
          <cell r="D38">
            <v>0.12034244646566268</v>
          </cell>
          <cell r="E38">
            <v>2.5073699999999999</v>
          </cell>
          <cell r="F38">
            <v>0.39882426606364441</v>
          </cell>
          <cell r="G38">
            <v>2.5073699999999999</v>
          </cell>
          <cell r="H38">
            <v>0.39882426606364441</v>
          </cell>
          <cell r="I38">
            <v>1.24309</v>
          </cell>
          <cell r="J38">
            <v>0.80444698292159056</v>
          </cell>
          <cell r="K38">
            <v>5.6150900000000004</v>
          </cell>
          <cell r="L38">
            <v>0.1780915354874098</v>
          </cell>
          <cell r="M38">
            <v>0</v>
          </cell>
          <cell r="O38">
            <v>0</v>
          </cell>
          <cell r="Q38">
            <v>0</v>
          </cell>
          <cell r="S38">
            <v>40019</v>
          </cell>
        </row>
        <row r="39">
          <cell r="A39" t="str">
            <v>BW in 9" in HR</v>
          </cell>
          <cell r="B39" t="str">
            <v>cum</v>
          </cell>
          <cell r="C39">
            <v>5.1559900000000001</v>
          </cell>
          <cell r="D39">
            <v>0.19394917367954553</v>
          </cell>
          <cell r="E39">
            <v>2.18953</v>
          </cell>
          <cell r="F39">
            <v>0.4567190218905427</v>
          </cell>
          <cell r="G39">
            <v>0</v>
          </cell>
          <cell r="I39">
            <v>0</v>
          </cell>
          <cell r="K39">
            <v>0</v>
          </cell>
          <cell r="M39">
            <v>0</v>
          </cell>
          <cell r="O39">
            <v>0</v>
          </cell>
          <cell r="Q39">
            <v>0</v>
          </cell>
          <cell r="S39">
            <v>50011</v>
          </cell>
        </row>
        <row r="40">
          <cell r="A40" t="str">
            <v>Door Frames</v>
          </cell>
          <cell r="B40" t="str">
            <v>sqm</v>
          </cell>
          <cell r="C40">
            <v>1.1635899999999999</v>
          </cell>
          <cell r="D40">
            <v>0.85940924208698943</v>
          </cell>
          <cell r="E40">
            <v>0.92786000000000002</v>
          </cell>
          <cell r="F40">
            <v>1.07774879831009</v>
          </cell>
          <cell r="G40">
            <v>6.9643100000000002</v>
          </cell>
          <cell r="H40">
            <v>0.14358924286828129</v>
          </cell>
          <cell r="I40">
            <v>0</v>
          </cell>
          <cell r="K40">
            <v>6.9643100000000002</v>
          </cell>
          <cell r="L40">
            <v>0.14358924286828129</v>
          </cell>
          <cell r="M40">
            <v>0</v>
          </cell>
          <cell r="O40">
            <v>0</v>
          </cell>
          <cell r="Q40">
            <v>0</v>
          </cell>
          <cell r="S40">
            <v>60001</v>
          </cell>
        </row>
        <row r="41">
          <cell r="A41" t="str">
            <v>Ceiling plastering</v>
          </cell>
          <cell r="B41" t="str">
            <v>sqm</v>
          </cell>
          <cell r="C41">
            <v>0.23573</v>
          </cell>
          <cell r="D41">
            <v>4.2421414329953757</v>
          </cell>
          <cell r="E41">
            <v>0.10656</v>
          </cell>
          <cell r="F41">
            <v>9.3843843843843846</v>
          </cell>
          <cell r="G41">
            <v>0</v>
          </cell>
          <cell r="I41">
            <v>0</v>
          </cell>
          <cell r="K41">
            <v>0</v>
          </cell>
          <cell r="M41">
            <v>0</v>
          </cell>
          <cell r="O41">
            <v>0</v>
          </cell>
          <cell r="Q41">
            <v>0</v>
          </cell>
          <cell r="S41">
            <v>70001</v>
          </cell>
        </row>
        <row r="42">
          <cell r="A42" t="str">
            <v>Internal Plastering</v>
          </cell>
          <cell r="B42" t="str">
            <v>sqm</v>
          </cell>
          <cell r="C42">
            <v>0.18729000000000001</v>
          </cell>
          <cell r="D42">
            <v>5.3393133643013506</v>
          </cell>
          <cell r="E42">
            <v>8.1049999999999997E-2</v>
          </cell>
          <cell r="F42">
            <v>12.338062924120914</v>
          </cell>
          <cell r="G42">
            <v>0</v>
          </cell>
          <cell r="I42">
            <v>0</v>
          </cell>
          <cell r="K42">
            <v>0</v>
          </cell>
          <cell r="M42">
            <v>0</v>
          </cell>
          <cell r="O42">
            <v>0</v>
          </cell>
          <cell r="Q42">
            <v>0</v>
          </cell>
          <cell r="S42">
            <v>70002</v>
          </cell>
        </row>
        <row r="43">
          <cell r="A43" t="str">
            <v>Mosaic Flooring</v>
          </cell>
          <cell r="B43" t="str">
            <v>sqm</v>
          </cell>
          <cell r="C43">
            <v>1.44238</v>
          </cell>
          <cell r="D43">
            <v>0.69329857596472499</v>
          </cell>
          <cell r="E43">
            <v>0.22603999999999999</v>
          </cell>
          <cell r="F43">
            <v>4.4239957529640774</v>
          </cell>
          <cell r="G43">
            <v>0</v>
          </cell>
          <cell r="I43">
            <v>0</v>
          </cell>
          <cell r="K43">
            <v>0</v>
          </cell>
          <cell r="M43">
            <v>0</v>
          </cell>
          <cell r="O43">
            <v>0</v>
          </cell>
          <cell r="Q43">
            <v>0</v>
          </cell>
          <cell r="S43">
            <v>80001</v>
          </cell>
        </row>
        <row r="44">
          <cell r="A44" t="str">
            <v>Mosaic Skirting</v>
          </cell>
          <cell r="B44" t="str">
            <v>rm</v>
          </cell>
          <cell r="C44">
            <v>0.36736000000000002</v>
          </cell>
          <cell r="D44">
            <v>2.7221254355400695</v>
          </cell>
          <cell r="E44">
            <v>0.34932000000000002</v>
          </cell>
          <cell r="F44">
            <v>2.8627046833848619</v>
          </cell>
          <cell r="G44">
            <v>0</v>
          </cell>
          <cell r="I44">
            <v>0</v>
          </cell>
          <cell r="K44">
            <v>0</v>
          </cell>
          <cell r="M44">
            <v>0</v>
          </cell>
          <cell r="O44">
            <v>0</v>
          </cell>
          <cell r="Q44">
            <v>0</v>
          </cell>
          <cell r="S44">
            <v>80002</v>
          </cell>
        </row>
        <row r="45">
          <cell r="A45" t="str">
            <v>External Plastering</v>
          </cell>
          <cell r="B45" t="str">
            <v>sqm</v>
          </cell>
          <cell r="C45">
            <v>0.15715000000000001</v>
          </cell>
          <cell r="D45">
            <v>6.3633471205854271</v>
          </cell>
          <cell r="E45">
            <v>6.9970000000000004E-2</v>
          </cell>
          <cell r="F45">
            <v>14.291839359725596</v>
          </cell>
          <cell r="G45">
            <v>0</v>
          </cell>
          <cell r="I45">
            <v>0</v>
          </cell>
          <cell r="K45">
            <v>0</v>
          </cell>
          <cell r="M45">
            <v>0</v>
          </cell>
          <cell r="O45">
            <v>0</v>
          </cell>
          <cell r="Q45">
            <v>0</v>
          </cell>
          <cell r="S45">
            <v>70003</v>
          </cell>
        </row>
        <row r="46">
          <cell r="A46" t="str">
            <v>Doors Making</v>
          </cell>
          <cell r="B46" t="str">
            <v>sqm</v>
          </cell>
          <cell r="C46">
            <v>0</v>
          </cell>
          <cell r="E46">
            <v>0</v>
          </cell>
          <cell r="G46">
            <v>7.9330699999999998</v>
          </cell>
          <cell r="H46">
            <v>0.12605460433350518</v>
          </cell>
          <cell r="I46">
            <v>0</v>
          </cell>
          <cell r="K46">
            <v>6.34</v>
          </cell>
          <cell r="L46">
            <v>0.15772870662460567</v>
          </cell>
          <cell r="M46">
            <v>0</v>
          </cell>
          <cell r="O46">
            <v>0</v>
          </cell>
          <cell r="Q46">
            <v>0</v>
          </cell>
          <cell r="S46">
            <v>60002</v>
          </cell>
        </row>
        <row r="47">
          <cell r="A47" t="str">
            <v>Doors/Window Fixing</v>
          </cell>
          <cell r="B47" t="str">
            <v>sqm</v>
          </cell>
          <cell r="C47">
            <v>3.7135799999999999</v>
          </cell>
          <cell r="D47">
            <v>0.26928193279800083</v>
          </cell>
          <cell r="E47">
            <v>2.4757199999999999</v>
          </cell>
          <cell r="F47">
            <v>0.40392289919700131</v>
          </cell>
          <cell r="G47">
            <v>2.4757199999999999</v>
          </cell>
          <cell r="H47">
            <v>0.40392289919700131</v>
          </cell>
          <cell r="I47">
            <v>0</v>
          </cell>
          <cell r="K47">
            <v>2.4757199999999999</v>
          </cell>
          <cell r="L47">
            <v>0.40392289919700131</v>
          </cell>
          <cell r="M47">
            <v>0</v>
          </cell>
          <cell r="O47">
            <v>0</v>
          </cell>
          <cell r="Q47">
            <v>0</v>
          </cell>
          <cell r="S47">
            <v>60003</v>
          </cell>
        </row>
        <row r="48">
          <cell r="A48" t="str">
            <v>Windows</v>
          </cell>
          <cell r="B48" t="str">
            <v>sqm</v>
          </cell>
          <cell r="C48">
            <v>0</v>
          </cell>
          <cell r="E48">
            <v>0</v>
          </cell>
          <cell r="G48">
            <v>7.9330699999999998</v>
          </cell>
          <cell r="H48">
            <v>0.12605460433350518</v>
          </cell>
          <cell r="I48">
            <v>0</v>
          </cell>
          <cell r="K48">
            <v>6.34</v>
          </cell>
          <cell r="L48">
            <v>0.15772870662460567</v>
          </cell>
          <cell r="M48">
            <v>0</v>
          </cell>
          <cell r="O48">
            <v>0</v>
          </cell>
          <cell r="Q48">
            <v>0</v>
          </cell>
          <cell r="S48">
            <v>60004</v>
          </cell>
        </row>
        <row r="49">
          <cell r="A49" t="str">
            <v>Internal Painting</v>
          </cell>
          <cell r="B49" t="str">
            <v>sqm</v>
          </cell>
          <cell r="C49">
            <v>0</v>
          </cell>
          <cell r="E49">
            <v>0</v>
          </cell>
          <cell r="G49">
            <v>0</v>
          </cell>
          <cell r="I49">
            <v>0</v>
          </cell>
          <cell r="K49">
            <v>0</v>
          </cell>
          <cell r="M49">
            <v>1.6150000000000001E-2</v>
          </cell>
          <cell r="N49">
            <v>61.919504643962846</v>
          </cell>
          <cell r="O49">
            <v>6.9970000000000004E-2</v>
          </cell>
          <cell r="P49">
            <v>14.291839359725596</v>
          </cell>
          <cell r="Q49">
            <v>0</v>
          </cell>
          <cell r="S49">
            <v>90001</v>
          </cell>
        </row>
        <row r="50">
          <cell r="A50" t="str">
            <v>Brick Parapet</v>
          </cell>
          <cell r="B50" t="str">
            <v>sqm</v>
          </cell>
          <cell r="C50">
            <v>0.80730000000000002</v>
          </cell>
          <cell r="D50">
            <v>1.2386968908708038</v>
          </cell>
          <cell r="E50">
            <v>0.28309000000000001</v>
          </cell>
          <cell r="F50">
            <v>3.532445512027977</v>
          </cell>
          <cell r="G50">
            <v>0</v>
          </cell>
          <cell r="I50">
            <v>0</v>
          </cell>
          <cell r="K50">
            <v>0</v>
          </cell>
          <cell r="M50">
            <v>0</v>
          </cell>
          <cell r="O50">
            <v>0</v>
          </cell>
          <cell r="Q50">
            <v>0</v>
          </cell>
          <cell r="S50">
            <v>50012</v>
          </cell>
        </row>
        <row r="51">
          <cell r="A51" t="str">
            <v>Kitchen Tables</v>
          </cell>
          <cell r="B51" t="str">
            <v>sqm</v>
          </cell>
          <cell r="C51">
            <v>0.49191000000000001</v>
          </cell>
          <cell r="D51">
            <v>2.0328921957268604</v>
          </cell>
          <cell r="E51">
            <v>0.16469</v>
          </cell>
          <cell r="F51">
            <v>6.0720140870726818</v>
          </cell>
          <cell r="G51">
            <v>0</v>
          </cell>
          <cell r="I51">
            <v>0</v>
          </cell>
          <cell r="K51">
            <v>0</v>
          </cell>
          <cell r="M51">
            <v>0</v>
          </cell>
          <cell r="O51">
            <v>0</v>
          </cell>
          <cell r="Q51">
            <v>0</v>
          </cell>
          <cell r="S51">
            <v>100001</v>
          </cell>
        </row>
        <row r="52">
          <cell r="A52" t="str">
            <v>Kitchen Tiling</v>
          </cell>
          <cell r="B52" t="str">
            <v>sqm</v>
          </cell>
          <cell r="C52">
            <v>0.53820000000000001</v>
          </cell>
          <cell r="D52">
            <v>1.8580453363062059</v>
          </cell>
          <cell r="E52">
            <v>0.32291999999999998</v>
          </cell>
          <cell r="F52">
            <v>3.09674222717701</v>
          </cell>
          <cell r="G52">
            <v>0</v>
          </cell>
          <cell r="I52">
            <v>0</v>
          </cell>
          <cell r="K52">
            <v>0</v>
          </cell>
          <cell r="M52">
            <v>0</v>
          </cell>
          <cell r="O52">
            <v>0</v>
          </cell>
          <cell r="Q52">
            <v>0</v>
          </cell>
          <cell r="S52">
            <v>100002</v>
          </cell>
        </row>
        <row r="53">
          <cell r="A53" t="str">
            <v>Toilet tiling</v>
          </cell>
          <cell r="B53" t="str">
            <v>sqm</v>
          </cell>
          <cell r="C53">
            <v>0.53820000000000001</v>
          </cell>
          <cell r="D53">
            <v>1.8580453363062059</v>
          </cell>
          <cell r="E53">
            <v>0.32291999999999998</v>
          </cell>
          <cell r="F53">
            <v>3.09674222717701</v>
          </cell>
          <cell r="G53">
            <v>0</v>
          </cell>
          <cell r="I53">
            <v>0</v>
          </cell>
          <cell r="K53">
            <v>0</v>
          </cell>
          <cell r="M53">
            <v>0</v>
          </cell>
          <cell r="O53">
            <v>0</v>
          </cell>
          <cell r="Q53">
            <v>0</v>
          </cell>
          <cell r="S53">
            <v>80004</v>
          </cell>
        </row>
        <row r="54">
          <cell r="A54" t="str">
            <v>External Painting</v>
          </cell>
          <cell r="B54" t="str">
            <v>sqm</v>
          </cell>
          <cell r="C54">
            <v>0</v>
          </cell>
          <cell r="E54">
            <v>0</v>
          </cell>
          <cell r="G54">
            <v>0</v>
          </cell>
          <cell r="I54">
            <v>0</v>
          </cell>
          <cell r="K54">
            <v>0</v>
          </cell>
          <cell r="M54">
            <v>2.691E-2</v>
          </cell>
          <cell r="N54">
            <v>37.160906726124118</v>
          </cell>
          <cell r="O54">
            <v>8.0189999999999997E-2</v>
          </cell>
          <cell r="P54">
            <v>12.470382840753212</v>
          </cell>
          <cell r="Q54">
            <v>0</v>
          </cell>
          <cell r="S54">
            <v>90002</v>
          </cell>
        </row>
        <row r="55">
          <cell r="A55" t="str">
            <v>Painting Door/ Wind</v>
          </cell>
          <cell r="B55" t="str">
            <v>sqm</v>
          </cell>
          <cell r="C55">
            <v>0</v>
          </cell>
          <cell r="E55">
            <v>0</v>
          </cell>
          <cell r="G55">
            <v>0</v>
          </cell>
          <cell r="I55">
            <v>0</v>
          </cell>
          <cell r="K55">
            <v>0</v>
          </cell>
          <cell r="M55">
            <v>2.1530000000000001E-2</v>
          </cell>
          <cell r="N55">
            <v>46.446818392940081</v>
          </cell>
          <cell r="O55">
            <v>8.6110000000000006E-2</v>
          </cell>
          <cell r="P55">
            <v>11.613053071652537</v>
          </cell>
          <cell r="Q55">
            <v>0</v>
          </cell>
          <cell r="S55">
            <v>90003</v>
          </cell>
        </row>
        <row r="56">
          <cell r="A56" t="str">
            <v>Dpc</v>
          </cell>
          <cell r="B56" t="str">
            <v>rm</v>
          </cell>
          <cell r="C56">
            <v>5.2479999999999999E-2</v>
          </cell>
          <cell r="D56">
            <v>19.054878048780488</v>
          </cell>
          <cell r="E56">
            <v>5.2479999999999999E-2</v>
          </cell>
          <cell r="F56">
            <v>19.054878048780488</v>
          </cell>
          <cell r="G56">
            <v>0</v>
          </cell>
          <cell r="I56">
            <v>0</v>
          </cell>
          <cell r="K56">
            <v>0</v>
          </cell>
          <cell r="M56">
            <v>0</v>
          </cell>
          <cell r="O56">
            <v>0</v>
          </cell>
          <cell r="Q56">
            <v>0</v>
          </cell>
          <cell r="S56">
            <v>40020</v>
          </cell>
        </row>
        <row r="57">
          <cell r="A57" t="str">
            <v>Plinth Protection</v>
          </cell>
          <cell r="B57" t="str">
            <v>sqm</v>
          </cell>
          <cell r="C57">
            <v>1.1366799999999999</v>
          </cell>
          <cell r="D57">
            <v>0.87975507618678972</v>
          </cell>
          <cell r="E57">
            <v>0.39073000000000002</v>
          </cell>
          <cell r="F57">
            <v>2.5593120569190999</v>
          </cell>
          <cell r="G57">
            <v>0</v>
          </cell>
          <cell r="I57">
            <v>0</v>
          </cell>
          <cell r="K57">
            <v>0</v>
          </cell>
          <cell r="M57">
            <v>0</v>
          </cell>
          <cell r="O57">
            <v>0</v>
          </cell>
          <cell r="Q57">
            <v>0</v>
          </cell>
          <cell r="S57">
            <v>40021</v>
          </cell>
        </row>
        <row r="58">
          <cell r="A58" t="str">
            <v>Weathering course</v>
          </cell>
          <cell r="B58" t="str">
            <v>cum</v>
          </cell>
          <cell r="C58">
            <v>0.91466000000000003</v>
          </cell>
          <cell r="D58">
            <v>1.0933024293179978</v>
          </cell>
          <cell r="E58">
            <v>2.2848799999999998</v>
          </cell>
          <cell r="F58">
            <v>0.43765974580721967</v>
          </cell>
          <cell r="G58">
            <v>0</v>
          </cell>
          <cell r="I58">
            <v>0</v>
          </cell>
          <cell r="K58">
            <v>0</v>
          </cell>
          <cell r="M58">
            <v>0</v>
          </cell>
          <cell r="O58">
            <v>0</v>
          </cell>
          <cell r="Q58">
            <v>0</v>
          </cell>
          <cell r="S58">
            <v>100003</v>
          </cell>
        </row>
        <row r="59">
          <cell r="A59" t="str">
            <v>Rain water pipes</v>
          </cell>
          <cell r="B59" t="str">
            <v>rm</v>
          </cell>
          <cell r="C59">
            <v>0</v>
          </cell>
          <cell r="E59">
            <v>0</v>
          </cell>
          <cell r="G59">
            <v>0</v>
          </cell>
          <cell r="I59">
            <v>0</v>
          </cell>
          <cell r="K59">
            <v>0</v>
          </cell>
          <cell r="M59">
            <v>0</v>
          </cell>
          <cell r="O59">
            <v>9.1840000000000005E-2</v>
          </cell>
          <cell r="P59">
            <v>10.888501742160278</v>
          </cell>
          <cell r="Q59">
            <v>4.1000000000000002E-2</v>
          </cell>
          <cell r="R59">
            <v>24.390243902439025</v>
          </cell>
          <cell r="S59">
            <v>100004</v>
          </cell>
        </row>
        <row r="60">
          <cell r="A60" t="str">
            <v>Staircase</v>
          </cell>
          <cell r="B60" t="str">
            <v>cum</v>
          </cell>
          <cell r="C60">
            <v>6.3415100000000004</v>
          </cell>
          <cell r="D60">
            <v>0.15769114926886499</v>
          </cell>
          <cell r="E60">
            <v>1.4927699999999999</v>
          </cell>
          <cell r="F60">
            <v>0.66989556328168443</v>
          </cell>
          <cell r="G60">
            <v>1.12019</v>
          </cell>
          <cell r="H60">
            <v>0.8927057017113168</v>
          </cell>
          <cell r="I60">
            <v>0.74585000000000001</v>
          </cell>
          <cell r="J60">
            <v>1.3407521619628611</v>
          </cell>
          <cell r="K60">
            <v>3.7296200000000002</v>
          </cell>
          <cell r="L60">
            <v>0.26812383030979026</v>
          </cell>
          <cell r="M60">
            <v>0</v>
          </cell>
          <cell r="O60">
            <v>0</v>
          </cell>
          <cell r="Q60">
            <v>0</v>
          </cell>
          <cell r="S60">
            <v>40022</v>
          </cell>
        </row>
        <row r="61">
          <cell r="A61" t="str">
            <v>Ribbed Floor GF</v>
          </cell>
          <cell r="B61" t="str">
            <v>cum</v>
          </cell>
          <cell r="C61">
            <v>8.75</v>
          </cell>
          <cell r="D61">
            <v>0.11428571428571428</v>
          </cell>
          <cell r="E61">
            <v>0.62</v>
          </cell>
          <cell r="F61">
            <v>1.6129032258064517</v>
          </cell>
          <cell r="G61">
            <v>3.5</v>
          </cell>
          <cell r="H61">
            <v>0.2857142857142857</v>
          </cell>
          <cell r="I61">
            <v>3.5</v>
          </cell>
          <cell r="J61">
            <v>0.2857142857142857</v>
          </cell>
          <cell r="K61">
            <v>5.5</v>
          </cell>
          <cell r="L61">
            <v>0.18181818181818182</v>
          </cell>
          <cell r="M61">
            <v>0</v>
          </cell>
          <cell r="O61">
            <v>0</v>
          </cell>
          <cell r="Q61">
            <v>0</v>
          </cell>
          <cell r="S61">
            <v>40023</v>
          </cell>
        </row>
        <row r="62">
          <cell r="A62" t="str">
            <v>Ribbed Floor FF</v>
          </cell>
          <cell r="B62" t="str">
            <v>cum</v>
          </cell>
          <cell r="C62">
            <v>8.9</v>
          </cell>
          <cell r="D62">
            <v>0.11235955056179775</v>
          </cell>
          <cell r="E62">
            <v>0.74</v>
          </cell>
          <cell r="F62">
            <v>1.3513513513513513</v>
          </cell>
          <cell r="G62">
            <v>3.85</v>
          </cell>
          <cell r="H62">
            <v>0.25974025974025972</v>
          </cell>
          <cell r="I62">
            <v>3.85</v>
          </cell>
          <cell r="J62">
            <v>0.25974025974025972</v>
          </cell>
          <cell r="K62">
            <v>5.75</v>
          </cell>
          <cell r="L62">
            <v>0.17391304347826086</v>
          </cell>
          <cell r="M62">
            <v>0</v>
          </cell>
          <cell r="O62">
            <v>0</v>
          </cell>
          <cell r="Q62">
            <v>0</v>
          </cell>
          <cell r="S62">
            <v>40024</v>
          </cell>
        </row>
        <row r="63">
          <cell r="A63" t="str">
            <v>Ribbed Floor SF</v>
          </cell>
          <cell r="B63" t="str">
            <v>cum</v>
          </cell>
          <cell r="C63">
            <v>9</v>
          </cell>
          <cell r="D63">
            <v>0.1111111111111111</v>
          </cell>
          <cell r="E63">
            <v>0.74</v>
          </cell>
          <cell r="F63">
            <v>1.3513513513513513</v>
          </cell>
          <cell r="G63">
            <v>5.85</v>
          </cell>
          <cell r="H63">
            <v>0.17094017094017094</v>
          </cell>
          <cell r="I63">
            <v>5.85</v>
          </cell>
          <cell r="J63">
            <v>0.17094017094017094</v>
          </cell>
          <cell r="K63">
            <v>8.8000000000000007</v>
          </cell>
          <cell r="L63">
            <v>0.11363636363636363</v>
          </cell>
          <cell r="M63">
            <v>0</v>
          </cell>
          <cell r="O63">
            <v>0</v>
          </cell>
          <cell r="Q63">
            <v>0</v>
          </cell>
          <cell r="S63">
            <v>40025</v>
          </cell>
        </row>
        <row r="64">
          <cell r="A64" t="str">
            <v>Excavation Hard soil</v>
          </cell>
          <cell r="B64" t="str">
            <v>cum</v>
          </cell>
          <cell r="C64">
            <v>0.44500000000000001</v>
          </cell>
          <cell r="D64">
            <v>2.2471910112359552</v>
          </cell>
          <cell r="E64">
            <v>0</v>
          </cell>
          <cell r="G64">
            <v>0</v>
          </cell>
          <cell r="I64">
            <v>0</v>
          </cell>
          <cell r="K64">
            <v>0</v>
          </cell>
          <cell r="M64">
            <v>0</v>
          </cell>
          <cell r="O64">
            <v>0</v>
          </cell>
          <cell r="Q64">
            <v>0</v>
          </cell>
          <cell r="S64">
            <v>10002</v>
          </cell>
        </row>
        <row r="65">
          <cell r="A65" t="str">
            <v>Excavation -Trenches</v>
          </cell>
          <cell r="B65" t="str">
            <v>cum</v>
          </cell>
          <cell r="C65">
            <v>0.36699999999999999</v>
          </cell>
          <cell r="D65">
            <v>2.7247956403269757</v>
          </cell>
          <cell r="E65">
            <v>0</v>
          </cell>
          <cell r="G65">
            <v>0</v>
          </cell>
          <cell r="I65">
            <v>0</v>
          </cell>
          <cell r="K65">
            <v>0</v>
          </cell>
          <cell r="M65">
            <v>0</v>
          </cell>
          <cell r="O65">
            <v>0</v>
          </cell>
          <cell r="Q65">
            <v>0</v>
          </cell>
          <cell r="S65">
            <v>10003</v>
          </cell>
        </row>
        <row r="66">
          <cell r="A66" t="str">
            <v>Filling Ex. Earth</v>
          </cell>
          <cell r="B66" t="str">
            <v>cum</v>
          </cell>
          <cell r="C66">
            <v>0.23599999999999999</v>
          </cell>
          <cell r="D66">
            <v>4.2372881355932206</v>
          </cell>
          <cell r="E66">
            <v>0</v>
          </cell>
          <cell r="G66">
            <v>0</v>
          </cell>
          <cell r="I66">
            <v>0</v>
          </cell>
          <cell r="K66">
            <v>0</v>
          </cell>
          <cell r="M66">
            <v>0</v>
          </cell>
          <cell r="O66">
            <v>0</v>
          </cell>
          <cell r="Q66">
            <v>0</v>
          </cell>
          <cell r="S66">
            <v>20002</v>
          </cell>
        </row>
        <row r="67">
          <cell r="A67" t="str">
            <v>Wall Concrete</v>
          </cell>
          <cell r="B67" t="str">
            <v>cum</v>
          </cell>
          <cell r="C67">
            <v>2.2000000000000002</v>
          </cell>
          <cell r="D67">
            <v>0.45454545454545453</v>
          </cell>
          <cell r="E67">
            <v>0.15</v>
          </cell>
          <cell r="F67">
            <v>6.666666666666667</v>
          </cell>
          <cell r="G67">
            <v>1.6679999999999999</v>
          </cell>
          <cell r="H67">
            <v>0.59952038369304561</v>
          </cell>
          <cell r="I67">
            <v>1.25</v>
          </cell>
          <cell r="J67">
            <v>0.8</v>
          </cell>
          <cell r="K67">
            <v>2</v>
          </cell>
          <cell r="L67">
            <v>0.5</v>
          </cell>
          <cell r="M67">
            <v>0</v>
          </cell>
          <cell r="O67">
            <v>0</v>
          </cell>
          <cell r="Q67">
            <v>0</v>
          </cell>
          <cell r="S67">
            <v>40026</v>
          </cell>
        </row>
        <row r="68">
          <cell r="A68" t="str">
            <v>Pre Cast RC Slab</v>
          </cell>
          <cell r="B68" t="str">
            <v>cum</v>
          </cell>
          <cell r="C68">
            <v>2.1</v>
          </cell>
          <cell r="D68">
            <v>0.47619047619047616</v>
          </cell>
          <cell r="E68">
            <v>0.156</v>
          </cell>
          <cell r="F68">
            <v>6.4102564102564106</v>
          </cell>
          <cell r="G68">
            <v>2.0499999999999998</v>
          </cell>
          <cell r="H68">
            <v>0.48780487804878053</v>
          </cell>
          <cell r="I68">
            <v>1.05</v>
          </cell>
          <cell r="J68">
            <v>0.95238095238095233</v>
          </cell>
          <cell r="K68">
            <v>1.2</v>
          </cell>
          <cell r="L68">
            <v>0.83333333333333337</v>
          </cell>
          <cell r="M68">
            <v>0</v>
          </cell>
          <cell r="O68">
            <v>0</v>
          </cell>
          <cell r="Q68">
            <v>0</v>
          </cell>
          <cell r="S68">
            <v>40027</v>
          </cell>
        </row>
        <row r="69">
          <cell r="A69" t="str">
            <v>Marble Flooring</v>
          </cell>
          <cell r="B69" t="str">
            <v>sqm</v>
          </cell>
          <cell r="C69">
            <v>1.3</v>
          </cell>
          <cell r="D69">
            <v>0.76923076923076916</v>
          </cell>
          <cell r="E69">
            <v>1.42</v>
          </cell>
          <cell r="F69">
            <v>0.70422535211267612</v>
          </cell>
          <cell r="G69">
            <v>0</v>
          </cell>
          <cell r="I69">
            <v>0</v>
          </cell>
          <cell r="K69">
            <v>0</v>
          </cell>
          <cell r="M69">
            <v>0</v>
          </cell>
          <cell r="O69">
            <v>0</v>
          </cell>
          <cell r="Q69">
            <v>0</v>
          </cell>
          <cell r="S69">
            <v>80005</v>
          </cell>
        </row>
        <row r="70">
          <cell r="A70" t="str">
            <v>Granite Flooring</v>
          </cell>
          <cell r="B70" t="str">
            <v>sqm</v>
          </cell>
          <cell r="C70">
            <v>0.88</v>
          </cell>
          <cell r="D70">
            <v>1.1363636363636365</v>
          </cell>
          <cell r="E70">
            <v>0.55000000000000004</v>
          </cell>
          <cell r="F70">
            <v>1.8181818181818181</v>
          </cell>
          <cell r="G70">
            <v>0</v>
          </cell>
          <cell r="I70">
            <v>0</v>
          </cell>
          <cell r="K70">
            <v>0</v>
          </cell>
          <cell r="M70">
            <v>0</v>
          </cell>
          <cell r="O70">
            <v>0</v>
          </cell>
          <cell r="Q70">
            <v>0</v>
          </cell>
          <cell r="S70">
            <v>80006</v>
          </cell>
        </row>
        <row r="71">
          <cell r="A71" t="str">
            <v>Rikivin flooring</v>
          </cell>
          <cell r="B71" t="str">
            <v>sqm</v>
          </cell>
          <cell r="C71">
            <v>0.05</v>
          </cell>
          <cell r="D71">
            <v>20</v>
          </cell>
          <cell r="E71">
            <v>0.05</v>
          </cell>
          <cell r="F71">
            <v>20</v>
          </cell>
          <cell r="S71">
            <v>80007</v>
          </cell>
        </row>
        <row r="72">
          <cell r="A72" t="str">
            <v>Grano flooring</v>
          </cell>
          <cell r="B72" t="str">
            <v>sqm</v>
          </cell>
          <cell r="C72">
            <v>0.22500000000000001</v>
          </cell>
          <cell r="D72">
            <v>4.4444444444444446</v>
          </cell>
          <cell r="E72">
            <v>0.13500000000000001</v>
          </cell>
          <cell r="F72">
            <v>7.4074074074074066</v>
          </cell>
          <cell r="G72">
            <v>0</v>
          </cell>
          <cell r="I72">
            <v>0</v>
          </cell>
          <cell r="K72">
            <v>0</v>
          </cell>
          <cell r="M72">
            <v>0</v>
          </cell>
          <cell r="O72">
            <v>0</v>
          </cell>
          <cell r="Q72">
            <v>0</v>
          </cell>
          <cell r="S72">
            <v>80008</v>
          </cell>
        </row>
        <row r="73">
          <cell r="A73" t="str">
            <v>Granite cladding</v>
          </cell>
          <cell r="B73" t="str">
            <v>sqm</v>
          </cell>
          <cell r="C73">
            <v>2.1749999999999998</v>
          </cell>
          <cell r="D73">
            <v>0.45977011494252878</v>
          </cell>
          <cell r="E73">
            <v>0.7</v>
          </cell>
          <cell r="F73">
            <v>1.4285714285714286</v>
          </cell>
          <cell r="G73">
            <v>0</v>
          </cell>
          <cell r="I73">
            <v>0</v>
          </cell>
          <cell r="K73">
            <v>0</v>
          </cell>
          <cell r="M73">
            <v>0</v>
          </cell>
          <cell r="O73">
            <v>0</v>
          </cell>
          <cell r="Q73">
            <v>0</v>
          </cell>
          <cell r="S73">
            <v>80009</v>
          </cell>
        </row>
        <row r="74">
          <cell r="A74" t="str">
            <v>Wooden flooring</v>
          </cell>
          <cell r="B74" t="str">
            <v>sqm</v>
          </cell>
          <cell r="C74">
            <v>0.17499999999999999</v>
          </cell>
          <cell r="D74">
            <v>5.7142857142857144</v>
          </cell>
          <cell r="E74">
            <v>0</v>
          </cell>
          <cell r="G74">
            <v>0.35</v>
          </cell>
          <cell r="H74">
            <v>2.8571428571428572</v>
          </cell>
          <cell r="I74">
            <v>0</v>
          </cell>
          <cell r="K74">
            <v>0</v>
          </cell>
          <cell r="M74">
            <v>0</v>
          </cell>
          <cell r="O74">
            <v>0</v>
          </cell>
          <cell r="Q74">
            <v>0</v>
          </cell>
          <cell r="S74">
            <v>80010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
      <sheetName val="Sensitivity"/>
      <sheetName val="Assumption"/>
      <sheetName val="Tech Assumptions"/>
      <sheetName val="Location Assumptions"/>
      <sheetName val="General Assumptions"/>
      <sheetName val="BOM Assumptions"/>
      <sheetName val="COGS"/>
      <sheetName val="Capital"/>
      <sheetName val="SZ Factory Cost"/>
      <sheetName val="OperatingExpenses"/>
      <sheetName val="Industrial GridParity"/>
      <sheetName val="Sales&amp;Collections"/>
      <sheetName val="Inventory&amp;Purchases"/>
      <sheetName val="Fin Sum (10 yrs)"/>
      <sheetName val="Fin Summary (15 yrs)"/>
      <sheetName val="MthlyNPVs"/>
      <sheetName val="FreeCashFlows (10 yrs)"/>
      <sheetName val="FreeCashFlows (15 yrs)"/>
      <sheetName val="Inc St Summary"/>
      <sheetName val="Income Statement $"/>
      <sheetName val="Income Statement %"/>
      <sheetName val="HeadcountOverview"/>
      <sheetName val="Scenario Summary"/>
      <sheetName val="BOM Source"/>
      <sheetName val="Cash"/>
      <sheetName val="BS"/>
      <sheetName val="Capital Cashflow"/>
      <sheetName val="ISBL (David Chu) Ttl"/>
      <sheetName val="Summary - By work stream"/>
      <sheetName val="CashFlows"/>
      <sheetName val="ContributionMargin"/>
      <sheetName val="FinancialRatios"/>
      <sheetName val="Comparables"/>
      <sheetName val="Capitalization"/>
    </sheetNames>
    <sheetDataSet>
      <sheetData sheetId="0" refreshError="1"/>
      <sheetData sheetId="1" refreshError="1"/>
      <sheetData sheetId="2" refreshError="1"/>
      <sheetData sheetId="3" refreshError="1"/>
      <sheetData sheetId="4">
        <row r="59">
          <cell r="C59">
            <v>360</v>
          </cell>
          <cell r="D59">
            <v>360</v>
          </cell>
          <cell r="E59">
            <v>360</v>
          </cell>
          <cell r="F59">
            <v>360</v>
          </cell>
          <cell r="G59">
            <v>360</v>
          </cell>
          <cell r="H59">
            <v>360</v>
          </cell>
          <cell r="I59">
            <v>360</v>
          </cell>
          <cell r="J59">
            <v>360</v>
          </cell>
          <cell r="K59">
            <v>360</v>
          </cell>
          <cell r="L59">
            <v>360</v>
          </cell>
          <cell r="M59">
            <v>360</v>
          </cell>
          <cell r="N59">
            <v>360</v>
          </cell>
          <cell r="O59">
            <v>360</v>
          </cell>
          <cell r="P59">
            <v>360</v>
          </cell>
          <cell r="Q59">
            <v>360</v>
          </cell>
        </row>
      </sheetData>
      <sheetData sheetId="5">
        <row r="10">
          <cell r="C10">
            <v>30</v>
          </cell>
          <cell r="D10">
            <v>30</v>
          </cell>
          <cell r="E10">
            <v>30</v>
          </cell>
          <cell r="F10">
            <v>30</v>
          </cell>
          <cell r="G10">
            <v>30</v>
          </cell>
          <cell r="H10">
            <v>30</v>
          </cell>
          <cell r="I10">
            <v>30</v>
          </cell>
          <cell r="J10">
            <v>30</v>
          </cell>
          <cell r="K10">
            <v>30</v>
          </cell>
          <cell r="L10">
            <v>30</v>
          </cell>
          <cell r="M10">
            <v>30</v>
          </cell>
          <cell r="N10">
            <v>30</v>
          </cell>
          <cell r="O10">
            <v>30</v>
          </cell>
          <cell r="P10">
            <v>30</v>
          </cell>
          <cell r="Q10">
            <v>30</v>
          </cell>
        </row>
      </sheetData>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Definitions"/>
      <sheetName val="Summary Facesheet"/>
      <sheetName val="Summary Facesheet-1"/>
      <sheetName val="Summary Facesheet (VOID)"/>
      <sheetName val="Currency Tracking"/>
      <sheetName val="DPMD"/>
      <sheetName val="DPMD-1"/>
      <sheetName val="Proj Notes"/>
      <sheetName val="Contract Status Report"/>
      <sheetName val="EE Status Report"/>
      <sheetName val="CAP - E&amp;HO"/>
      <sheetName val="NON-CAP - E&amp;HO"/>
      <sheetName val="Other Exps"/>
      <sheetName val="Non cap estimate"/>
      <sheetName val="Cash Flow"/>
      <sheetName val="PCO Log  (S&amp;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8">
          <cell r="G28">
            <v>26557.561000000002</v>
          </cell>
          <cell r="I28">
            <v>26557.561000000002</v>
          </cell>
        </row>
        <row r="29">
          <cell r="G29">
            <v>166052.47871024767</v>
          </cell>
          <cell r="I29">
            <v>0</v>
          </cell>
        </row>
        <row r="52">
          <cell r="G52">
            <v>40261</v>
          </cell>
          <cell r="I52">
            <v>40261</v>
          </cell>
        </row>
        <row r="56">
          <cell r="G56">
            <v>0</v>
          </cell>
          <cell r="I56">
            <v>40654</v>
          </cell>
        </row>
        <row r="58">
          <cell r="G58">
            <v>0</v>
          </cell>
          <cell r="I58">
            <v>40754</v>
          </cell>
        </row>
      </sheetData>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
      <sheetName val="Sensitivity"/>
      <sheetName val="Assumption"/>
      <sheetName val="Tech Assumptions"/>
      <sheetName val="Location Assumptions"/>
      <sheetName val="Income Statement $"/>
      <sheetName val="OperatingExpenses"/>
      <sheetName val="General Assumptions"/>
      <sheetName val="BOM Assumptions"/>
      <sheetName val="SZ Factory Cost"/>
      <sheetName val="Industrial GridParity"/>
      <sheetName val="Capital"/>
      <sheetName val="Sales&amp;Collections"/>
      <sheetName val="COGS"/>
      <sheetName val="Fin Sum (10 yrs)"/>
      <sheetName val="Fin Summary (15 yrs)"/>
      <sheetName val="Inc St Summary"/>
      <sheetName val="MthlyNPVs"/>
      <sheetName val="BS"/>
      <sheetName val="FreeCashFlows (10 yrs)"/>
      <sheetName val="FreeCashFlows (15 yrs)"/>
      <sheetName val="Balance Sheet"/>
      <sheetName val="Income Statement %"/>
      <sheetName val="HeadcountOverview"/>
      <sheetName val="Cash"/>
      <sheetName val="Inventory&amp;Purchases"/>
      <sheetName val="Scenario Summary"/>
      <sheetName val="BOM Source"/>
      <sheetName val="CashFlows"/>
      <sheetName val="ContributionMargin"/>
      <sheetName val="FinancialRatios"/>
      <sheetName val="Comparables"/>
      <sheetName val="Capitaliz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Notes"/>
      <sheetName val="Facesheet"/>
      <sheetName val="E&amp;HO Dollars"/>
      <sheetName val="E&amp;HO Manhours Overall"/>
      <sheetName val="E&amp;HO Manhours Segment 1"/>
      <sheetName val="E&amp;HO Manhours Segment 2"/>
      <sheetName val="E&amp;HO Manhours Segment 3"/>
      <sheetName val="E&amp;HO Manhours Segment 4"/>
      <sheetName val="E&amp;HO Manhours Segment 5"/>
      <sheetName val="Change Order Log"/>
      <sheetName val="Detailed Report"/>
      <sheetName val="ITC"/>
      <sheetName val="Control Sheet"/>
      <sheetName val="Spend Out Chart"/>
      <sheetName val="Expenditure Fcst"/>
      <sheetName val="Setup"/>
      <sheetName val="Manhour Input Sheet"/>
      <sheetName val="PSR020 Input"/>
      <sheetName val="CO Details"/>
      <sheetName val="PM Notes"/>
      <sheetName val="Manhour Detail"/>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Definitions"/>
      <sheetName val="Summary Facesheet"/>
      <sheetName val="Remarks"/>
      <sheetName val="Capital"/>
      <sheetName val="Non-cap."/>
      <sheetName val="DPMD"/>
      <sheetName val="Resources"/>
      <sheetName val="Schedule"/>
      <sheetName val="Contract Status Report"/>
      <sheetName val="Process EE Report"/>
      <sheetName val="Proj Notes"/>
      <sheetName val="Fcst Ex."/>
      <sheetName val="Quotation"/>
    </sheetNames>
    <sheetDataSet>
      <sheetData sheetId="0" refreshError="1"/>
      <sheetData sheetId="1" refreshError="1"/>
      <sheetData sheetId="2" refreshError="1"/>
      <sheetData sheetId="3"/>
      <sheetData sheetId="4">
        <row r="5">
          <cell r="D5">
            <v>6.07</v>
          </cell>
        </row>
        <row r="20">
          <cell r="F20">
            <v>0</v>
          </cell>
        </row>
      </sheetData>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Tender Summary"/>
      <sheetName val="Cost summary"/>
      <sheetName val="management"/>
      <sheetName val="labour"/>
      <sheetName val="material"/>
      <sheetName val="general"/>
      <sheetName val="subcons"/>
      <sheetName val="site est"/>
      <sheetName val="hardware"/>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Definitions"/>
      <sheetName val="Authorization"/>
      <sheetName val="C0 GRZ"/>
      <sheetName val="Proj Notes"/>
      <sheetName val="FACESHEET"/>
      <sheetName val="C0 &amp; C4"/>
      <sheetName val="CAC Est"/>
      <sheetName val="Capital"/>
      <sheetName val="Non-cap"/>
      <sheetName val="Eng'd Equip."/>
      <sheetName val="C4 Eng'd Equip"/>
      <sheetName val="LS contract"/>
      <sheetName val="SZ GRZ"/>
      <sheetName val="C4 contracts"/>
      <sheetName val="Manpower Budget (new)"/>
      <sheetName val="Surcharge"/>
      <sheetName val="Manpower Budget"/>
      <sheetName val="Change Order"/>
      <sheetName val="Capital Frcst"/>
      <sheetName val="CAWC Frcst"/>
      <sheetName val="LS Detail"/>
      <sheetName val="Duty"/>
    </sheetNames>
    <sheetDataSet>
      <sheetData sheetId="0">
        <row r="6">
          <cell r="D6">
            <v>10.64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Summary"/>
      <sheetName val="CAC Est"/>
      <sheetName val="Capital"/>
      <sheetName val="Non-cap"/>
      <sheetName val="Manpower Budget"/>
      <sheetName val="Engineered equipment"/>
      <sheetName val="Duty"/>
      <sheetName val="Lump-sum contract"/>
      <sheetName val="LS Detail"/>
      <sheetName val="Civil (draft)"/>
    </sheetNames>
    <sheetDataSet>
      <sheetData sheetId="0">
        <row r="2">
          <cell r="D2">
            <v>1.52</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 Quoted"/>
      <sheetName val="To Submit"/>
      <sheetName val="Submitted"/>
      <sheetName val="Yet to Finalize"/>
      <sheetName val="EMD Details"/>
      <sheetName val="PQ"/>
      <sheetName val="BG Returned"/>
      <sheetName val="SD Details"/>
      <sheetName val="Sheet2"/>
      <sheetName val="To Submit as on 2-8-02"/>
      <sheetName val="Sheet3"/>
      <sheetName val="To Submit for RBS"/>
      <sheetName val="Tenders done Old"/>
      <sheetName val="Vol Received"/>
      <sheetName val="Yet finalize 17-11-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Definitions"/>
      <sheetName val="Summary Facesheet"/>
      <sheetName val="DPMD"/>
      <sheetName val="Proj Notes"/>
      <sheetName val="Contract Status Report"/>
      <sheetName val="EE Status Report"/>
      <sheetName val="CAP E&amp;HO"/>
      <sheetName val="CAP Spendout"/>
      <sheetName val="CAWC Spendout"/>
      <sheetName val="Currency Tracking"/>
      <sheetName val="CO Log"/>
    </sheetNames>
    <sheetDataSet>
      <sheetData sheetId="0" refreshError="1"/>
      <sheetData sheetId="1" refreshError="1"/>
      <sheetData sheetId="2" refreshError="1"/>
      <sheetData sheetId="3" refreshError="1"/>
      <sheetData sheetId="4">
        <row r="39">
          <cell r="G39">
            <v>1612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 matrix"/>
      <sheetName val="bid summary"/>
      <sheetName val="Prices for purchase"/>
      <sheetName val="Prices for rent"/>
      <sheetName val="lists"/>
    </sheetNames>
    <sheetDataSet>
      <sheetData sheetId="0"/>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Definitions"/>
      <sheetName val="Summary Facesheet"/>
      <sheetName val="Remarks"/>
      <sheetName val="Capital"/>
      <sheetName val="Non-cap."/>
      <sheetName val="DPMD"/>
      <sheetName val="Hig spot"/>
      <sheetName val="Resources"/>
      <sheetName val="Contract Status Report"/>
      <sheetName val="Lab EE Report "/>
      <sheetName val="Process EE Report"/>
      <sheetName val="Proj Notes"/>
      <sheetName val="Fcst Ex."/>
      <sheetName val="EE Status Report"/>
      <sheetName val="Resource"/>
    </sheetNames>
    <sheetDataSet>
      <sheetData sheetId="0" refreshError="1"/>
      <sheetData sheetId="1" refreshError="1"/>
      <sheetData sheetId="2" refreshError="1"/>
      <sheetData sheetId="3" refreshError="1"/>
      <sheetData sheetId="4" refreshError="1">
        <row r="11">
          <cell r="E11">
            <v>6.492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NOC-FCR Form"/>
      <sheetName val="Cost Details"/>
      <sheetName val="Contrats"/>
      <sheetName val="E&amp;HO-Changes"/>
      <sheetName val="Forms Data Upload"/>
      <sheetName val="Sheet1"/>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Lead"/>
      <sheetName val="Data"/>
    </sheetNames>
    <sheetDataSet>
      <sheetData sheetId="0" refreshError="1"/>
      <sheetData sheetId="1" refreshError="1">
        <row r="6">
          <cell r="P6">
            <v>3400</v>
          </cell>
        </row>
        <row r="8">
          <cell r="P8">
            <v>254.50000000000003</v>
          </cell>
        </row>
      </sheetData>
      <sheetData sheetId="2"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TATOR"/>
    </sheetNames>
    <definedNames>
      <definedName name="Module1.UNITOK"/>
    </definedNames>
    <sheetDataSet>
      <sheetData sheetId="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Project Database"/>
      <sheetName val="Spending"/>
      <sheetName val="FTE"/>
      <sheetName val="Tables"/>
    </sheetNames>
    <sheetDataSet>
      <sheetData sheetId="0" refreshError="1"/>
      <sheetData sheetId="1" refreshError="1"/>
      <sheetData sheetId="2" refreshError="1"/>
      <sheetData sheetId="3">
        <row r="1">
          <cell r="C1" t="str">
            <v>Project/Stage</v>
          </cell>
          <cell r="D1" t="str">
            <v>Risk</v>
          </cell>
        </row>
        <row r="2">
          <cell r="C2" t="str">
            <v>1</v>
          </cell>
          <cell r="D2">
            <v>0.02</v>
          </cell>
        </row>
        <row r="3">
          <cell r="C3" t="str">
            <v>2</v>
          </cell>
          <cell r="D3">
            <v>0.1</v>
          </cell>
        </row>
        <row r="4">
          <cell r="C4" t="str">
            <v>3</v>
          </cell>
          <cell r="D4">
            <v>0.2</v>
          </cell>
        </row>
        <row r="5">
          <cell r="C5" t="str">
            <v>4</v>
          </cell>
          <cell r="D5">
            <v>0.75</v>
          </cell>
        </row>
        <row r="6">
          <cell r="C6" t="str">
            <v>closed</v>
          </cell>
          <cell r="D6">
            <v>0</v>
          </cell>
        </row>
        <row r="7">
          <cell r="C7" t="str">
            <v>Collaboration</v>
          </cell>
          <cell r="D7">
            <v>0.5</v>
          </cell>
        </row>
        <row r="8">
          <cell r="C8" t="str">
            <v>discovery</v>
          </cell>
          <cell r="D8">
            <v>0</v>
          </cell>
        </row>
        <row r="9">
          <cell r="C9" t="str">
            <v>enabling</v>
          </cell>
          <cell r="D9">
            <v>0</v>
          </cell>
        </row>
        <row r="10">
          <cell r="C10" t="str">
            <v>Govt. Funded</v>
          </cell>
          <cell r="D10">
            <v>0</v>
          </cell>
        </row>
        <row r="11">
          <cell r="C11" t="str">
            <v>non apex</v>
          </cell>
          <cell r="D11">
            <v>0</v>
          </cell>
        </row>
      </sheetData>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son Sheng"/>
      <sheetName val="Helen Liu"/>
      <sheetName val="Sharron_R&amp;D"/>
      <sheetName val="Sharron"/>
      <sheetName val="Tony Shao"/>
      <sheetName val="David Zuo"/>
      <sheetName val="Sabrina"/>
      <sheetName val="CPC-Sophia"/>
      <sheetName val="DPCC-Sophia"/>
      <sheetName val="STC-Sophia"/>
      <sheetName val="information"/>
      <sheetName val="Sheet1"/>
      <sheetName val="Sheet3"/>
      <sheetName val="Sharron_CR&amp;D"/>
      <sheetName val="DPC-Sophia"/>
      <sheetName val="SOPHIA 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urve "/>
      <sheetName val="ds"/>
      <sheetName val="sc-3MLAG"/>
      <sheetName val="OS"/>
      <sheetName val="ds (2)"/>
      <sheetName val="scurve(2)"/>
      <sheetName val="JUN-SEP99"/>
      <sheetName val="BOQ"/>
      <sheetName val="rewtd"/>
      <sheetName val="SOC "/>
      <sheetName val="3MLKQ "/>
      <sheetName val="CAR"/>
    </sheetNames>
    <sheetDataSet>
      <sheetData sheetId="0" refreshError="1"/>
      <sheetData sheetId="1" refreshError="1"/>
      <sheetData sheetId="2" refreshError="1"/>
      <sheetData sheetId="3" refreshError="1"/>
      <sheetData sheetId="4" refreshError="1"/>
      <sheetData sheetId="5" refreshError="1">
        <row r="3">
          <cell r="B3" t="str">
            <v>PRODUCT JETTY  (7600)</v>
          </cell>
        </row>
        <row r="5">
          <cell r="D5" t="str">
            <v xml:space="preserve">Wtd </v>
          </cell>
          <cell r="E5" t="str">
            <v>%</v>
          </cell>
          <cell r="F5" t="str">
            <v>Wtd %</v>
          </cell>
          <cell r="G5">
            <v>1997</v>
          </cell>
          <cell r="P5">
            <v>1999</v>
          </cell>
          <cell r="AB5">
            <v>2000</v>
          </cell>
        </row>
        <row r="6">
          <cell r="B6" t="str">
            <v>SL.NO.</v>
          </cell>
          <cell r="C6" t="str">
            <v>ACTIVITY</v>
          </cell>
          <cell r="D6" t="str">
            <v xml:space="preserve">  %</v>
          </cell>
          <cell r="E6" t="str">
            <v>COMP</v>
          </cell>
          <cell r="F6" t="str">
            <v xml:space="preserve"> COMP</v>
          </cell>
          <cell r="G6" t="str">
            <v>FEB</v>
          </cell>
          <cell r="H6" t="str">
            <v>MAR</v>
          </cell>
          <cell r="I6" t="str">
            <v>APR</v>
          </cell>
          <cell r="J6" t="str">
            <v>JUN</v>
          </cell>
          <cell r="K6" t="str">
            <v>JUL</v>
          </cell>
          <cell r="L6" t="str">
            <v>SEP</v>
          </cell>
          <cell r="M6" t="str">
            <v>OCT</v>
          </cell>
          <cell r="N6" t="str">
            <v>NOV</v>
          </cell>
          <cell r="O6" t="str">
            <v>DEC</v>
          </cell>
          <cell r="P6" t="str">
            <v>JAN</v>
          </cell>
          <cell r="Q6" t="str">
            <v>FEB</v>
          </cell>
          <cell r="R6" t="str">
            <v>MAR</v>
          </cell>
          <cell r="S6" t="str">
            <v>APR</v>
          </cell>
          <cell r="T6" t="str">
            <v>MAY</v>
          </cell>
          <cell r="U6" t="str">
            <v>JUN</v>
          </cell>
          <cell r="V6" t="str">
            <v>JUL</v>
          </cell>
          <cell r="W6" t="str">
            <v>AUG</v>
          </cell>
          <cell r="X6" t="str">
            <v>SEP</v>
          </cell>
          <cell r="Y6" t="str">
            <v>OCT</v>
          </cell>
          <cell r="Z6" t="str">
            <v>NOV</v>
          </cell>
          <cell r="AA6" t="str">
            <v>DEC</v>
          </cell>
          <cell r="AB6" t="str">
            <v>JAN</v>
          </cell>
          <cell r="AC6" t="str">
            <v>FEB</v>
          </cell>
          <cell r="AD6" t="str">
            <v>MAR</v>
          </cell>
        </row>
        <row r="8">
          <cell r="B8" t="str">
            <v>1</v>
          </cell>
          <cell r="C8" t="str">
            <v>Marine Works -                  Onshore</v>
          </cell>
          <cell r="D8">
            <v>6.1861306270128296</v>
          </cell>
          <cell r="E8">
            <v>83.403021535610506</v>
          </cell>
          <cell r="F8">
            <v>5.1594198590685068</v>
          </cell>
        </row>
        <row r="9">
          <cell r="B9" t="str">
            <v>2</v>
          </cell>
          <cell r="C9" t="str">
            <v>Onshore Facilities</v>
          </cell>
          <cell r="D9">
            <v>57.285926078491897</v>
          </cell>
          <cell r="E9">
            <v>6.4739486087680849</v>
          </cell>
          <cell r="F9">
            <v>3.7086614143784398</v>
          </cell>
        </row>
        <row r="10">
          <cell r="B10" t="str">
            <v>3</v>
          </cell>
          <cell r="C10" t="str">
            <v>Central Platform -                Marine Works</v>
          </cell>
          <cell r="D10">
            <v>4.4522183301060991</v>
          </cell>
          <cell r="E10">
            <v>69.667681423740774</v>
          </cell>
          <cell r="F10">
            <v>3.1017572825077084</v>
          </cell>
        </row>
        <row r="11">
          <cell r="B11" t="str">
            <v>4</v>
          </cell>
          <cell r="C11" t="str">
            <v>Central Platform &amp; Approach Jetty -Other works</v>
          </cell>
          <cell r="D11">
            <v>1.5700011743068509</v>
          </cell>
          <cell r="E11">
            <v>0</v>
          </cell>
          <cell r="F11">
            <v>0</v>
          </cell>
        </row>
        <row r="12">
          <cell r="B12" t="str">
            <v>5</v>
          </cell>
          <cell r="C12" t="str">
            <v>Approach Jetty  - Marine Works</v>
          </cell>
          <cell r="D12">
            <v>15.473636573747671</v>
          </cell>
          <cell r="E12">
            <v>17.562023220964704</v>
          </cell>
          <cell r="F12">
            <v>2.717483648209253</v>
          </cell>
        </row>
        <row r="13">
          <cell r="B13" t="str">
            <v>6</v>
          </cell>
          <cell r="C13" t="str">
            <v>Breasting Dolphins - Marine Works</v>
          </cell>
          <cell r="D13">
            <v>4.8871313424347225</v>
          </cell>
          <cell r="E13">
            <v>30.22412634344116</v>
          </cell>
          <cell r="F13">
            <v>1.4770927515073826</v>
          </cell>
        </row>
        <row r="14">
          <cell r="B14" t="str">
            <v>7</v>
          </cell>
          <cell r="C14" t="str">
            <v>Mooring Dolphins 1&amp; 2 - Marine Works</v>
          </cell>
          <cell r="D14">
            <v>3.902991048639342</v>
          </cell>
          <cell r="E14">
            <v>27.006853490001582</v>
          </cell>
          <cell r="F14">
            <v>1.0540750742339033</v>
          </cell>
        </row>
        <row r="15">
          <cell r="B15" t="str">
            <v>8</v>
          </cell>
          <cell r="C15" t="str">
            <v>Mooring Dolphins 3&amp; 4 - Marine Works</v>
          </cell>
          <cell r="D15">
            <v>3.8779910299401879</v>
          </cell>
          <cell r="E15">
            <v>45.982348036211015</v>
          </cell>
          <cell r="F15">
            <v>1.7831913322001411</v>
          </cell>
        </row>
        <row r="16">
          <cell r="B16" t="str">
            <v>9</v>
          </cell>
          <cell r="C16" t="str">
            <v>Walkway -                           Marine Works</v>
          </cell>
          <cell r="D16">
            <v>2.3634734592778788</v>
          </cell>
          <cell r="E16">
            <v>0</v>
          </cell>
          <cell r="F16">
            <v>0</v>
          </cell>
        </row>
        <row r="19">
          <cell r="B19" t="str">
            <v>WEIGHTED OVERALL %</v>
          </cell>
          <cell r="D19">
            <v>99.999499663957494</v>
          </cell>
          <cell r="F19">
            <v>19.001681362105334</v>
          </cell>
        </row>
        <row r="20">
          <cell r="C20" t="str">
            <v>PLANNED %</v>
          </cell>
          <cell r="P20">
            <v>12.715684000000001</v>
          </cell>
          <cell r="Q20">
            <v>15.559784000000001</v>
          </cell>
          <cell r="R20">
            <v>19.385183999999999</v>
          </cell>
          <cell r="S20">
            <v>27.603899999999999</v>
          </cell>
          <cell r="T20">
            <v>36.933599999999998</v>
          </cell>
          <cell r="U20">
            <v>46.4788</v>
          </cell>
          <cell r="V20">
            <v>56.558700000000002</v>
          </cell>
          <cell r="W20">
            <v>66.986999999999995</v>
          </cell>
          <cell r="X20">
            <v>77.145199999999988</v>
          </cell>
          <cell r="Y20">
            <v>85.70089999999999</v>
          </cell>
          <cell r="Z20">
            <v>91.8399</v>
          </cell>
          <cell r="AA20">
            <v>96.258600000000001</v>
          </cell>
          <cell r="AB20">
            <v>98.197100000000006</v>
          </cell>
          <cell r="AC20">
            <v>100.00999999999999</v>
          </cell>
        </row>
        <row r="21">
          <cell r="C21" t="str">
            <v>ACTUAL %</v>
          </cell>
          <cell r="H21">
            <v>0.17</v>
          </cell>
          <cell r="I21">
            <v>0.89</v>
          </cell>
          <cell r="J21">
            <v>2.39</v>
          </cell>
          <cell r="K21">
            <v>3.95</v>
          </cell>
          <cell r="L21">
            <v>4.8</v>
          </cell>
          <cell r="M21">
            <v>5.3</v>
          </cell>
          <cell r="N21">
            <v>6.5650000000000004</v>
          </cell>
          <cell r="O21">
            <v>8.0340000000000007</v>
          </cell>
          <cell r="P21">
            <v>9.4</v>
          </cell>
          <cell r="Q21">
            <v>11.3</v>
          </cell>
          <cell r="R21">
            <v>12.9</v>
          </cell>
        </row>
        <row r="22">
          <cell r="C22" t="str">
            <v>SCH.MANPOWER</v>
          </cell>
          <cell r="Q22">
            <v>228.52799999999999</v>
          </cell>
          <cell r="R22">
            <v>307.03199999999998</v>
          </cell>
          <cell r="S22">
            <v>658.49727999999993</v>
          </cell>
          <cell r="T22">
            <v>747.37600000000009</v>
          </cell>
          <cell r="U22">
            <v>764.61599999999999</v>
          </cell>
          <cell r="V22">
            <v>807.39200000000005</v>
          </cell>
          <cell r="W22">
            <v>835.26400000000024</v>
          </cell>
          <cell r="X22">
            <v>813.65600000000018</v>
          </cell>
          <cell r="Y22">
            <v>685.45600000000002</v>
          </cell>
          <cell r="Z22">
            <v>492.11999999999995</v>
          </cell>
          <cell r="AA22">
            <v>354.49600000000009</v>
          </cell>
          <cell r="AB22">
            <v>156.08000000000001</v>
          </cell>
          <cell r="AC22">
            <v>146.03200000000001</v>
          </cell>
        </row>
        <row r="23">
          <cell r="C23" t="str">
            <v>ACT.MANPOWER</v>
          </cell>
          <cell r="H23">
            <v>30</v>
          </cell>
          <cell r="I23">
            <v>50</v>
          </cell>
          <cell r="J23" t="str">
            <v>-</v>
          </cell>
          <cell r="K23">
            <v>595</v>
          </cell>
          <cell r="L23">
            <v>240</v>
          </cell>
          <cell r="M23">
            <v>180</v>
          </cell>
          <cell r="N23">
            <v>367.5</v>
          </cell>
          <cell r="O23">
            <v>332.08333333333331</v>
          </cell>
        </row>
        <row r="25">
          <cell r="C25" t="str">
            <v>SCH.PROGRESS</v>
          </cell>
          <cell r="E25" t="str">
            <v xml:space="preserve"> </v>
          </cell>
          <cell r="F25">
            <v>3</v>
          </cell>
          <cell r="J25">
            <v>36174</v>
          </cell>
          <cell r="V25" t="str">
            <v>PRODUCT JETTY - UNIT 7600</v>
          </cell>
        </row>
        <row r="26">
          <cell r="C26" t="str">
            <v xml:space="preserve"> ACT.PROGRESS</v>
          </cell>
          <cell r="F26">
            <v>2</v>
          </cell>
          <cell r="J26">
            <v>36047</v>
          </cell>
          <cell r="V26" t="str">
            <v>OVERALL CONSTRUCTION S - CURVE</v>
          </cell>
        </row>
        <row r="27">
          <cell r="C27" t="str">
            <v>SCH.MANPOWER</v>
          </cell>
          <cell r="F27">
            <v>1</v>
          </cell>
          <cell r="J27">
            <v>35819</v>
          </cell>
          <cell r="V27" t="str">
            <v>ESSAR OIL LIMITED - INDIA</v>
          </cell>
        </row>
        <row r="28">
          <cell r="F28" t="str">
            <v>REV.</v>
          </cell>
          <cell r="G28" t="str">
            <v>PREPARED BY</v>
          </cell>
          <cell r="J28" t="str">
            <v>DATE</v>
          </cell>
          <cell r="L28" t="str">
            <v>CHECKED BY</v>
          </cell>
          <cell r="O28" t="str">
            <v>DATE</v>
          </cell>
          <cell r="Q28" t="str">
            <v>APPROVED BY</v>
          </cell>
          <cell r="T28" t="str">
            <v>DATE</v>
          </cell>
          <cell r="V28" t="str">
            <v>31 MARCH 2000 OILIN</v>
          </cell>
          <cell r="Y28" t="str">
            <v>DEPT:</v>
          </cell>
          <cell r="AA28" t="str">
            <v>STATUS AS OF 31 MAR 99</v>
          </cell>
        </row>
      </sheetData>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revtrgt"/>
    </sheetNames>
    <sheetDataSet>
      <sheetData sheetId="0" refreshError="1">
        <row r="3">
          <cell r="B3" t="str">
            <v>PRODUCT JETTY  (7600)</v>
          </cell>
        </row>
        <row r="5">
          <cell r="D5" t="str">
            <v xml:space="preserve">Wtd </v>
          </cell>
          <cell r="E5" t="str">
            <v>%</v>
          </cell>
          <cell r="F5" t="str">
            <v>Wtd %</v>
          </cell>
          <cell r="G5">
            <v>1998</v>
          </cell>
          <cell r="R5">
            <v>1999</v>
          </cell>
        </row>
        <row r="6">
          <cell r="B6" t="str">
            <v>SL.NO.</v>
          </cell>
          <cell r="C6" t="str">
            <v>ACTIVITY</v>
          </cell>
          <cell r="D6" t="str">
            <v xml:space="preserve">  %</v>
          </cell>
          <cell r="E6" t="str">
            <v>COMP</v>
          </cell>
          <cell r="F6" t="str">
            <v xml:space="preserve"> COMP</v>
          </cell>
          <cell r="G6" t="str">
            <v>FEB</v>
          </cell>
          <cell r="H6" t="str">
            <v>MAR</v>
          </cell>
          <cell r="I6" t="str">
            <v>APR</v>
          </cell>
          <cell r="J6" t="str">
            <v>MAY</v>
          </cell>
          <cell r="K6" t="str">
            <v>JUN</v>
          </cell>
          <cell r="L6" t="str">
            <v>JUL</v>
          </cell>
          <cell r="M6" t="str">
            <v>AUG</v>
          </cell>
          <cell r="N6" t="str">
            <v>SEP</v>
          </cell>
          <cell r="O6" t="str">
            <v>OCT</v>
          </cell>
          <cell r="P6" t="str">
            <v>NOV</v>
          </cell>
          <cell r="Q6" t="str">
            <v>DEC</v>
          </cell>
          <cell r="R6" t="str">
            <v>JAN</v>
          </cell>
          <cell r="S6" t="str">
            <v>FEB</v>
          </cell>
          <cell r="T6" t="str">
            <v>MAR</v>
          </cell>
          <cell r="U6" t="str">
            <v>APR</v>
          </cell>
          <cell r="V6" t="str">
            <v>MAY</v>
          </cell>
          <cell r="W6" t="str">
            <v>JUN</v>
          </cell>
          <cell r="X6" t="str">
            <v>JUL</v>
          </cell>
          <cell r="Y6" t="str">
            <v>AUG</v>
          </cell>
          <cell r="Z6" t="str">
            <v>SEP</v>
          </cell>
        </row>
        <row r="8">
          <cell r="B8" t="str">
            <v>1</v>
          </cell>
          <cell r="C8" t="str">
            <v>Marine Works -                  Onshore</v>
          </cell>
          <cell r="D8">
            <v>3.34</v>
          </cell>
          <cell r="E8">
            <v>45.508982035928149</v>
          </cell>
          <cell r="F8">
            <v>1.52</v>
          </cell>
        </row>
        <row r="9">
          <cell r="B9" t="str">
            <v>2</v>
          </cell>
          <cell r="C9" t="str">
            <v>Onshore Facilities</v>
          </cell>
          <cell r="D9">
            <v>43.99</v>
          </cell>
          <cell r="E9">
            <v>5.4103205273925887</v>
          </cell>
          <cell r="F9">
            <v>2.38</v>
          </cell>
        </row>
        <row r="10">
          <cell r="B10" t="str">
            <v>3</v>
          </cell>
          <cell r="C10" t="str">
            <v>Central Platform -                Marine Works</v>
          </cell>
          <cell r="D10">
            <v>4.1100000000000003</v>
          </cell>
          <cell r="E10">
            <v>1.21654501216545</v>
          </cell>
          <cell r="F10">
            <v>0.05</v>
          </cell>
        </row>
        <row r="11">
          <cell r="B11" t="str">
            <v>4</v>
          </cell>
          <cell r="C11" t="str">
            <v>Central Platform -              Other works</v>
          </cell>
          <cell r="D11">
            <v>17.73</v>
          </cell>
        </row>
        <row r="12">
          <cell r="B12" t="str">
            <v>5</v>
          </cell>
          <cell r="C12" t="str">
            <v>Approach Jetty to Platform - Marine Works</v>
          </cell>
          <cell r="D12">
            <v>7.96</v>
          </cell>
          <cell r="E12">
            <v>5.7788944723618094</v>
          </cell>
          <cell r="F12">
            <v>0.46</v>
          </cell>
        </row>
        <row r="13">
          <cell r="B13" t="str">
            <v>6</v>
          </cell>
          <cell r="C13" t="str">
            <v>Approach Jetty to Platform - Other Works</v>
          </cell>
          <cell r="D13">
            <v>3.11</v>
          </cell>
        </row>
        <row r="14">
          <cell r="B14" t="str">
            <v>7</v>
          </cell>
          <cell r="C14" t="str">
            <v>Breasting Dolphins - Marine Works</v>
          </cell>
          <cell r="D14">
            <v>5.39</v>
          </cell>
        </row>
        <row r="15">
          <cell r="B15" t="str">
            <v>8</v>
          </cell>
          <cell r="C15" t="str">
            <v>Mooring Dolphins 1&amp; 2 - Marine Works</v>
          </cell>
          <cell r="D15">
            <v>6.16</v>
          </cell>
        </row>
        <row r="16">
          <cell r="B16" t="str">
            <v>9</v>
          </cell>
          <cell r="C16" t="str">
            <v>Mooring Dolphins 3&amp; 4 - Marine Works</v>
          </cell>
          <cell r="D16">
            <v>4.3600000000000003</v>
          </cell>
        </row>
        <row r="17">
          <cell r="B17" t="str">
            <v>10</v>
          </cell>
          <cell r="C17" t="str">
            <v>Walkway -                           Marine Works</v>
          </cell>
          <cell r="D17">
            <v>3.85</v>
          </cell>
        </row>
        <row r="20">
          <cell r="B20" t="str">
            <v>WEIGHTED OVERALL %</v>
          </cell>
          <cell r="D20">
            <v>99.999999999999986</v>
          </cell>
          <cell r="F20">
            <v>4.41</v>
          </cell>
        </row>
        <row r="21">
          <cell r="C21" t="str">
            <v>PLANNED %</v>
          </cell>
          <cell r="M21">
            <v>4.3894599999999997</v>
          </cell>
          <cell r="N21">
            <v>8.2471999999999994</v>
          </cell>
          <cell r="O21">
            <v>13.4221</v>
          </cell>
          <cell r="P21">
            <v>19.3918</v>
          </cell>
          <cell r="Q21">
            <v>23.442499999999999</v>
          </cell>
          <cell r="R21">
            <v>31.723600000000005</v>
          </cell>
          <cell r="S21">
            <v>44.155700000000003</v>
          </cell>
          <cell r="T21">
            <v>57.589299999999994</v>
          </cell>
          <cell r="U21">
            <v>71.812300000000008</v>
          </cell>
          <cell r="V21">
            <v>84.773599999999988</v>
          </cell>
          <cell r="W21">
            <v>94.648499999999999</v>
          </cell>
          <cell r="X21">
            <v>99.447800000000001</v>
          </cell>
          <cell r="Y21">
            <v>100</v>
          </cell>
        </row>
        <row r="22">
          <cell r="C22" t="str">
            <v>ACTUAL %</v>
          </cell>
          <cell r="H22">
            <v>0.17</v>
          </cell>
          <cell r="I22">
            <v>0.89</v>
          </cell>
          <cell r="J22">
            <v>2.39</v>
          </cell>
          <cell r="K22">
            <v>2.39</v>
          </cell>
          <cell r="L22">
            <v>3.95</v>
          </cell>
          <cell r="M22">
            <v>4.41</v>
          </cell>
        </row>
        <row r="23">
          <cell r="C23" t="str">
            <v>SCH.MANPOWER</v>
          </cell>
          <cell r="H23">
            <v>14.0768</v>
          </cell>
          <cell r="I23">
            <v>46.070240000000005</v>
          </cell>
          <cell r="J23">
            <v>130.67215999999999</v>
          </cell>
          <cell r="K23">
            <v>0</v>
          </cell>
          <cell r="L23">
            <v>90.059200000000004</v>
          </cell>
          <cell r="M23">
            <v>70.278400000000005</v>
          </cell>
          <cell r="N23">
            <v>308.61920000000003</v>
          </cell>
          <cell r="O23">
            <v>413.99200000000002</v>
          </cell>
          <cell r="P23">
            <v>477.57600000000002</v>
          </cell>
          <cell r="Q23">
            <v>508.44799999999998</v>
          </cell>
          <cell r="R23">
            <v>662.48799999999994</v>
          </cell>
          <cell r="S23">
            <v>810.17600000000004</v>
          </cell>
          <cell r="T23">
            <v>1074.6880000000001</v>
          </cell>
          <cell r="U23">
            <v>1137.8399999999999</v>
          </cell>
          <cell r="V23">
            <v>1036.904</v>
          </cell>
          <cell r="W23">
            <v>789.99199999999996</v>
          </cell>
          <cell r="X23">
            <v>383.94400000000002</v>
          </cell>
          <cell r="Y23">
            <v>44.175999999999995</v>
          </cell>
        </row>
        <row r="24">
          <cell r="C24" t="str">
            <v>ACT.MANPOWER</v>
          </cell>
          <cell r="H24">
            <v>30</v>
          </cell>
          <cell r="I24">
            <v>50</v>
          </cell>
          <cell r="J24">
            <v>90</v>
          </cell>
          <cell r="K24" t="str">
            <v>-</v>
          </cell>
          <cell r="L24">
            <v>595</v>
          </cell>
          <cell r="M24">
            <v>300</v>
          </cell>
        </row>
        <row r="26">
          <cell r="C26" t="str">
            <v>SCH.PROGRESS</v>
          </cell>
          <cell r="E26" t="str">
            <v xml:space="preserve"> </v>
          </cell>
          <cell r="R26" t="str">
            <v xml:space="preserve">PRODUCT JETTY </v>
          </cell>
        </row>
        <row r="27">
          <cell r="C27" t="str">
            <v xml:space="preserve"> ACT.PROGRESS</v>
          </cell>
          <cell r="F27">
            <v>2</v>
          </cell>
          <cell r="G27">
            <v>36047</v>
          </cell>
          <cell r="R27" t="str">
            <v>OVERALL CONSTRUCTION S- CURVE</v>
          </cell>
        </row>
        <row r="28">
          <cell r="C28" t="str">
            <v>SCH.MANPOWER</v>
          </cell>
          <cell r="F28">
            <v>1</v>
          </cell>
          <cell r="G28">
            <v>35819</v>
          </cell>
          <cell r="R28" t="str">
            <v>ESSAR OIL LIMITED - INDIA</v>
          </cell>
        </row>
        <row r="29">
          <cell r="F29" t="str">
            <v>REV.</v>
          </cell>
          <cell r="G29" t="str">
            <v>DATE</v>
          </cell>
          <cell r="I29" t="str">
            <v>PREPARED BY</v>
          </cell>
          <cell r="L29" t="str">
            <v>CHECKED BY</v>
          </cell>
          <cell r="O29" t="str">
            <v>APPROVED BY</v>
          </cell>
          <cell r="R29" t="str">
            <v>JOB.NO.0-7988</v>
          </cell>
          <cell r="U29" t="str">
            <v>DEPT:</v>
          </cell>
          <cell r="W29" t="str">
            <v>STATUS AS OF 31 AUG 98</v>
          </cell>
        </row>
      </sheetData>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NK3"/>
    </sheetNames>
    <definedNames>
      <definedName name="UNITOK"/>
    </definedNames>
    <sheetDataSet>
      <sheetData sheetId="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Project Cost"/>
      <sheetName val="Capex sum"/>
      <sheetName val="Cost"/>
      <sheetName val="Cost steady"/>
      <sheetName val="P&amp; L BS"/>
      <sheetName val="Assumptions"/>
      <sheetName val="Production"/>
      <sheetName val="Debt"/>
      <sheetName val="Depr"/>
      <sheetName val="Sheet1"/>
      <sheetName val="Flow"/>
    </sheetNames>
    <sheetDataSet>
      <sheetData sheetId="0" refreshError="1"/>
      <sheetData sheetId="1" refreshError="1"/>
      <sheetData sheetId="2" refreshError="1"/>
      <sheetData sheetId="3" refreshError="1"/>
      <sheetData sheetId="4" refreshError="1"/>
      <sheetData sheetId="5" refreshError="1"/>
      <sheetData sheetId="6" refreshError="1">
        <row r="14">
          <cell r="F14">
            <v>45</v>
          </cell>
        </row>
      </sheetData>
      <sheetData sheetId="7" refreshError="1"/>
      <sheetData sheetId="8" refreshError="1"/>
      <sheetData sheetId="9" refreshError="1"/>
      <sheetData sheetId="10" refreshError="1"/>
      <sheetData sheetId="11"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rief"/>
      <sheetName val="Authorization"/>
      <sheetName val="IVGA Summary (USD)"/>
      <sheetName val="IVGA Summary(TWD)"/>
      <sheetName val="Capital"/>
      <sheetName val="Non-cap"/>
      <sheetName val="Resource"/>
    </sheetNames>
    <sheetDataSet>
      <sheetData sheetId="0" refreshError="1">
        <row r="2">
          <cell r="D2">
            <v>95.424199999999999</v>
          </cell>
        </row>
        <row r="3">
          <cell r="D3">
            <v>31.919799999999999</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 cost sum"/>
      <sheetName val="Euip.list"/>
      <sheetName val="LS contracts"/>
      <sheetName val="Non-capital"/>
      <sheetName val="1st PPA forcast"/>
      <sheetName val="Exchange Rate"/>
    </sheetNames>
    <sheetDataSet>
      <sheetData sheetId="0" refreshError="1"/>
      <sheetData sheetId="1"/>
      <sheetData sheetId="2" refreshError="1"/>
      <sheetData sheetId="3" refreshError="1"/>
      <sheetData sheetId="4" refreshError="1"/>
      <sheetData sheetId="5"/>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광통신 견적내역서1"/>
    </sheetNames>
    <sheetDataSet>
      <sheetData sheetId="0"/>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PV summ"/>
      <sheetName val="NPV"/>
      <sheetName val="NPV NTE"/>
      <sheetName val="NPV-Plan19 Fx scenario"/>
      <sheetName val="NPV high"/>
      <sheetName val="high NTE"/>
      <sheetName val="NPV low"/>
      <sheetName val="low NTE"/>
      <sheetName val="THE BIBLE"/>
      <sheetName val="LIBRA tactical"/>
      <sheetName val="MANUF PLAN"/>
      <sheetName val="capex&amp;depr"/>
      <sheetName val="revex"/>
      <sheetName val="savings"/>
      <sheetName val="savings2"/>
      <sheetName val="savings high"/>
      <sheetName val="savings best"/>
      <sheetName val="savings low"/>
      <sheetName val="savings worst"/>
      <sheetName val="Opportunities"/>
      <sheetName val="version log"/>
      <sheetName val="fx occ"/>
    </sheetNames>
    <sheetDataSet>
      <sheetData sheetId="0"/>
      <sheetData sheetId="1">
        <row r="47">
          <cell r="C47">
            <v>57.543914535524245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s"/>
      <sheetName val="low case"/>
      <sheetName val="high case"/>
      <sheetName val="Central FM"/>
      <sheetName val="FM-usd"/>
      <sheetName val="tax"/>
      <sheetName val="Assumptions"/>
      <sheetName val="Inputs"/>
      <sheetName val="Total Summary"/>
      <sheetName val="3P and Storage cpls"/>
      <sheetName val="Volumes"/>
      <sheetName val="Vol transition"/>
      <sheetName val="Formulation"/>
      <sheetName val="Volume Migration assum"/>
      <sheetName val="Raw Material Overview"/>
      <sheetName val="Cost Breakdown"/>
      <sheetName val="Capital Expenditure"/>
      <sheetName val="Plants"/>
      <sheetName val="PL"/>
      <sheetName val="NPV"/>
      <sheetName val="Depr"/>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77784-5FBA-4E52-851E-BEBA45B6EDA7}">
  <sheetPr>
    <tabColor theme="0" tint="-0.499984740745262"/>
  </sheetPr>
  <dimension ref="B1:C31"/>
  <sheetViews>
    <sheetView showGridLines="0" zoomScale="110" zoomScaleNormal="110" workbookViewId="0"/>
  </sheetViews>
  <sheetFormatPr defaultRowHeight="15"/>
  <cols>
    <col min="1" max="1" width="3.140625" style="103" customWidth="1"/>
    <col min="2" max="2" width="5.7109375" style="103" customWidth="1"/>
    <col min="3" max="3" width="194.85546875" style="103" bestFit="1" customWidth="1"/>
    <col min="4" max="16384" width="9.140625" style="103"/>
  </cols>
  <sheetData>
    <row r="1" spans="2:3" ht="6.75" customHeight="1"/>
    <row r="2" spans="2:3" ht="16.5">
      <c r="B2" s="105" t="s">
        <v>218</v>
      </c>
    </row>
    <row r="3" spans="2:3" ht="6.75" customHeight="1"/>
    <row r="4" spans="2:3" ht="15.75" customHeight="1">
      <c r="B4" s="104" t="s">
        <v>201</v>
      </c>
      <c r="C4" s="103" t="s">
        <v>460</v>
      </c>
    </row>
    <row r="5" spans="2:3" ht="15.75" customHeight="1">
      <c r="B5" s="104" t="s">
        <v>202</v>
      </c>
      <c r="C5" s="103" t="s">
        <v>601</v>
      </c>
    </row>
    <row r="6" spans="2:3" ht="15.75" customHeight="1">
      <c r="B6" s="104" t="s">
        <v>203</v>
      </c>
      <c r="C6" s="103" t="s">
        <v>449</v>
      </c>
    </row>
    <row r="7" spans="2:3" ht="15.75" customHeight="1">
      <c r="B7" s="104" t="s">
        <v>204</v>
      </c>
      <c r="C7" s="103" t="s">
        <v>216</v>
      </c>
    </row>
    <row r="8" spans="2:3" ht="15.75" customHeight="1">
      <c r="C8" s="103" t="s">
        <v>430</v>
      </c>
    </row>
    <row r="9" spans="2:3" ht="15.75" customHeight="1">
      <c r="B9" s="104" t="s">
        <v>205</v>
      </c>
      <c r="C9" s="103" t="s">
        <v>603</v>
      </c>
    </row>
    <row r="10" spans="2:3" ht="15.75" customHeight="1">
      <c r="B10" s="104" t="s">
        <v>206</v>
      </c>
      <c r="C10" s="103" t="s">
        <v>467</v>
      </c>
    </row>
    <row r="11" spans="2:3" ht="15.75" customHeight="1">
      <c r="B11" s="104"/>
      <c r="C11" s="103" t="s">
        <v>468</v>
      </c>
    </row>
    <row r="12" spans="2:3" ht="15.75" customHeight="1">
      <c r="B12" s="104" t="s">
        <v>207</v>
      </c>
      <c r="C12" s="103" t="s">
        <v>472</v>
      </c>
    </row>
    <row r="13" spans="2:3" ht="15.75" customHeight="1">
      <c r="B13" s="104" t="s">
        <v>208</v>
      </c>
      <c r="C13" s="103" t="s">
        <v>269</v>
      </c>
    </row>
    <row r="14" spans="2:3" ht="15.75" customHeight="1">
      <c r="B14" s="104" t="s">
        <v>209</v>
      </c>
      <c r="C14" s="103" t="s">
        <v>469</v>
      </c>
    </row>
    <row r="15" spans="2:3" ht="15.75" customHeight="1">
      <c r="B15" s="104" t="s">
        <v>210</v>
      </c>
      <c r="C15" s="103" t="s">
        <v>217</v>
      </c>
    </row>
    <row r="16" spans="2:3" ht="15.75" customHeight="1">
      <c r="B16" s="104" t="s">
        <v>211</v>
      </c>
      <c r="C16" s="103" t="s">
        <v>470</v>
      </c>
    </row>
    <row r="17" spans="2:3" ht="15.75" customHeight="1">
      <c r="B17" s="104" t="s">
        <v>212</v>
      </c>
      <c r="C17" s="103" t="s">
        <v>471</v>
      </c>
    </row>
    <row r="18" spans="2:3" ht="15.75" customHeight="1">
      <c r="B18" s="104" t="s">
        <v>213</v>
      </c>
      <c r="C18" s="103" t="s">
        <v>461</v>
      </c>
    </row>
    <row r="19" spans="2:3" ht="15.75" customHeight="1">
      <c r="B19" s="104" t="s">
        <v>214</v>
      </c>
      <c r="C19" s="103" t="s">
        <v>270</v>
      </c>
    </row>
    <row r="20" spans="2:3" ht="15.75" customHeight="1">
      <c r="B20" s="104" t="s">
        <v>215</v>
      </c>
      <c r="C20" s="103" t="s">
        <v>233</v>
      </c>
    </row>
    <row r="21" spans="2:3" ht="15.75" customHeight="1">
      <c r="C21" s="103" t="s">
        <v>234</v>
      </c>
    </row>
    <row r="22" spans="2:3" ht="15.75" customHeight="1">
      <c r="B22" s="104" t="s">
        <v>432</v>
      </c>
      <c r="C22" s="103" t="s">
        <v>462</v>
      </c>
    </row>
    <row r="23" spans="2:3" ht="15.75" customHeight="1">
      <c r="B23" s="104" t="s">
        <v>433</v>
      </c>
      <c r="C23" s="103" t="s">
        <v>454</v>
      </c>
    </row>
    <row r="24" spans="2:3" ht="15.75" customHeight="1">
      <c r="C24" s="103" t="s">
        <v>431</v>
      </c>
    </row>
    <row r="25" spans="2:3" ht="15.75" customHeight="1">
      <c r="B25" s="104" t="s">
        <v>439</v>
      </c>
      <c r="C25" s="103" t="s">
        <v>434</v>
      </c>
    </row>
    <row r="26" spans="2:3" ht="15.75" customHeight="1">
      <c r="B26" s="104" t="s">
        <v>448</v>
      </c>
      <c r="C26" s="103" t="s">
        <v>605</v>
      </c>
    </row>
    <row r="27" spans="2:3" ht="15.75" customHeight="1">
      <c r="B27" s="104" t="s">
        <v>450</v>
      </c>
      <c r="C27" s="103" t="s">
        <v>602</v>
      </c>
    </row>
    <row r="28" spans="2:3">
      <c r="B28" s="104" t="s">
        <v>604</v>
      </c>
      <c r="C28" s="103" t="s">
        <v>451</v>
      </c>
    </row>
    <row r="29" spans="2:3">
      <c r="C29" s="104" t="s">
        <v>452</v>
      </c>
    </row>
    <row r="30" spans="2:3">
      <c r="C30" s="104" t="s">
        <v>453</v>
      </c>
    </row>
    <row r="31" spans="2:3">
      <c r="C31" s="222"/>
    </row>
  </sheetData>
  <pageMargins left="0.7" right="0.7" top="0.75" bottom="0.75" header="0.3" footer="0.3"/>
  <ignoredErrors>
    <ignoredError sqref="B4:B2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BA584-D5D9-4F83-A106-85B27DC2DD4E}">
  <sheetPr>
    <tabColor rgb="FF00B050"/>
  </sheetPr>
  <dimension ref="B1:T23"/>
  <sheetViews>
    <sheetView showGridLines="0" zoomScale="120" zoomScaleNormal="120" workbookViewId="0">
      <selection activeCell="G21" sqref="G21"/>
    </sheetView>
  </sheetViews>
  <sheetFormatPr defaultColWidth="10.42578125" defaultRowHeight="12.75"/>
  <cols>
    <col min="1" max="1" width="3.85546875" style="73" customWidth="1"/>
    <col min="2" max="2" width="1.28515625" style="73" customWidth="1"/>
    <col min="3" max="3" width="32.7109375" style="73" customWidth="1"/>
    <col min="4" max="10" width="10.42578125" style="73" customWidth="1"/>
    <col min="11" max="11" width="1" style="73" customWidth="1"/>
    <col min="12" max="12" width="7.28515625" style="73" customWidth="1"/>
    <col min="13" max="13" width="1.28515625" style="73" customWidth="1"/>
    <col min="14" max="16" width="13.42578125" style="74" customWidth="1"/>
    <col min="17" max="19" width="9.85546875" style="74" customWidth="1"/>
    <col min="20" max="20" width="9.85546875" style="73" customWidth="1"/>
    <col min="21" max="21" width="1.140625" style="73" customWidth="1"/>
    <col min="22" max="35" width="10.28515625" style="73" customWidth="1"/>
    <col min="36" max="16384" width="10.42578125" style="73"/>
  </cols>
  <sheetData>
    <row r="1" spans="2:17">
      <c r="Q1" s="229"/>
    </row>
    <row r="3" spans="2:17" ht="15">
      <c r="B3" s="106" t="s">
        <v>219</v>
      </c>
      <c r="D3"/>
      <c r="E3"/>
      <c r="F3"/>
      <c r="G3"/>
      <c r="H3"/>
      <c r="I3"/>
      <c r="J3"/>
    </row>
    <row r="4" spans="2:17" ht="3.75" customHeight="1">
      <c r="C4" s="107"/>
      <c r="D4"/>
      <c r="E4"/>
      <c r="F4"/>
      <c r="G4"/>
      <c r="H4"/>
      <c r="I4"/>
      <c r="J4"/>
    </row>
    <row r="5" spans="2:17">
      <c r="C5" s="108" t="s">
        <v>220</v>
      </c>
      <c r="D5" s="109">
        <f>'NPV PT'!D10</f>
        <v>2025</v>
      </c>
      <c r="E5" s="109">
        <f>'NPV PT'!E10</f>
        <v>2026</v>
      </c>
      <c r="F5" s="109">
        <f>'NPV PT'!F10</f>
        <v>2027</v>
      </c>
      <c r="G5" s="109">
        <f>'NPV PT'!G10</f>
        <v>2028</v>
      </c>
      <c r="H5" s="109">
        <f>'NPV PT'!H10</f>
        <v>2029</v>
      </c>
      <c r="I5" s="110">
        <f>'NPV PT'!I10</f>
        <v>2030</v>
      </c>
      <c r="J5" s="109" t="s">
        <v>221</v>
      </c>
    </row>
    <row r="6" spans="2:17" ht="15" customHeight="1" thickBot="1">
      <c r="C6" s="111" t="s">
        <v>105</v>
      </c>
      <c r="D6" s="390">
        <f>'NPV PT'!D92/1000000</f>
        <v>-0.29745902335456476</v>
      </c>
      <c r="E6" s="390">
        <f>'NPV PT'!E92/1000000</f>
        <v>0</v>
      </c>
      <c r="F6" s="390">
        <f>'NPV PT'!F92/1000000</f>
        <v>0</v>
      </c>
      <c r="G6" s="390">
        <f>'NPV PT'!G92/1000000</f>
        <v>0</v>
      </c>
      <c r="H6" s="390">
        <f>'NPV PT'!H92/1000000</f>
        <v>0</v>
      </c>
      <c r="I6" s="391">
        <f>'NPV PT'!I92/1000000</f>
        <v>0</v>
      </c>
      <c r="J6" s="390">
        <f>'NPV PT'!O92/1000000</f>
        <v>-0.29745902335456476</v>
      </c>
    </row>
    <row r="7" spans="2:17" ht="15" customHeight="1" thickBot="1">
      <c r="C7" s="111" t="s">
        <v>106</v>
      </c>
      <c r="D7" s="390">
        <f>'NPV PT'!D93/1000000</f>
        <v>0</v>
      </c>
      <c r="E7" s="390">
        <f>'NPV PT'!E93/1000000</f>
        <v>0</v>
      </c>
      <c r="F7" s="390">
        <f>'NPV PT'!F93/1000000</f>
        <v>0</v>
      </c>
      <c r="G7" s="390">
        <f>'NPV PT'!G93/1000000</f>
        <v>0</v>
      </c>
      <c r="H7" s="390">
        <f>'NPV PT'!H93/1000000</f>
        <v>0</v>
      </c>
      <c r="I7" s="391">
        <f>'NPV PT'!I93/1000000</f>
        <v>0</v>
      </c>
      <c r="J7" s="390">
        <f>'NPV PT'!O93/1000000</f>
        <v>0</v>
      </c>
    </row>
    <row r="8" spans="2:17" ht="15" customHeight="1" thickBot="1">
      <c r="C8" s="111" t="s">
        <v>197</v>
      </c>
      <c r="D8" s="390">
        <f>'NPV PT'!D94/1000000</f>
        <v>0</v>
      </c>
      <c r="E8" s="390">
        <f>'NPV PT'!E94/1000000</f>
        <v>0</v>
      </c>
      <c r="F8" s="390">
        <f>'NPV PT'!F94/1000000</f>
        <v>0</v>
      </c>
      <c r="G8" s="390">
        <f>'NPV PT'!G94/1000000</f>
        <v>0</v>
      </c>
      <c r="H8" s="390">
        <f>'NPV PT'!H94/1000000</f>
        <v>0</v>
      </c>
      <c r="I8" s="391">
        <f>'NPV PT'!I94/1000000</f>
        <v>0</v>
      </c>
      <c r="J8" s="390">
        <f>'NPV PT'!O94/1000000</f>
        <v>0</v>
      </c>
    </row>
    <row r="9" spans="2:17" ht="15" customHeight="1" thickBot="1">
      <c r="C9" s="111" t="s">
        <v>41</v>
      </c>
      <c r="D9" s="390">
        <f>'NPV PT'!D95/1000000</f>
        <v>0</v>
      </c>
      <c r="E9" s="390">
        <f>'NPV PT'!E95/1000000</f>
        <v>0</v>
      </c>
      <c r="F9" s="390">
        <f>'NPV PT'!F95/1000000</f>
        <v>0</v>
      </c>
      <c r="G9" s="390">
        <f>'NPV PT'!G95/1000000</f>
        <v>0</v>
      </c>
      <c r="H9" s="390">
        <f>'NPV PT'!H95/1000000</f>
        <v>0</v>
      </c>
      <c r="I9" s="391">
        <f>'NPV PT'!I95/1000000</f>
        <v>0</v>
      </c>
      <c r="J9" s="390">
        <f>'NPV PT'!O95/1000000</f>
        <v>0</v>
      </c>
    </row>
    <row r="10" spans="2:17" ht="15" customHeight="1" thickBot="1">
      <c r="C10" s="111" t="s">
        <v>222</v>
      </c>
      <c r="D10" s="390">
        <f>'NPV PT'!D99/1000000</f>
        <v>-0.36200254777070068</v>
      </c>
      <c r="E10" s="390">
        <f>'NPV PT'!E99/1000000</f>
        <v>0.66762067509131706</v>
      </c>
      <c r="F10" s="390">
        <f>'NPV PT'!F99/1000000</f>
        <v>0.66848630973914025</v>
      </c>
      <c r="G10" s="390">
        <f>'NPV PT'!G99/1000000</f>
        <v>0.66906030860139143</v>
      </c>
      <c r="H10" s="390">
        <f>'NPV PT'!H99/1000000</f>
        <v>0.66949466417607928</v>
      </c>
      <c r="I10" s="391">
        <f>'NPV PT'!I99/1000000</f>
        <v>0.66985794338400007</v>
      </c>
      <c r="J10" s="390">
        <f>'NPV PT'!O99/1000000</f>
        <v>2.9825173532212275</v>
      </c>
    </row>
    <row r="11" spans="2:17" ht="15" customHeight="1" thickBot="1">
      <c r="C11" s="111" t="s">
        <v>223</v>
      </c>
      <c r="D11" s="390">
        <f>'NPV PT'!D101/1000000</f>
        <v>-5.3503184713375798E-2</v>
      </c>
      <c r="E11" s="390">
        <f>'NPV PT'!E101/1000000</f>
        <v>0.79013503461951229</v>
      </c>
      <c r="F11" s="390">
        <f>'NPV PT'!F101/1000000</f>
        <v>0.78652822358691588</v>
      </c>
      <c r="G11" s="390">
        <f>'NPV PT'!G101/1000000</f>
        <v>0.78413656166086965</v>
      </c>
      <c r="H11" s="390">
        <f>'NPV PT'!H101/1000000</f>
        <v>0.78232674676633662</v>
      </c>
      <c r="I11" s="391">
        <f>'NPV PT'!I101/1000000</f>
        <v>0.7808130834</v>
      </c>
      <c r="J11" s="390">
        <f>'NPV PT'!O101/1000000</f>
        <v>3.8704364653202585</v>
      </c>
    </row>
    <row r="12" spans="2:17" ht="15" customHeight="1">
      <c r="C12" s="112" t="s">
        <v>224</v>
      </c>
      <c r="D12" s="113"/>
      <c r="E12" s="113"/>
      <c r="F12" s="113"/>
      <c r="G12" s="113"/>
      <c r="H12" s="113"/>
      <c r="I12" s="114"/>
      <c r="J12" s="113"/>
    </row>
    <row r="13" spans="2:17">
      <c r="C13" s="398" t="s">
        <v>225</v>
      </c>
      <c r="D13" s="398"/>
      <c r="E13" s="398"/>
      <c r="F13" s="398"/>
      <c r="G13" s="398"/>
      <c r="H13" s="398"/>
      <c r="I13" s="398"/>
      <c r="J13" s="398"/>
    </row>
    <row r="14" spans="2:17">
      <c r="C14" s="399" t="s">
        <v>226</v>
      </c>
      <c r="D14" s="399"/>
      <c r="E14" s="399"/>
      <c r="F14" s="399"/>
      <c r="G14" s="399"/>
      <c r="H14" s="399"/>
      <c r="I14" s="399"/>
      <c r="J14" s="399"/>
    </row>
    <row r="15" spans="2:17" ht="15">
      <c r="C15" s="106"/>
      <c r="D15"/>
      <c r="E15"/>
      <c r="F15"/>
      <c r="G15"/>
      <c r="H15"/>
      <c r="I15"/>
      <c r="J15"/>
    </row>
    <row r="16" spans="2:17">
      <c r="J16"/>
    </row>
    <row r="17" spans="3:20" ht="15">
      <c r="J17"/>
      <c r="M17" s="106" t="s">
        <v>227</v>
      </c>
      <c r="N17" s="73"/>
      <c r="O17"/>
      <c r="P17"/>
      <c r="Q17"/>
      <c r="R17"/>
      <c r="S17"/>
      <c r="T17"/>
    </row>
    <row r="18" spans="3:20" ht="3.75" customHeight="1">
      <c r="J18"/>
      <c r="N18" s="115"/>
      <c r="O18"/>
      <c r="P18"/>
      <c r="Q18"/>
      <c r="R18"/>
      <c r="S18"/>
      <c r="T18"/>
    </row>
    <row r="19" spans="3:20">
      <c r="J19"/>
      <c r="N19" s="392" t="s">
        <v>110</v>
      </c>
      <c r="O19" s="394" t="s">
        <v>111</v>
      </c>
      <c r="P19" s="394" t="s">
        <v>228</v>
      </c>
      <c r="Q19" s="116" t="s">
        <v>101</v>
      </c>
      <c r="R19" s="116" t="s">
        <v>96</v>
      </c>
      <c r="S19" s="116" t="s">
        <v>229</v>
      </c>
      <c r="T19" s="116" t="s">
        <v>231</v>
      </c>
    </row>
    <row r="20" spans="3:20" ht="13.5" thickBot="1">
      <c r="J20"/>
      <c r="N20" s="393"/>
      <c r="O20" s="395"/>
      <c r="P20" s="395"/>
      <c r="Q20" s="117" t="s">
        <v>88</v>
      </c>
      <c r="R20" s="117" t="s">
        <v>63</v>
      </c>
      <c r="S20" s="117" t="s">
        <v>230</v>
      </c>
      <c r="T20" s="117" t="s">
        <v>92</v>
      </c>
    </row>
    <row r="21" spans="3:20" ht="15" customHeight="1" thickBot="1">
      <c r="J21"/>
      <c r="N21" s="396" t="s">
        <v>26</v>
      </c>
      <c r="O21" s="118" t="s">
        <v>112</v>
      </c>
      <c r="P21" s="388">
        <f>-('NPV NTE'!P92+'NPV NTE'!P93+'NPV NTE'!P94+'NPV NTE'!P95)/1000000</f>
        <v>0.30981825902335453</v>
      </c>
      <c r="Q21" s="388">
        <f>'NPV NTE'!C75</f>
        <v>2.2918438801402843</v>
      </c>
      <c r="R21" s="388">
        <f>'NPV NTE'!C76*100</f>
        <v>177.52774836547235</v>
      </c>
      <c r="S21" s="388">
        <f>'NPV NTE'!C78</f>
        <v>2.2334566521446986</v>
      </c>
      <c r="T21" s="388">
        <f>'NPV NTE'!C77</f>
        <v>1.5994357904666647</v>
      </c>
    </row>
    <row r="22" spans="3:20" ht="15" customHeight="1" thickBot="1">
      <c r="C22" s="120"/>
      <c r="D22"/>
      <c r="E22"/>
      <c r="F22"/>
      <c r="G22"/>
      <c r="H22"/>
      <c r="I22"/>
      <c r="J22"/>
      <c r="N22" s="397"/>
      <c r="O22" s="119" t="s">
        <v>113</v>
      </c>
      <c r="P22" s="389">
        <f>-('NPV PT'!O92+'NPV PT'!O93+'NPV PT'!O94+'NPV PT'!O95)/1000000</f>
        <v>0.29745902335456476</v>
      </c>
      <c r="Q22" s="389">
        <f>'NPV PT'!C75</f>
        <v>2.30115194401965</v>
      </c>
      <c r="R22" s="389">
        <f>'NPV PT'!C76*100</f>
        <v>183.52520499884179</v>
      </c>
      <c r="S22" s="389">
        <f>'NPV PT'!C78</f>
        <v>2.2475293535182503</v>
      </c>
      <c r="T22" s="389">
        <f>'NPV PT'!C77</f>
        <v>1.5801838387669302</v>
      </c>
    </row>
    <row r="23" spans="3:20">
      <c r="C23" s="120"/>
      <c r="D23"/>
      <c r="E23"/>
      <c r="F23"/>
      <c r="G23"/>
      <c r="H23"/>
      <c r="I23"/>
      <c r="J23"/>
    </row>
  </sheetData>
  <mergeCells count="6">
    <mergeCell ref="N19:N20"/>
    <mergeCell ref="O19:O20"/>
    <mergeCell ref="P19:P20"/>
    <mergeCell ref="N21:N22"/>
    <mergeCell ref="C13:J13"/>
    <mergeCell ref="C14:J14"/>
  </mergeCells>
  <pageMargins left="0.7" right="0.7" top="0.75" bottom="0.75" header="0.3" footer="0.3"/>
  <pageSetup orientation="portrait" r:id="rId1"/>
  <customProperties>
    <customPr name="EpmWorksheetKeyString_GUID" r:id="rId2"/>
  </customPropertie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0F393-81F4-40B6-8946-882F397E2FD4}">
  <sheetPr>
    <tabColor rgb="FF00B050"/>
  </sheetPr>
  <dimension ref="B1:X101"/>
  <sheetViews>
    <sheetView showGridLines="0" topLeftCell="B48" zoomScaleNormal="100" workbookViewId="0">
      <selection activeCell="E92" sqref="E92"/>
    </sheetView>
  </sheetViews>
  <sheetFormatPr defaultRowHeight="12.75"/>
  <cols>
    <col min="1" max="1" width="2" style="137" customWidth="1"/>
    <col min="2" max="2" width="54.140625" style="137" bestFit="1" customWidth="1"/>
    <col min="3" max="3" width="18.5703125" style="137" customWidth="1"/>
    <col min="4" max="6" width="12" style="137" customWidth="1"/>
    <col min="7" max="7" width="15" style="137" bestFit="1" customWidth="1"/>
    <col min="8" max="14" width="12" style="137" customWidth="1"/>
    <col min="15" max="15" width="11" style="137" customWidth="1"/>
    <col min="16" max="16" width="14.5703125" style="137" bestFit="1" customWidth="1"/>
    <col min="17" max="23" width="5.7109375" style="137" customWidth="1"/>
    <col min="24" max="231" width="9.140625" style="137"/>
    <col min="232" max="232" width="35.42578125" style="137" customWidth="1"/>
    <col min="233" max="233" width="10.85546875" style="137" bestFit="1" customWidth="1"/>
    <col min="234" max="234" width="11.85546875" style="137" bestFit="1" customWidth="1"/>
    <col min="235" max="244" width="12.85546875" style="137" bestFit="1" customWidth="1"/>
    <col min="245" max="245" width="9.140625" style="137"/>
    <col min="246" max="246" width="10.5703125" style="137" bestFit="1" customWidth="1"/>
    <col min="247" max="487" width="9.140625" style="137"/>
    <col min="488" max="488" width="35.42578125" style="137" customWidth="1"/>
    <col min="489" max="489" width="10.85546875" style="137" bestFit="1" customWidth="1"/>
    <col min="490" max="490" width="11.85546875" style="137" bestFit="1" customWidth="1"/>
    <col min="491" max="500" width="12.85546875" style="137" bestFit="1" customWidth="1"/>
    <col min="501" max="501" width="9.140625" style="137"/>
    <col min="502" max="502" width="10.5703125" style="137" bestFit="1" customWidth="1"/>
    <col min="503" max="743" width="9.140625" style="137"/>
    <col min="744" max="744" width="35.42578125" style="137" customWidth="1"/>
    <col min="745" max="745" width="10.85546875" style="137" bestFit="1" customWidth="1"/>
    <col min="746" max="746" width="11.85546875" style="137" bestFit="1" customWidth="1"/>
    <col min="747" max="756" width="12.85546875" style="137" bestFit="1" customWidth="1"/>
    <col min="757" max="757" width="9.140625" style="137"/>
    <col min="758" max="758" width="10.5703125" style="137" bestFit="1" customWidth="1"/>
    <col min="759" max="999" width="9.140625" style="137"/>
    <col min="1000" max="1000" width="35.42578125" style="137" customWidth="1"/>
    <col min="1001" max="1001" width="10.85546875" style="137" bestFit="1" customWidth="1"/>
    <col min="1002" max="1002" width="11.85546875" style="137" bestFit="1" customWidth="1"/>
    <col min="1003" max="1012" width="12.85546875" style="137" bestFit="1" customWidth="1"/>
    <col min="1013" max="1013" width="9.140625" style="137"/>
    <col min="1014" max="1014" width="10.5703125" style="137" bestFit="1" customWidth="1"/>
    <col min="1015" max="1255" width="9.140625" style="137"/>
    <col min="1256" max="1256" width="35.42578125" style="137" customWidth="1"/>
    <col min="1257" max="1257" width="10.85546875" style="137" bestFit="1" customWidth="1"/>
    <col min="1258" max="1258" width="11.85546875" style="137" bestFit="1" customWidth="1"/>
    <col min="1259" max="1268" width="12.85546875" style="137" bestFit="1" customWidth="1"/>
    <col min="1269" max="1269" width="9.140625" style="137"/>
    <col min="1270" max="1270" width="10.5703125" style="137" bestFit="1" customWidth="1"/>
    <col min="1271" max="1511" width="9.140625" style="137"/>
    <col min="1512" max="1512" width="35.42578125" style="137" customWidth="1"/>
    <col min="1513" max="1513" width="10.85546875" style="137" bestFit="1" customWidth="1"/>
    <col min="1514" max="1514" width="11.85546875" style="137" bestFit="1" customWidth="1"/>
    <col min="1515" max="1524" width="12.85546875" style="137" bestFit="1" customWidth="1"/>
    <col min="1525" max="1525" width="9.140625" style="137"/>
    <col min="1526" max="1526" width="10.5703125" style="137" bestFit="1" customWidth="1"/>
    <col min="1527" max="1767" width="9.140625" style="137"/>
    <col min="1768" max="1768" width="35.42578125" style="137" customWidth="1"/>
    <col min="1769" max="1769" width="10.85546875" style="137" bestFit="1" customWidth="1"/>
    <col min="1770" max="1770" width="11.85546875" style="137" bestFit="1" customWidth="1"/>
    <col min="1771" max="1780" width="12.85546875" style="137" bestFit="1" customWidth="1"/>
    <col min="1781" max="1781" width="9.140625" style="137"/>
    <col min="1782" max="1782" width="10.5703125" style="137" bestFit="1" customWidth="1"/>
    <col min="1783" max="2023" width="9.140625" style="137"/>
    <col min="2024" max="2024" width="35.42578125" style="137" customWidth="1"/>
    <col min="2025" max="2025" width="10.85546875" style="137" bestFit="1" customWidth="1"/>
    <col min="2026" max="2026" width="11.85546875" style="137" bestFit="1" customWidth="1"/>
    <col min="2027" max="2036" width="12.85546875" style="137" bestFit="1" customWidth="1"/>
    <col min="2037" max="2037" width="9.140625" style="137"/>
    <col min="2038" max="2038" width="10.5703125" style="137" bestFit="1" customWidth="1"/>
    <col min="2039" max="2279" width="9.140625" style="137"/>
    <col min="2280" max="2280" width="35.42578125" style="137" customWidth="1"/>
    <col min="2281" max="2281" width="10.85546875" style="137" bestFit="1" customWidth="1"/>
    <col min="2282" max="2282" width="11.85546875" style="137" bestFit="1" customWidth="1"/>
    <col min="2283" max="2292" width="12.85546875" style="137" bestFit="1" customWidth="1"/>
    <col min="2293" max="2293" width="9.140625" style="137"/>
    <col min="2294" max="2294" width="10.5703125" style="137" bestFit="1" customWidth="1"/>
    <col min="2295" max="2535" width="9.140625" style="137"/>
    <col min="2536" max="2536" width="35.42578125" style="137" customWidth="1"/>
    <col min="2537" max="2537" width="10.85546875" style="137" bestFit="1" customWidth="1"/>
    <col min="2538" max="2538" width="11.85546875" style="137" bestFit="1" customWidth="1"/>
    <col min="2539" max="2548" width="12.85546875" style="137" bestFit="1" customWidth="1"/>
    <col min="2549" max="2549" width="9.140625" style="137"/>
    <col min="2550" max="2550" width="10.5703125" style="137" bestFit="1" customWidth="1"/>
    <col min="2551" max="2791" width="9.140625" style="137"/>
    <col min="2792" max="2792" width="35.42578125" style="137" customWidth="1"/>
    <col min="2793" max="2793" width="10.85546875" style="137" bestFit="1" customWidth="1"/>
    <col min="2794" max="2794" width="11.85546875" style="137" bestFit="1" customWidth="1"/>
    <col min="2795" max="2804" width="12.85546875" style="137" bestFit="1" customWidth="1"/>
    <col min="2805" max="2805" width="9.140625" style="137"/>
    <col min="2806" max="2806" width="10.5703125" style="137" bestFit="1" customWidth="1"/>
    <col min="2807" max="3047" width="9.140625" style="137"/>
    <col min="3048" max="3048" width="35.42578125" style="137" customWidth="1"/>
    <col min="3049" max="3049" width="10.85546875" style="137" bestFit="1" customWidth="1"/>
    <col min="3050" max="3050" width="11.85546875" style="137" bestFit="1" customWidth="1"/>
    <col min="3051" max="3060" width="12.85546875" style="137" bestFit="1" customWidth="1"/>
    <col min="3061" max="3061" width="9.140625" style="137"/>
    <col min="3062" max="3062" width="10.5703125" style="137" bestFit="1" customWidth="1"/>
    <col min="3063" max="3303" width="9.140625" style="137"/>
    <col min="3304" max="3304" width="35.42578125" style="137" customWidth="1"/>
    <col min="3305" max="3305" width="10.85546875" style="137" bestFit="1" customWidth="1"/>
    <col min="3306" max="3306" width="11.85546875" style="137" bestFit="1" customWidth="1"/>
    <col min="3307" max="3316" width="12.85546875" style="137" bestFit="1" customWidth="1"/>
    <col min="3317" max="3317" width="9.140625" style="137"/>
    <col min="3318" max="3318" width="10.5703125" style="137" bestFit="1" customWidth="1"/>
    <col min="3319" max="3559" width="9.140625" style="137"/>
    <col min="3560" max="3560" width="35.42578125" style="137" customWidth="1"/>
    <col min="3561" max="3561" width="10.85546875" style="137" bestFit="1" customWidth="1"/>
    <col min="3562" max="3562" width="11.85546875" style="137" bestFit="1" customWidth="1"/>
    <col min="3563" max="3572" width="12.85546875" style="137" bestFit="1" customWidth="1"/>
    <col min="3573" max="3573" width="9.140625" style="137"/>
    <col min="3574" max="3574" width="10.5703125" style="137" bestFit="1" customWidth="1"/>
    <col min="3575" max="3815" width="9.140625" style="137"/>
    <col min="3816" max="3816" width="35.42578125" style="137" customWidth="1"/>
    <col min="3817" max="3817" width="10.85546875" style="137" bestFit="1" customWidth="1"/>
    <col min="3818" max="3818" width="11.85546875" style="137" bestFit="1" customWidth="1"/>
    <col min="3819" max="3828" width="12.85546875" style="137" bestFit="1" customWidth="1"/>
    <col min="3829" max="3829" width="9.140625" style="137"/>
    <col min="3830" max="3830" width="10.5703125" style="137" bestFit="1" customWidth="1"/>
    <col min="3831" max="4071" width="9.140625" style="137"/>
    <col min="4072" max="4072" width="35.42578125" style="137" customWidth="1"/>
    <col min="4073" max="4073" width="10.85546875" style="137" bestFit="1" customWidth="1"/>
    <col min="4074" max="4074" width="11.85546875" style="137" bestFit="1" customWidth="1"/>
    <col min="4075" max="4084" width="12.85546875" style="137" bestFit="1" customWidth="1"/>
    <col min="4085" max="4085" width="9.140625" style="137"/>
    <col min="4086" max="4086" width="10.5703125" style="137" bestFit="1" customWidth="1"/>
    <col min="4087" max="4327" width="9.140625" style="137"/>
    <col min="4328" max="4328" width="35.42578125" style="137" customWidth="1"/>
    <col min="4329" max="4329" width="10.85546875" style="137" bestFit="1" customWidth="1"/>
    <col min="4330" max="4330" width="11.85546875" style="137" bestFit="1" customWidth="1"/>
    <col min="4331" max="4340" width="12.85546875" style="137" bestFit="1" customWidth="1"/>
    <col min="4341" max="4341" width="9.140625" style="137"/>
    <col min="4342" max="4342" width="10.5703125" style="137" bestFit="1" customWidth="1"/>
    <col min="4343" max="4583" width="9.140625" style="137"/>
    <col min="4584" max="4584" width="35.42578125" style="137" customWidth="1"/>
    <col min="4585" max="4585" width="10.85546875" style="137" bestFit="1" customWidth="1"/>
    <col min="4586" max="4586" width="11.85546875" style="137" bestFit="1" customWidth="1"/>
    <col min="4587" max="4596" width="12.85546875" style="137" bestFit="1" customWidth="1"/>
    <col min="4597" max="4597" width="9.140625" style="137"/>
    <col min="4598" max="4598" width="10.5703125" style="137" bestFit="1" customWidth="1"/>
    <col min="4599" max="4839" width="9.140625" style="137"/>
    <col min="4840" max="4840" width="35.42578125" style="137" customWidth="1"/>
    <col min="4841" max="4841" width="10.85546875" style="137" bestFit="1" customWidth="1"/>
    <col min="4842" max="4842" width="11.85546875" style="137" bestFit="1" customWidth="1"/>
    <col min="4843" max="4852" width="12.85546875" style="137" bestFit="1" customWidth="1"/>
    <col min="4853" max="4853" width="9.140625" style="137"/>
    <col min="4854" max="4854" width="10.5703125" style="137" bestFit="1" customWidth="1"/>
    <col min="4855" max="5095" width="9.140625" style="137"/>
    <col min="5096" max="5096" width="35.42578125" style="137" customWidth="1"/>
    <col min="5097" max="5097" width="10.85546875" style="137" bestFit="1" customWidth="1"/>
    <col min="5098" max="5098" width="11.85546875" style="137" bestFit="1" customWidth="1"/>
    <col min="5099" max="5108" width="12.85546875" style="137" bestFit="1" customWidth="1"/>
    <col min="5109" max="5109" width="9.140625" style="137"/>
    <col min="5110" max="5110" width="10.5703125" style="137" bestFit="1" customWidth="1"/>
    <col min="5111" max="5351" width="9.140625" style="137"/>
    <col min="5352" max="5352" width="35.42578125" style="137" customWidth="1"/>
    <col min="5353" max="5353" width="10.85546875" style="137" bestFit="1" customWidth="1"/>
    <col min="5354" max="5354" width="11.85546875" style="137" bestFit="1" customWidth="1"/>
    <col min="5355" max="5364" width="12.85546875" style="137" bestFit="1" customWidth="1"/>
    <col min="5365" max="5365" width="9.140625" style="137"/>
    <col min="5366" max="5366" width="10.5703125" style="137" bestFit="1" customWidth="1"/>
    <col min="5367" max="5607" width="9.140625" style="137"/>
    <col min="5608" max="5608" width="35.42578125" style="137" customWidth="1"/>
    <col min="5609" max="5609" width="10.85546875" style="137" bestFit="1" customWidth="1"/>
    <col min="5610" max="5610" width="11.85546875" style="137" bestFit="1" customWidth="1"/>
    <col min="5611" max="5620" width="12.85546875" style="137" bestFit="1" customWidth="1"/>
    <col min="5621" max="5621" width="9.140625" style="137"/>
    <col min="5622" max="5622" width="10.5703125" style="137" bestFit="1" customWidth="1"/>
    <col min="5623" max="5863" width="9.140625" style="137"/>
    <col min="5864" max="5864" width="35.42578125" style="137" customWidth="1"/>
    <col min="5865" max="5865" width="10.85546875" style="137" bestFit="1" customWidth="1"/>
    <col min="5866" max="5866" width="11.85546875" style="137" bestFit="1" customWidth="1"/>
    <col min="5867" max="5876" width="12.85546875" style="137" bestFit="1" customWidth="1"/>
    <col min="5877" max="5877" width="9.140625" style="137"/>
    <col min="5878" max="5878" width="10.5703125" style="137" bestFit="1" customWidth="1"/>
    <col min="5879" max="6119" width="9.140625" style="137"/>
    <col min="6120" max="6120" width="35.42578125" style="137" customWidth="1"/>
    <col min="6121" max="6121" width="10.85546875" style="137" bestFit="1" customWidth="1"/>
    <col min="6122" max="6122" width="11.85546875" style="137" bestFit="1" customWidth="1"/>
    <col min="6123" max="6132" width="12.85546875" style="137" bestFit="1" customWidth="1"/>
    <col min="6133" max="6133" width="9.140625" style="137"/>
    <col min="6134" max="6134" width="10.5703125" style="137" bestFit="1" customWidth="1"/>
    <col min="6135" max="6375" width="9.140625" style="137"/>
    <col min="6376" max="6376" width="35.42578125" style="137" customWidth="1"/>
    <col min="6377" max="6377" width="10.85546875" style="137" bestFit="1" customWidth="1"/>
    <col min="6378" max="6378" width="11.85546875" style="137" bestFit="1" customWidth="1"/>
    <col min="6379" max="6388" width="12.85546875" style="137" bestFit="1" customWidth="1"/>
    <col min="6389" max="6389" width="9.140625" style="137"/>
    <col min="6390" max="6390" width="10.5703125" style="137" bestFit="1" customWidth="1"/>
    <col min="6391" max="6631" width="9.140625" style="137"/>
    <col min="6632" max="6632" width="35.42578125" style="137" customWidth="1"/>
    <col min="6633" max="6633" width="10.85546875" style="137" bestFit="1" customWidth="1"/>
    <col min="6634" max="6634" width="11.85546875" style="137" bestFit="1" customWidth="1"/>
    <col min="6635" max="6644" width="12.85546875" style="137" bestFit="1" customWidth="1"/>
    <col min="6645" max="6645" width="9.140625" style="137"/>
    <col min="6646" max="6646" width="10.5703125" style="137" bestFit="1" customWidth="1"/>
    <col min="6647" max="6887" width="9.140625" style="137"/>
    <col min="6888" max="6888" width="35.42578125" style="137" customWidth="1"/>
    <col min="6889" max="6889" width="10.85546875" style="137" bestFit="1" customWidth="1"/>
    <col min="6890" max="6890" width="11.85546875" style="137" bestFit="1" customWidth="1"/>
    <col min="6891" max="6900" width="12.85546875" style="137" bestFit="1" customWidth="1"/>
    <col min="6901" max="6901" width="9.140625" style="137"/>
    <col min="6902" max="6902" width="10.5703125" style="137" bestFit="1" customWidth="1"/>
    <col min="6903" max="7143" width="9.140625" style="137"/>
    <col min="7144" max="7144" width="35.42578125" style="137" customWidth="1"/>
    <col min="7145" max="7145" width="10.85546875" style="137" bestFit="1" customWidth="1"/>
    <col min="7146" max="7146" width="11.85546875" style="137" bestFit="1" customWidth="1"/>
    <col min="7147" max="7156" width="12.85546875" style="137" bestFit="1" customWidth="1"/>
    <col min="7157" max="7157" width="9.140625" style="137"/>
    <col min="7158" max="7158" width="10.5703125" style="137" bestFit="1" customWidth="1"/>
    <col min="7159" max="7399" width="9.140625" style="137"/>
    <col min="7400" max="7400" width="35.42578125" style="137" customWidth="1"/>
    <col min="7401" max="7401" width="10.85546875" style="137" bestFit="1" customWidth="1"/>
    <col min="7402" max="7402" width="11.85546875" style="137" bestFit="1" customWidth="1"/>
    <col min="7403" max="7412" width="12.85546875" style="137" bestFit="1" customWidth="1"/>
    <col min="7413" max="7413" width="9.140625" style="137"/>
    <col min="7414" max="7414" width="10.5703125" style="137" bestFit="1" customWidth="1"/>
    <col min="7415" max="7655" width="9.140625" style="137"/>
    <col min="7656" max="7656" width="35.42578125" style="137" customWidth="1"/>
    <col min="7657" max="7657" width="10.85546875" style="137" bestFit="1" customWidth="1"/>
    <col min="7658" max="7658" width="11.85546875" style="137" bestFit="1" customWidth="1"/>
    <col min="7659" max="7668" width="12.85546875" style="137" bestFit="1" customWidth="1"/>
    <col min="7669" max="7669" width="9.140625" style="137"/>
    <col min="7670" max="7670" width="10.5703125" style="137" bestFit="1" customWidth="1"/>
    <col min="7671" max="7911" width="9.140625" style="137"/>
    <col min="7912" max="7912" width="35.42578125" style="137" customWidth="1"/>
    <col min="7913" max="7913" width="10.85546875" style="137" bestFit="1" customWidth="1"/>
    <col min="7914" max="7914" width="11.85546875" style="137" bestFit="1" customWidth="1"/>
    <col min="7915" max="7924" width="12.85546875" style="137" bestFit="1" customWidth="1"/>
    <col min="7925" max="7925" width="9.140625" style="137"/>
    <col min="7926" max="7926" width="10.5703125" style="137" bestFit="1" customWidth="1"/>
    <col min="7927" max="8167" width="9.140625" style="137"/>
    <col min="8168" max="8168" width="35.42578125" style="137" customWidth="1"/>
    <col min="8169" max="8169" width="10.85546875" style="137" bestFit="1" customWidth="1"/>
    <col min="8170" max="8170" width="11.85546875" style="137" bestFit="1" customWidth="1"/>
    <col min="8171" max="8180" width="12.85546875" style="137" bestFit="1" customWidth="1"/>
    <col min="8181" max="8181" width="9.140625" style="137"/>
    <col min="8182" max="8182" width="10.5703125" style="137" bestFit="1" customWidth="1"/>
    <col min="8183" max="8423" width="9.140625" style="137"/>
    <col min="8424" max="8424" width="35.42578125" style="137" customWidth="1"/>
    <col min="8425" max="8425" width="10.85546875" style="137" bestFit="1" customWidth="1"/>
    <col min="8426" max="8426" width="11.85546875" style="137" bestFit="1" customWidth="1"/>
    <col min="8427" max="8436" width="12.85546875" style="137" bestFit="1" customWidth="1"/>
    <col min="8437" max="8437" width="9.140625" style="137"/>
    <col min="8438" max="8438" width="10.5703125" style="137" bestFit="1" customWidth="1"/>
    <col min="8439" max="8679" width="9.140625" style="137"/>
    <col min="8680" max="8680" width="35.42578125" style="137" customWidth="1"/>
    <col min="8681" max="8681" width="10.85546875" style="137" bestFit="1" customWidth="1"/>
    <col min="8682" max="8682" width="11.85546875" style="137" bestFit="1" customWidth="1"/>
    <col min="8683" max="8692" width="12.85546875" style="137" bestFit="1" customWidth="1"/>
    <col min="8693" max="8693" width="9.140625" style="137"/>
    <col min="8694" max="8694" width="10.5703125" style="137" bestFit="1" customWidth="1"/>
    <col min="8695" max="8935" width="9.140625" style="137"/>
    <col min="8936" max="8936" width="35.42578125" style="137" customWidth="1"/>
    <col min="8937" max="8937" width="10.85546875" style="137" bestFit="1" customWidth="1"/>
    <col min="8938" max="8938" width="11.85546875" style="137" bestFit="1" customWidth="1"/>
    <col min="8939" max="8948" width="12.85546875" style="137" bestFit="1" customWidth="1"/>
    <col min="8949" max="8949" width="9.140625" style="137"/>
    <col min="8950" max="8950" width="10.5703125" style="137" bestFit="1" customWidth="1"/>
    <col min="8951" max="9191" width="9.140625" style="137"/>
    <col min="9192" max="9192" width="35.42578125" style="137" customWidth="1"/>
    <col min="9193" max="9193" width="10.85546875" style="137" bestFit="1" customWidth="1"/>
    <col min="9194" max="9194" width="11.85546875" style="137" bestFit="1" customWidth="1"/>
    <col min="9195" max="9204" width="12.85546875" style="137" bestFit="1" customWidth="1"/>
    <col min="9205" max="9205" width="9.140625" style="137"/>
    <col min="9206" max="9206" width="10.5703125" style="137" bestFit="1" customWidth="1"/>
    <col min="9207" max="9447" width="9.140625" style="137"/>
    <col min="9448" max="9448" width="35.42578125" style="137" customWidth="1"/>
    <col min="9449" max="9449" width="10.85546875" style="137" bestFit="1" customWidth="1"/>
    <col min="9450" max="9450" width="11.85546875" style="137" bestFit="1" customWidth="1"/>
    <col min="9451" max="9460" width="12.85546875" style="137" bestFit="1" customWidth="1"/>
    <col min="9461" max="9461" width="9.140625" style="137"/>
    <col min="9462" max="9462" width="10.5703125" style="137" bestFit="1" customWidth="1"/>
    <col min="9463" max="9703" width="9.140625" style="137"/>
    <col min="9704" max="9704" width="35.42578125" style="137" customWidth="1"/>
    <col min="9705" max="9705" width="10.85546875" style="137" bestFit="1" customWidth="1"/>
    <col min="9706" max="9706" width="11.85546875" style="137" bestFit="1" customWidth="1"/>
    <col min="9707" max="9716" width="12.85546875" style="137" bestFit="1" customWidth="1"/>
    <col min="9717" max="9717" width="9.140625" style="137"/>
    <col min="9718" max="9718" width="10.5703125" style="137" bestFit="1" customWidth="1"/>
    <col min="9719" max="9959" width="9.140625" style="137"/>
    <col min="9960" max="9960" width="35.42578125" style="137" customWidth="1"/>
    <col min="9961" max="9961" width="10.85546875" style="137" bestFit="1" customWidth="1"/>
    <col min="9962" max="9962" width="11.85546875" style="137" bestFit="1" customWidth="1"/>
    <col min="9963" max="9972" width="12.85546875" style="137" bestFit="1" customWidth="1"/>
    <col min="9973" max="9973" width="9.140625" style="137"/>
    <col min="9974" max="9974" width="10.5703125" style="137" bestFit="1" customWidth="1"/>
    <col min="9975" max="10215" width="9.140625" style="137"/>
    <col min="10216" max="10216" width="35.42578125" style="137" customWidth="1"/>
    <col min="10217" max="10217" width="10.85546875" style="137" bestFit="1" customWidth="1"/>
    <col min="10218" max="10218" width="11.85546875" style="137" bestFit="1" customWidth="1"/>
    <col min="10219" max="10228" width="12.85546875" style="137" bestFit="1" customWidth="1"/>
    <col min="10229" max="10229" width="9.140625" style="137"/>
    <col min="10230" max="10230" width="10.5703125" style="137" bestFit="1" customWidth="1"/>
    <col min="10231" max="10471" width="9.140625" style="137"/>
    <col min="10472" max="10472" width="35.42578125" style="137" customWidth="1"/>
    <col min="10473" max="10473" width="10.85546875" style="137" bestFit="1" customWidth="1"/>
    <col min="10474" max="10474" width="11.85546875" style="137" bestFit="1" customWidth="1"/>
    <col min="10475" max="10484" width="12.85546875" style="137" bestFit="1" customWidth="1"/>
    <col min="10485" max="10485" width="9.140625" style="137"/>
    <col min="10486" max="10486" width="10.5703125" style="137" bestFit="1" customWidth="1"/>
    <col min="10487" max="10727" width="9.140625" style="137"/>
    <col min="10728" max="10728" width="35.42578125" style="137" customWidth="1"/>
    <col min="10729" max="10729" width="10.85546875" style="137" bestFit="1" customWidth="1"/>
    <col min="10730" max="10730" width="11.85546875" style="137" bestFit="1" customWidth="1"/>
    <col min="10731" max="10740" width="12.85546875" style="137" bestFit="1" customWidth="1"/>
    <col min="10741" max="10741" width="9.140625" style="137"/>
    <col min="10742" max="10742" width="10.5703125" style="137" bestFit="1" customWidth="1"/>
    <col min="10743" max="10983" width="9.140625" style="137"/>
    <col min="10984" max="10984" width="35.42578125" style="137" customWidth="1"/>
    <col min="10985" max="10985" width="10.85546875" style="137" bestFit="1" customWidth="1"/>
    <col min="10986" max="10986" width="11.85546875" style="137" bestFit="1" customWidth="1"/>
    <col min="10987" max="10996" width="12.85546875" style="137" bestFit="1" customWidth="1"/>
    <col min="10997" max="10997" width="9.140625" style="137"/>
    <col min="10998" max="10998" width="10.5703125" style="137" bestFit="1" customWidth="1"/>
    <col min="10999" max="11239" width="9.140625" style="137"/>
    <col min="11240" max="11240" width="35.42578125" style="137" customWidth="1"/>
    <col min="11241" max="11241" width="10.85546875" style="137" bestFit="1" customWidth="1"/>
    <col min="11242" max="11242" width="11.85546875" style="137" bestFit="1" customWidth="1"/>
    <col min="11243" max="11252" width="12.85546875" style="137" bestFit="1" customWidth="1"/>
    <col min="11253" max="11253" width="9.140625" style="137"/>
    <col min="11254" max="11254" width="10.5703125" style="137" bestFit="1" customWidth="1"/>
    <col min="11255" max="11495" width="9.140625" style="137"/>
    <col min="11496" max="11496" width="35.42578125" style="137" customWidth="1"/>
    <col min="11497" max="11497" width="10.85546875" style="137" bestFit="1" customWidth="1"/>
    <col min="11498" max="11498" width="11.85546875" style="137" bestFit="1" customWidth="1"/>
    <col min="11499" max="11508" width="12.85546875" style="137" bestFit="1" customWidth="1"/>
    <col min="11509" max="11509" width="9.140625" style="137"/>
    <col min="11510" max="11510" width="10.5703125" style="137" bestFit="1" customWidth="1"/>
    <col min="11511" max="11751" width="9.140625" style="137"/>
    <col min="11752" max="11752" width="35.42578125" style="137" customWidth="1"/>
    <col min="11753" max="11753" width="10.85546875" style="137" bestFit="1" customWidth="1"/>
    <col min="11754" max="11754" width="11.85546875" style="137" bestFit="1" customWidth="1"/>
    <col min="11755" max="11764" width="12.85546875" style="137" bestFit="1" customWidth="1"/>
    <col min="11765" max="11765" width="9.140625" style="137"/>
    <col min="11766" max="11766" width="10.5703125" style="137" bestFit="1" customWidth="1"/>
    <col min="11767" max="12007" width="9.140625" style="137"/>
    <col min="12008" max="12008" width="35.42578125" style="137" customWidth="1"/>
    <col min="12009" max="12009" width="10.85546875" style="137" bestFit="1" customWidth="1"/>
    <col min="12010" max="12010" width="11.85546875" style="137" bestFit="1" customWidth="1"/>
    <col min="12011" max="12020" width="12.85546875" style="137" bestFit="1" customWidth="1"/>
    <col min="12021" max="12021" width="9.140625" style="137"/>
    <col min="12022" max="12022" width="10.5703125" style="137" bestFit="1" customWidth="1"/>
    <col min="12023" max="12263" width="9.140625" style="137"/>
    <col min="12264" max="12264" width="35.42578125" style="137" customWidth="1"/>
    <col min="12265" max="12265" width="10.85546875" style="137" bestFit="1" customWidth="1"/>
    <col min="12266" max="12266" width="11.85546875" style="137" bestFit="1" customWidth="1"/>
    <col min="12267" max="12276" width="12.85546875" style="137" bestFit="1" customWidth="1"/>
    <col min="12277" max="12277" width="9.140625" style="137"/>
    <col min="12278" max="12278" width="10.5703125" style="137" bestFit="1" customWidth="1"/>
    <col min="12279" max="12519" width="9.140625" style="137"/>
    <col min="12520" max="12520" width="35.42578125" style="137" customWidth="1"/>
    <col min="12521" max="12521" width="10.85546875" style="137" bestFit="1" customWidth="1"/>
    <col min="12522" max="12522" width="11.85546875" style="137" bestFit="1" customWidth="1"/>
    <col min="12523" max="12532" width="12.85546875" style="137" bestFit="1" customWidth="1"/>
    <col min="12533" max="12533" width="9.140625" style="137"/>
    <col min="12534" max="12534" width="10.5703125" style="137" bestFit="1" customWidth="1"/>
    <col min="12535" max="12775" width="9.140625" style="137"/>
    <col min="12776" max="12776" width="35.42578125" style="137" customWidth="1"/>
    <col min="12777" max="12777" width="10.85546875" style="137" bestFit="1" customWidth="1"/>
    <col min="12778" max="12778" width="11.85546875" style="137" bestFit="1" customWidth="1"/>
    <col min="12779" max="12788" width="12.85546875" style="137" bestFit="1" customWidth="1"/>
    <col min="12789" max="12789" width="9.140625" style="137"/>
    <col min="12790" max="12790" width="10.5703125" style="137" bestFit="1" customWidth="1"/>
    <col min="12791" max="13031" width="9.140625" style="137"/>
    <col min="13032" max="13032" width="35.42578125" style="137" customWidth="1"/>
    <col min="13033" max="13033" width="10.85546875" style="137" bestFit="1" customWidth="1"/>
    <col min="13034" max="13034" width="11.85546875" style="137" bestFit="1" customWidth="1"/>
    <col min="13035" max="13044" width="12.85546875" style="137" bestFit="1" customWidth="1"/>
    <col min="13045" max="13045" width="9.140625" style="137"/>
    <col min="13046" max="13046" width="10.5703125" style="137" bestFit="1" customWidth="1"/>
    <col min="13047" max="13287" width="9.140625" style="137"/>
    <col min="13288" max="13288" width="35.42578125" style="137" customWidth="1"/>
    <col min="13289" max="13289" width="10.85546875" style="137" bestFit="1" customWidth="1"/>
    <col min="13290" max="13290" width="11.85546875" style="137" bestFit="1" customWidth="1"/>
    <col min="13291" max="13300" width="12.85546875" style="137" bestFit="1" customWidth="1"/>
    <col min="13301" max="13301" width="9.140625" style="137"/>
    <col min="13302" max="13302" width="10.5703125" style="137" bestFit="1" customWidth="1"/>
    <col min="13303" max="13543" width="9.140625" style="137"/>
    <col min="13544" max="13544" width="35.42578125" style="137" customWidth="1"/>
    <col min="13545" max="13545" width="10.85546875" style="137" bestFit="1" customWidth="1"/>
    <col min="13546" max="13546" width="11.85546875" style="137" bestFit="1" customWidth="1"/>
    <col min="13547" max="13556" width="12.85546875" style="137" bestFit="1" customWidth="1"/>
    <col min="13557" max="13557" width="9.140625" style="137"/>
    <col min="13558" max="13558" width="10.5703125" style="137" bestFit="1" customWidth="1"/>
    <col min="13559" max="13799" width="9.140625" style="137"/>
    <col min="13800" max="13800" width="35.42578125" style="137" customWidth="1"/>
    <col min="13801" max="13801" width="10.85546875" style="137" bestFit="1" customWidth="1"/>
    <col min="13802" max="13802" width="11.85546875" style="137" bestFit="1" customWidth="1"/>
    <col min="13803" max="13812" width="12.85546875" style="137" bestFit="1" customWidth="1"/>
    <col min="13813" max="13813" width="9.140625" style="137"/>
    <col min="13814" max="13814" width="10.5703125" style="137" bestFit="1" customWidth="1"/>
    <col min="13815" max="14055" width="9.140625" style="137"/>
    <col min="14056" max="14056" width="35.42578125" style="137" customWidth="1"/>
    <col min="14057" max="14057" width="10.85546875" style="137" bestFit="1" customWidth="1"/>
    <col min="14058" max="14058" width="11.85546875" style="137" bestFit="1" customWidth="1"/>
    <col min="14059" max="14068" width="12.85546875" style="137" bestFit="1" customWidth="1"/>
    <col min="14069" max="14069" width="9.140625" style="137"/>
    <col min="14070" max="14070" width="10.5703125" style="137" bestFit="1" customWidth="1"/>
    <col min="14071" max="14311" width="9.140625" style="137"/>
    <col min="14312" max="14312" width="35.42578125" style="137" customWidth="1"/>
    <col min="14313" max="14313" width="10.85546875" style="137" bestFit="1" customWidth="1"/>
    <col min="14314" max="14314" width="11.85546875" style="137" bestFit="1" customWidth="1"/>
    <col min="14315" max="14324" width="12.85546875" style="137" bestFit="1" customWidth="1"/>
    <col min="14325" max="14325" width="9.140625" style="137"/>
    <col min="14326" max="14326" width="10.5703125" style="137" bestFit="1" customWidth="1"/>
    <col min="14327" max="14567" width="9.140625" style="137"/>
    <col min="14568" max="14568" width="35.42578125" style="137" customWidth="1"/>
    <col min="14569" max="14569" width="10.85546875" style="137" bestFit="1" customWidth="1"/>
    <col min="14570" max="14570" width="11.85546875" style="137" bestFit="1" customWidth="1"/>
    <col min="14571" max="14580" width="12.85546875" style="137" bestFit="1" customWidth="1"/>
    <col min="14581" max="14581" width="9.140625" style="137"/>
    <col min="14582" max="14582" width="10.5703125" style="137" bestFit="1" customWidth="1"/>
    <col min="14583" max="14823" width="9.140625" style="137"/>
    <col min="14824" max="14824" width="35.42578125" style="137" customWidth="1"/>
    <col min="14825" max="14825" width="10.85546875" style="137" bestFit="1" customWidth="1"/>
    <col min="14826" max="14826" width="11.85546875" style="137" bestFit="1" customWidth="1"/>
    <col min="14827" max="14836" width="12.85546875" style="137" bestFit="1" customWidth="1"/>
    <col min="14837" max="14837" width="9.140625" style="137"/>
    <col min="14838" max="14838" width="10.5703125" style="137" bestFit="1" customWidth="1"/>
    <col min="14839" max="15079" width="9.140625" style="137"/>
    <col min="15080" max="15080" width="35.42578125" style="137" customWidth="1"/>
    <col min="15081" max="15081" width="10.85546875" style="137" bestFit="1" customWidth="1"/>
    <col min="15082" max="15082" width="11.85546875" style="137" bestFit="1" customWidth="1"/>
    <col min="15083" max="15092" width="12.85546875" style="137" bestFit="1" customWidth="1"/>
    <col min="15093" max="15093" width="9.140625" style="137"/>
    <col min="15094" max="15094" width="10.5703125" style="137" bestFit="1" customWidth="1"/>
    <col min="15095" max="15335" width="9.140625" style="137"/>
    <col min="15336" max="15336" width="35.42578125" style="137" customWidth="1"/>
    <col min="15337" max="15337" width="10.85546875" style="137" bestFit="1" customWidth="1"/>
    <col min="15338" max="15338" width="11.85546875" style="137" bestFit="1" customWidth="1"/>
    <col min="15339" max="15348" width="12.85546875" style="137" bestFit="1" customWidth="1"/>
    <col min="15349" max="15349" width="9.140625" style="137"/>
    <col min="15350" max="15350" width="10.5703125" style="137" bestFit="1" customWidth="1"/>
    <col min="15351" max="15591" width="9.140625" style="137"/>
    <col min="15592" max="15592" width="35.42578125" style="137" customWidth="1"/>
    <col min="15593" max="15593" width="10.85546875" style="137" bestFit="1" customWidth="1"/>
    <col min="15594" max="15594" width="11.85546875" style="137" bestFit="1" customWidth="1"/>
    <col min="15595" max="15604" width="12.85546875" style="137" bestFit="1" customWidth="1"/>
    <col min="15605" max="15605" width="9.140625" style="137"/>
    <col min="15606" max="15606" width="10.5703125" style="137" bestFit="1" customWidth="1"/>
    <col min="15607" max="15847" width="9.140625" style="137"/>
    <col min="15848" max="15848" width="35.42578125" style="137" customWidth="1"/>
    <col min="15849" max="15849" width="10.85546875" style="137" bestFit="1" customWidth="1"/>
    <col min="15850" max="15850" width="11.85546875" style="137" bestFit="1" customWidth="1"/>
    <col min="15851" max="15860" width="12.85546875" style="137" bestFit="1" customWidth="1"/>
    <col min="15861" max="15861" width="9.140625" style="137"/>
    <col min="15862" max="15862" width="10.5703125" style="137" bestFit="1" customWidth="1"/>
    <col min="15863" max="16103" width="9.140625" style="137"/>
    <col min="16104" max="16104" width="35.42578125" style="137" customWidth="1"/>
    <col min="16105" max="16105" width="10.85546875" style="137" bestFit="1" customWidth="1"/>
    <col min="16106" max="16106" width="11.85546875" style="137" bestFit="1" customWidth="1"/>
    <col min="16107" max="16116" width="12.85546875" style="137" bestFit="1" customWidth="1"/>
    <col min="16117" max="16117" width="9.140625" style="137"/>
    <col min="16118" max="16118" width="10.5703125" style="137" bestFit="1" customWidth="1"/>
    <col min="16119" max="16384" width="9.140625" style="137"/>
  </cols>
  <sheetData>
    <row r="1" spans="2:17" ht="6" customHeight="1" thickBot="1">
      <c r="D1" s="138"/>
    </row>
    <row r="2" spans="2:17" ht="14.25" thickBot="1">
      <c r="B2" s="213" t="s">
        <v>44</v>
      </c>
      <c r="C2" s="214" t="s">
        <v>141</v>
      </c>
      <c r="D2" s="138"/>
      <c r="F2" s="141"/>
    </row>
    <row r="3" spans="2:17" ht="13.5">
      <c r="B3" s="139" t="s">
        <v>46</v>
      </c>
      <c r="C3" s="190">
        <v>0.08</v>
      </c>
      <c r="D3" s="138"/>
      <c r="F3" s="400" t="s">
        <v>47</v>
      </c>
      <c r="G3" s="401"/>
      <c r="H3" s="401"/>
      <c r="I3" s="401"/>
      <c r="J3" s="401"/>
      <c r="K3" s="401"/>
      <c r="L3" s="401"/>
      <c r="M3" s="401"/>
      <c r="N3" s="402"/>
    </row>
    <row r="4" spans="2:17">
      <c r="F4" s="403"/>
      <c r="G4" s="404"/>
      <c r="H4" s="404"/>
      <c r="I4" s="404"/>
      <c r="J4" s="404"/>
      <c r="K4" s="404"/>
      <c r="L4" s="404"/>
      <c r="M4" s="404"/>
      <c r="N4" s="405"/>
    </row>
    <row r="5" spans="2:17">
      <c r="C5" s="138"/>
      <c r="D5" s="138"/>
      <c r="F5" s="403"/>
      <c r="G5" s="404"/>
      <c r="H5" s="404"/>
      <c r="I5" s="404"/>
      <c r="J5" s="404"/>
      <c r="K5" s="404"/>
      <c r="L5" s="404"/>
      <c r="M5" s="404"/>
      <c r="N5" s="405"/>
    </row>
    <row r="6" spans="2:17" ht="13.5" thickBot="1">
      <c r="C6" s="138"/>
      <c r="D6" s="138"/>
      <c r="F6" s="406"/>
      <c r="G6" s="407"/>
      <c r="H6" s="407"/>
      <c r="I6" s="407"/>
      <c r="J6" s="407"/>
      <c r="K6" s="407"/>
      <c r="L6" s="407"/>
      <c r="M6" s="407"/>
      <c r="N6" s="408"/>
    </row>
    <row r="7" spans="2:17">
      <c r="G7" s="142"/>
      <c r="H7" s="142"/>
      <c r="I7" s="142"/>
      <c r="J7" s="142"/>
      <c r="K7" s="142"/>
      <c r="L7" s="142"/>
      <c r="M7" s="142"/>
      <c r="N7" s="142"/>
    </row>
    <row r="8" spans="2:17">
      <c r="D8" s="143">
        <v>0</v>
      </c>
      <c r="E8" s="143">
        <v>1</v>
      </c>
      <c r="F8" s="143">
        <v>2</v>
      </c>
      <c r="G8" s="143">
        <v>3</v>
      </c>
      <c r="H8" s="143">
        <v>4</v>
      </c>
      <c r="I8" s="143">
        <v>5</v>
      </c>
      <c r="J8" s="143">
        <v>6</v>
      </c>
      <c r="K8" s="143">
        <v>7</v>
      </c>
      <c r="L8" s="143">
        <v>8</v>
      </c>
      <c r="M8" s="143">
        <v>9</v>
      </c>
      <c r="N8" s="143">
        <v>10</v>
      </c>
    </row>
    <row r="9" spans="2:17" ht="13.5">
      <c r="B9" s="409" t="s">
        <v>48</v>
      </c>
      <c r="C9" s="410"/>
      <c r="D9" s="140" t="s">
        <v>49</v>
      </c>
      <c r="E9" s="140" t="s">
        <v>50</v>
      </c>
      <c r="F9" s="140" t="s">
        <v>51</v>
      </c>
      <c r="G9" s="140" t="s">
        <v>52</v>
      </c>
      <c r="H9" s="140" t="s">
        <v>53</v>
      </c>
      <c r="I9" s="140" t="s">
        <v>54</v>
      </c>
      <c r="J9" s="140" t="s">
        <v>55</v>
      </c>
      <c r="K9" s="140" t="s">
        <v>56</v>
      </c>
      <c r="L9" s="140" t="s">
        <v>57</v>
      </c>
      <c r="M9" s="140" t="s">
        <v>58</v>
      </c>
      <c r="N9" s="140" t="s">
        <v>59</v>
      </c>
    </row>
    <row r="10" spans="2:17" ht="13.5">
      <c r="B10" s="411"/>
      <c r="C10" s="412"/>
      <c r="D10" s="144">
        <v>2025</v>
      </c>
      <c r="E10" s="144">
        <f>D10+1</f>
        <v>2026</v>
      </c>
      <c r="F10" s="144">
        <f t="shared" ref="F10:M10" si="0">E10+1</f>
        <v>2027</v>
      </c>
      <c r="G10" s="144">
        <f t="shared" si="0"/>
        <v>2028</v>
      </c>
      <c r="H10" s="144">
        <f t="shared" si="0"/>
        <v>2029</v>
      </c>
      <c r="I10" s="144">
        <f t="shared" si="0"/>
        <v>2030</v>
      </c>
      <c r="J10" s="144">
        <f t="shared" si="0"/>
        <v>2031</v>
      </c>
      <c r="K10" s="144">
        <f t="shared" si="0"/>
        <v>2032</v>
      </c>
      <c r="L10" s="144">
        <f t="shared" si="0"/>
        <v>2033</v>
      </c>
      <c r="M10" s="144">
        <f t="shared" si="0"/>
        <v>2034</v>
      </c>
      <c r="N10" s="144">
        <f t="shared" ref="N10" si="1">M10+1</f>
        <v>2035</v>
      </c>
    </row>
    <row r="11" spans="2:17" ht="13.5">
      <c r="B11" s="145" t="s">
        <v>60</v>
      </c>
      <c r="C11" s="146"/>
      <c r="D11" s="147"/>
      <c r="E11" s="147"/>
      <c r="F11" s="147"/>
      <c r="G11" s="147"/>
      <c r="H11" s="147"/>
      <c r="I11" s="147"/>
      <c r="J11" s="147"/>
      <c r="K11" s="147"/>
      <c r="L11" s="147"/>
      <c r="M11" s="147"/>
      <c r="N11" s="147"/>
    </row>
    <row r="12" spans="2:17" ht="13.5">
      <c r="B12" s="148" t="s">
        <v>61</v>
      </c>
      <c r="C12" s="156" t="str">
        <f>CONCATENATE(VLOOKUP($C$2,countries!C:F,4,0),"/USD")</f>
        <v>MYR/USD</v>
      </c>
      <c r="D12" s="191">
        <f>IF(VLOOKUP($C$2,countries!$C:$D,2,0)="Euro area",1/VLOOKUP(VLOOKUP($C$2,countries!$C:$D,2,0),'BB FX'!$B:$AE,D8+4,0),VLOOKUP(VLOOKUP($C$2,countries!$C:$D,2,0),'BB FX'!$B:$AE,D8+4,0))</f>
        <v>4.71</v>
      </c>
      <c r="E12" s="191">
        <f>IF(VLOOKUP($C$2,countries!$C:$D,2,0)="Euro area",1/VLOOKUP(VLOOKUP($C$2,countries!$C:$D,2,0),'BB FX'!$B:$AE,E8+4,0),VLOOKUP(VLOOKUP($C$2,countries!$C:$D,2,0),'BB FX'!$B:$AE,E8+4,0))</f>
        <v>4.51</v>
      </c>
      <c r="F12" s="191">
        <f>IF(VLOOKUP($C$2,countries!$C:$D,2,0)="Euro area",1/VLOOKUP(VLOOKUP($C$2,countries!$C:$D,2,0),'BB FX'!$B:$AE,F8+4,0),VLOOKUP(VLOOKUP($C$2,countries!$C:$D,2,0),'BB FX'!$B:$AE,F8+4,0))</f>
        <v>4.28</v>
      </c>
      <c r="G12" s="191">
        <f>IF(VLOOKUP($C$2,countries!$C:$D,2,0)="Euro area",1/VLOOKUP(VLOOKUP($C$2,countries!$C:$D,2,0),'BB FX'!$B:$AE,G8+4,0),VLOOKUP(VLOOKUP($C$2,countries!$C:$D,2,0),'BB FX'!$B:$AE,G8+4,0))</f>
        <v>4.1399999999999997</v>
      </c>
      <c r="H12" s="191">
        <f>IF(VLOOKUP($C$2,countries!$C:$D,2,0)="Euro area",1/VLOOKUP(VLOOKUP($C$2,countries!$C:$D,2,0),'BB FX'!$B:$AE,H8+4,0),VLOOKUP(VLOOKUP($C$2,countries!$C:$D,2,0),'BB FX'!$B:$AE,H8+4,0))</f>
        <v>4.04</v>
      </c>
      <c r="I12" s="191">
        <f>IF(VLOOKUP($C$2,countries!$C:$D,2,0)="Euro area",1/VLOOKUP(VLOOKUP($C$2,countries!$C:$D,2,0),'BB FX'!$B:$AE,I8+4,0),VLOOKUP(VLOOKUP($C$2,countries!$C:$D,2,0),'BB FX'!$B:$AE,I8+4,0))</f>
        <v>3.96</v>
      </c>
      <c r="J12" s="191">
        <f>IF(VLOOKUP($C$2,countries!$C:$D,2,0)="Euro area",1/VLOOKUP(VLOOKUP($C$2,countries!$C:$D,2,0),'BB FX'!$B:$AE,J8+4,0),VLOOKUP(VLOOKUP($C$2,countries!$C:$D,2,0),'BB FX'!$B:$AE,J8+4,0))</f>
        <v>3.91</v>
      </c>
      <c r="K12" s="191">
        <f>IF(VLOOKUP($C$2,countries!$C:$D,2,0)="Euro area",1/VLOOKUP(VLOOKUP($C$2,countries!$C:$D,2,0),'BB FX'!$B:$AE,K8+4,0),VLOOKUP(VLOOKUP($C$2,countries!$C:$D,2,0),'BB FX'!$B:$AE,K8+4,0))</f>
        <v>3.88</v>
      </c>
      <c r="L12" s="191">
        <f>IF(VLOOKUP($C$2,countries!$C:$D,2,0)="Euro area",1/VLOOKUP(VLOOKUP($C$2,countries!$C:$D,2,0),'BB FX'!$B:$AE,L8+4,0),VLOOKUP(VLOOKUP($C$2,countries!$C:$D,2,0),'BB FX'!$B:$AE,L8+4,0))</f>
        <v>3.86</v>
      </c>
      <c r="M12" s="191">
        <f>IF(VLOOKUP($C$2,countries!$C:$D,2,0)="Euro area",1/VLOOKUP(VLOOKUP($C$2,countries!$C:$D,2,0),'BB FX'!$B:$AE,M8+4,0),VLOOKUP(VLOOKUP($C$2,countries!$C:$D,2,0),'BB FX'!$B:$AE,M8+4,0))</f>
        <v>3.84</v>
      </c>
      <c r="N12" s="191">
        <f>IF(VLOOKUP($C$2,countries!$C:$D,2,0)="Euro area",1/VLOOKUP(VLOOKUP($C$2,countries!$C:$D,2,0),'BB FX'!$B:$AE,N8+4,0),VLOOKUP(VLOOKUP($C$2,countries!$C:$D,2,0),'BB FX'!$B:$AE,N8+4,0))</f>
        <v>3.83</v>
      </c>
    </row>
    <row r="13" spans="2:17" ht="13.5">
      <c r="B13" s="148" t="s">
        <v>62</v>
      </c>
      <c r="C13" s="146" t="s">
        <v>63</v>
      </c>
      <c r="D13" s="192">
        <f>VLOOKUP($C$2,'BB inflation'!$B:$AE,D8+4,0)/100</f>
        <v>2.3849999999999996E-2</v>
      </c>
      <c r="E13" s="192">
        <f>VLOOKUP($C$2,'BB inflation'!$B:$AE,E8+4,0)/100</f>
        <v>2.7300000000000001E-2</v>
      </c>
      <c r="F13" s="192">
        <f>VLOOKUP($C$2,'BB inflation'!$B:$AE,F8+4,0)/100</f>
        <v>2.5899999999999999E-2</v>
      </c>
      <c r="G13" s="192">
        <f>VLOOKUP($C$2,'BB inflation'!$B:$AE,G8+4,0)/100</f>
        <v>2.5950000000000001E-2</v>
      </c>
      <c r="H13" s="192">
        <f>VLOOKUP($C$2,'BB inflation'!$B:$AE,H8+4,0)/100</f>
        <v>2.35E-2</v>
      </c>
      <c r="I13" s="192">
        <f>VLOOKUP($C$2,'BB inflation'!$B:$AE,I8+4,0)/100</f>
        <v>2.4E-2</v>
      </c>
      <c r="J13" s="192">
        <f>VLOOKUP($C$2,'BB inflation'!$B:$AE,J8+4,0)/100</f>
        <v>2.4299999999999999E-2</v>
      </c>
      <c r="K13" s="192">
        <f>VLOOKUP($C$2,'BB inflation'!$B:$AE,K8+4,0)/100</f>
        <v>2.4299999999999999E-2</v>
      </c>
      <c r="L13" s="192">
        <f>VLOOKUP($C$2,'BB inflation'!$B:$AE,L8+4,0)/100</f>
        <v>2.4050000000000002E-2</v>
      </c>
      <c r="M13" s="192">
        <f>VLOOKUP($C$2,'BB inflation'!$B:$AE,M8+4,0)/100</f>
        <v>2.375E-2</v>
      </c>
      <c r="N13" s="192">
        <f>VLOOKUP($C$2,'BB inflation'!$B:$AE,N8+4,0)/100</f>
        <v>2.3550000000000001E-2</v>
      </c>
    </row>
    <row r="14" spans="2:17" ht="13.5">
      <c r="B14" s="148" t="s">
        <v>64</v>
      </c>
      <c r="C14" s="146" t="s">
        <v>63</v>
      </c>
      <c r="D14" s="150"/>
      <c r="E14" s="150">
        <f>(1+D14)*(1+D13)-1</f>
        <v>2.3849999999999927E-2</v>
      </c>
      <c r="F14" s="150">
        <f>(1+E14)*(1+E13)-1</f>
        <v>5.1801105000000014E-2</v>
      </c>
      <c r="G14" s="150">
        <f t="shared" ref="G14:N14" si="2">(1+F14)*(1+F13)-1</f>
        <v>7.9042753619499972E-2</v>
      </c>
      <c r="H14" s="150">
        <f t="shared" si="2"/>
        <v>0.10704391307592598</v>
      </c>
      <c r="I14" s="150">
        <f t="shared" si="2"/>
        <v>0.13305944503321032</v>
      </c>
      <c r="J14" s="150">
        <f t="shared" si="2"/>
        <v>0.16025287171400748</v>
      </c>
      <c r="K14" s="150">
        <f t="shared" si="2"/>
        <v>0.18844701649665785</v>
      </c>
      <c r="L14" s="150">
        <f t="shared" si="2"/>
        <v>0.21732627899752655</v>
      </c>
      <c r="M14" s="150">
        <f t="shared" si="2"/>
        <v>0.24660297600741687</v>
      </c>
      <c r="N14" s="150">
        <f t="shared" si="2"/>
        <v>0.27620979668759293</v>
      </c>
      <c r="P14" s="228" t="s">
        <v>466</v>
      </c>
    </row>
    <row r="15" spans="2:17" ht="13.5">
      <c r="B15" s="148" t="s">
        <v>65</v>
      </c>
      <c r="C15" s="146" t="s">
        <v>63</v>
      </c>
      <c r="D15" s="150">
        <f>VLOOKUP($C$2,'tax rates'!$B:$AE,D$8+4,0)/100</f>
        <v>0.24</v>
      </c>
      <c r="E15" s="150">
        <f>VLOOKUP($C$2,'tax rates'!$B:$AE,E$8+4,0)/100</f>
        <v>0.24</v>
      </c>
      <c r="F15" s="150">
        <f>VLOOKUP($C$2,'tax rates'!$B:$AE,F$8+4,0)/100</f>
        <v>0.24</v>
      </c>
      <c r="G15" s="150">
        <f>VLOOKUP($C$2,'tax rates'!$B:$AE,G$8+4,0)/100</f>
        <v>0.24</v>
      </c>
      <c r="H15" s="150">
        <f>VLOOKUP($C$2,'tax rates'!$B:$AE,H$8+4,0)/100</f>
        <v>0.24</v>
      </c>
      <c r="I15" s="150">
        <f>VLOOKUP($C$2,'tax rates'!$B:$AE,I$8+4,0)/100</f>
        <v>0.24</v>
      </c>
      <c r="J15" s="150">
        <f>VLOOKUP($C$2,'tax rates'!$B:$AE,J$8+4,0)/100</f>
        <v>0.24</v>
      </c>
      <c r="K15" s="150">
        <f>VLOOKUP($C$2,'tax rates'!$B:$AE,K$8+4,0)/100</f>
        <v>0.24</v>
      </c>
      <c r="L15" s="150">
        <f>VLOOKUP($C$2,'tax rates'!$B:$AE,L$8+4,0)/100</f>
        <v>0.24</v>
      </c>
      <c r="M15" s="150">
        <f>VLOOKUP($C$2,'tax rates'!$B:$AE,M$8+4,0)/100</f>
        <v>0.24</v>
      </c>
      <c r="N15" s="150">
        <f>VLOOKUP($C$2,'tax rates'!$B:$AE,N$8+4,0)/100</f>
        <v>0.24</v>
      </c>
      <c r="P15" s="227" t="str">
        <f>VLOOKUP(C2,'tax rates'!B:AF,31,0)</f>
        <v>BP tax - 2023</v>
      </c>
      <c r="Q15" s="224" t="s">
        <v>595</v>
      </c>
    </row>
    <row r="16" spans="2:17" ht="13.5">
      <c r="B16" s="151" t="s">
        <v>66</v>
      </c>
      <c r="C16" s="152"/>
      <c r="D16" s="153"/>
      <c r="E16" s="153"/>
      <c r="F16" s="153"/>
      <c r="G16" s="153"/>
      <c r="H16" s="153"/>
      <c r="I16" s="154"/>
      <c r="J16" s="154"/>
      <c r="K16" s="154"/>
      <c r="L16" s="154"/>
      <c r="M16" s="154"/>
      <c r="N16" s="154"/>
    </row>
    <row r="17" spans="2:15" ht="13.5">
      <c r="B17" s="155" t="s">
        <v>455</v>
      </c>
      <c r="C17" s="156" t="s">
        <v>68</v>
      </c>
      <c r="D17" s="377"/>
      <c r="E17" s="377">
        <f>'Working - MY OU 5% Imrpovement'!E6</f>
        <v>1511910.2</v>
      </c>
      <c r="F17" s="377">
        <f>'Working - MY OU 5% Imrpovement'!F6</f>
        <v>1511910.2</v>
      </c>
      <c r="G17" s="377">
        <f>'Working - MY OU 5% Imrpovement'!G6</f>
        <v>1511910.2</v>
      </c>
      <c r="H17" s="377">
        <f>'Working - MY OU 5% Imrpovement'!H6</f>
        <v>1511910.2</v>
      </c>
      <c r="I17" s="377">
        <f>'Working - MY OU 5% Imrpovement'!I6</f>
        <v>1511910.2</v>
      </c>
      <c r="J17" s="377"/>
      <c r="K17" s="377"/>
      <c r="L17" s="377"/>
      <c r="M17" s="377"/>
      <c r="N17" s="377"/>
      <c r="O17" s="223" t="s">
        <v>459</v>
      </c>
    </row>
    <row r="18" spans="2:15" ht="13.5">
      <c r="B18" s="155" t="s">
        <v>69</v>
      </c>
      <c r="C18" s="156" t="str">
        <f>CONCATENATE(VLOOKUP($C$2,countries!C:F,4,0),"/lt")</f>
        <v>MYR/lt</v>
      </c>
      <c r="D18" s="381"/>
      <c r="E18" s="383">
        <f>'Working - MY OU 5% Imrpovement'!E7*E12</f>
        <v>4.0590000000000002</v>
      </c>
      <c r="F18" s="383">
        <f>'Working - MY OU 5% Imrpovement'!F7*F12</f>
        <v>3.8520000000000003</v>
      </c>
      <c r="G18" s="383">
        <f>'Working - MY OU 5% Imrpovement'!G7*G12</f>
        <v>3.726</v>
      </c>
      <c r="H18" s="383">
        <f>'Working - MY OU 5% Imrpovement'!H7*H12</f>
        <v>3.6360000000000001</v>
      </c>
      <c r="I18" s="383">
        <f>'Working - MY OU 5% Imrpovement'!I7*I12</f>
        <v>3.5640000000000001</v>
      </c>
      <c r="J18" s="377"/>
      <c r="K18" s="377"/>
      <c r="L18" s="377"/>
      <c r="M18" s="377"/>
      <c r="N18" s="377"/>
    </row>
    <row r="19" spans="2:15" ht="13.5">
      <c r="B19" s="155" t="s">
        <v>456</v>
      </c>
      <c r="C19" s="156" t="str">
        <f>CONCATENATE(VLOOKUP($C$2,countries!C:F,4,0),"/lt")</f>
        <v>MYR/lt</v>
      </c>
      <c r="D19" s="381"/>
      <c r="E19" s="383"/>
      <c r="F19" s="384"/>
      <c r="G19" s="384"/>
      <c r="H19" s="384"/>
      <c r="I19" s="384"/>
      <c r="J19" s="377"/>
      <c r="K19" s="377"/>
      <c r="L19" s="377"/>
      <c r="M19" s="377"/>
      <c r="N19" s="377"/>
    </row>
    <row r="20" spans="2:15" ht="13.5">
      <c r="B20" s="155" t="s">
        <v>69</v>
      </c>
      <c r="C20" s="156" t="str">
        <f>CONCATENATE(VLOOKUP($C$2,countries!C:F,4,0),"/lt")</f>
        <v>MYR/lt</v>
      </c>
      <c r="D20" s="374">
        <f>D18+D19</f>
        <v>0</v>
      </c>
      <c r="E20" s="385">
        <f t="shared" ref="E20:M20" si="3">E18+E19</f>
        <v>4.0590000000000002</v>
      </c>
      <c r="F20" s="385">
        <f t="shared" si="3"/>
        <v>3.8520000000000003</v>
      </c>
      <c r="G20" s="385">
        <f t="shared" si="3"/>
        <v>3.726</v>
      </c>
      <c r="H20" s="385">
        <f t="shared" si="3"/>
        <v>3.6360000000000001</v>
      </c>
      <c r="I20" s="385">
        <f t="shared" si="3"/>
        <v>3.5640000000000001</v>
      </c>
      <c r="J20" s="374">
        <f t="shared" si="3"/>
        <v>0</v>
      </c>
      <c r="K20" s="374">
        <f t="shared" si="3"/>
        <v>0</v>
      </c>
      <c r="L20" s="374">
        <f t="shared" si="3"/>
        <v>0</v>
      </c>
      <c r="M20" s="374">
        <f t="shared" si="3"/>
        <v>0</v>
      </c>
      <c r="N20" s="374">
        <f t="shared" ref="N20" si="4">N18+N19</f>
        <v>0</v>
      </c>
    </row>
    <row r="21" spans="2:15" ht="13.5">
      <c r="B21" s="155" t="s">
        <v>457</v>
      </c>
      <c r="C21" s="156" t="str">
        <f>VLOOKUP($C$2,countries!C:F,4,0)</f>
        <v>MYR</v>
      </c>
      <c r="D21" s="374">
        <f>D17*D18</f>
        <v>0</v>
      </c>
      <c r="E21" s="374">
        <f t="shared" ref="E21:M21" si="5">E17*E18</f>
        <v>6136843.5017999997</v>
      </c>
      <c r="F21" s="374">
        <f t="shared" si="5"/>
        <v>5823878.0904000001</v>
      </c>
      <c r="G21" s="374">
        <f t="shared" si="5"/>
        <v>5633377.4051999999</v>
      </c>
      <c r="H21" s="374">
        <f t="shared" si="5"/>
        <v>5497305.4872000003</v>
      </c>
      <c r="I21" s="374">
        <f t="shared" si="5"/>
        <v>5388447.9528000001</v>
      </c>
      <c r="J21" s="374">
        <f t="shared" si="5"/>
        <v>0</v>
      </c>
      <c r="K21" s="374">
        <f t="shared" si="5"/>
        <v>0</v>
      </c>
      <c r="L21" s="374">
        <f t="shared" si="5"/>
        <v>0</v>
      </c>
      <c r="M21" s="374">
        <f t="shared" si="5"/>
        <v>0</v>
      </c>
      <c r="N21" s="374">
        <f t="shared" ref="N21" si="6">N17*N18</f>
        <v>0</v>
      </c>
    </row>
    <row r="22" spans="2:15" ht="13.5">
      <c r="B22" s="155" t="s">
        <v>458</v>
      </c>
      <c r="C22" s="156" t="str">
        <f>VLOOKUP($C$2,countries!C:F,4,0)</f>
        <v>MYR</v>
      </c>
      <c r="D22" s="374">
        <f>D17*D19</f>
        <v>0</v>
      </c>
      <c r="E22" s="374">
        <f t="shared" ref="E22:M22" si="7">E17*E19</f>
        <v>0</v>
      </c>
      <c r="F22" s="374">
        <f t="shared" si="7"/>
        <v>0</v>
      </c>
      <c r="G22" s="374">
        <f t="shared" si="7"/>
        <v>0</v>
      </c>
      <c r="H22" s="374">
        <f t="shared" si="7"/>
        <v>0</v>
      </c>
      <c r="I22" s="374">
        <f t="shared" si="7"/>
        <v>0</v>
      </c>
      <c r="J22" s="374">
        <f t="shared" si="7"/>
        <v>0</v>
      </c>
      <c r="K22" s="374">
        <f t="shared" si="7"/>
        <v>0</v>
      </c>
      <c r="L22" s="374">
        <f t="shared" si="7"/>
        <v>0</v>
      </c>
      <c r="M22" s="374">
        <f t="shared" si="7"/>
        <v>0</v>
      </c>
      <c r="N22" s="374">
        <f t="shared" ref="N22" si="8">N17*N19</f>
        <v>0</v>
      </c>
    </row>
    <row r="23" spans="2:15" ht="13.5">
      <c r="B23" s="151" t="s">
        <v>70</v>
      </c>
      <c r="C23" s="157"/>
      <c r="D23" s="375"/>
      <c r="E23" s="375"/>
      <c r="F23" s="376"/>
      <c r="G23" s="376"/>
      <c r="H23" s="376"/>
      <c r="I23" s="376"/>
      <c r="J23" s="376"/>
      <c r="K23" s="376"/>
      <c r="L23" s="376"/>
      <c r="M23" s="376"/>
      <c r="N23" s="376"/>
    </row>
    <row r="24" spans="2:15" ht="13.5">
      <c r="B24" s="158" t="s">
        <v>243</v>
      </c>
      <c r="C24" s="159" t="str">
        <f>VLOOKUP($C$2,countries!C:F,4,0)</f>
        <v>MYR</v>
      </c>
      <c r="D24" s="373">
        <f>D20*D17</f>
        <v>0</v>
      </c>
      <c r="E24" s="373">
        <f>E20*E17</f>
        <v>6136843.5017999997</v>
      </c>
      <c r="F24" s="373">
        <f t="shared" ref="F24:M24" si="9">F20*F17</f>
        <v>5823878.0904000001</v>
      </c>
      <c r="G24" s="373">
        <f t="shared" si="9"/>
        <v>5633377.4051999999</v>
      </c>
      <c r="H24" s="373">
        <f t="shared" si="9"/>
        <v>5497305.4872000003</v>
      </c>
      <c r="I24" s="373">
        <f t="shared" si="9"/>
        <v>5388447.9528000001</v>
      </c>
      <c r="J24" s="373">
        <f t="shared" si="9"/>
        <v>0</v>
      </c>
      <c r="K24" s="373">
        <f t="shared" si="9"/>
        <v>0</v>
      </c>
      <c r="L24" s="373">
        <f t="shared" si="9"/>
        <v>0</v>
      </c>
      <c r="M24" s="373">
        <f t="shared" si="9"/>
        <v>0</v>
      </c>
      <c r="N24" s="373">
        <f t="shared" ref="N24" si="10">N20*N17</f>
        <v>0</v>
      </c>
    </row>
    <row r="25" spans="2:15" ht="13.5">
      <c r="B25" s="158" t="s">
        <v>443</v>
      </c>
      <c r="C25" s="159" t="str">
        <f>VLOOKUP($C$2,countries!C:F,4,0)</f>
        <v>MYR</v>
      </c>
      <c r="D25" s="377"/>
      <c r="E25" s="377"/>
      <c r="F25" s="377"/>
      <c r="G25" s="377"/>
      <c r="H25" s="377"/>
      <c r="I25" s="377"/>
      <c r="J25" s="377"/>
      <c r="K25" s="377"/>
      <c r="L25" s="377"/>
      <c r="M25" s="377"/>
      <c r="N25" s="377"/>
    </row>
    <row r="26" spans="2:15" ht="13.5">
      <c r="B26" s="158" t="s">
        <v>244</v>
      </c>
      <c r="C26" s="159" t="str">
        <f>VLOOKUP($C$2,countries!C:F,4,0)</f>
        <v>MYR</v>
      </c>
      <c r="D26" s="377"/>
      <c r="E26" s="377"/>
      <c r="F26" s="377"/>
      <c r="G26" s="377"/>
      <c r="H26" s="377"/>
      <c r="I26" s="377"/>
      <c r="J26" s="377"/>
      <c r="K26" s="377"/>
      <c r="L26" s="377"/>
      <c r="M26" s="377"/>
      <c r="N26" s="377"/>
    </row>
    <row r="27" spans="2:15" ht="13.5">
      <c r="B27" s="158" t="s">
        <v>444</v>
      </c>
      <c r="C27" s="159" t="str">
        <f>VLOOKUP($C$2,countries!C:F,4,0)</f>
        <v>MYR</v>
      </c>
      <c r="D27" s="377"/>
      <c r="E27" s="377"/>
      <c r="F27" s="377"/>
      <c r="G27" s="377"/>
      <c r="H27" s="377"/>
      <c r="I27" s="377"/>
      <c r="J27" s="377"/>
      <c r="K27" s="377"/>
      <c r="L27" s="377"/>
      <c r="M27" s="377"/>
      <c r="N27" s="377"/>
    </row>
    <row r="28" spans="2:15" ht="13.5">
      <c r="B28" s="158" t="s">
        <v>445</v>
      </c>
      <c r="C28" s="159" t="str">
        <f>VLOOKUP($C$2,countries!C:F,4,0)</f>
        <v>MYR</v>
      </c>
      <c r="D28" s="377">
        <v>-400000</v>
      </c>
      <c r="E28" s="377"/>
      <c r="F28" s="377"/>
      <c r="G28" s="377"/>
      <c r="H28" s="377"/>
      <c r="I28" s="377"/>
      <c r="J28" s="377"/>
      <c r="K28" s="377"/>
      <c r="L28" s="377"/>
      <c r="M28" s="377"/>
      <c r="N28" s="377"/>
    </row>
    <row r="29" spans="2:15" ht="13.5">
      <c r="B29" s="158" t="s">
        <v>447</v>
      </c>
      <c r="C29" s="159" t="str">
        <f>VLOOKUP($C$2,countries!C:F,4,0)</f>
        <v>MYR</v>
      </c>
      <c r="D29" s="377"/>
      <c r="E29" s="377"/>
      <c r="F29" s="377"/>
      <c r="G29" s="377"/>
      <c r="H29" s="377"/>
      <c r="I29" s="377"/>
      <c r="J29" s="377"/>
      <c r="K29" s="377"/>
      <c r="L29" s="377"/>
      <c r="M29" s="377"/>
      <c r="N29" s="377"/>
    </row>
    <row r="30" spans="2:15" ht="13.5">
      <c r="B30" s="158" t="s">
        <v>446</v>
      </c>
      <c r="C30" s="159" t="str">
        <f>VLOOKUP($C$2,countries!C:F,4,0)</f>
        <v>MYR</v>
      </c>
      <c r="D30" s="377"/>
      <c r="E30" s="377"/>
      <c r="F30" s="377"/>
      <c r="G30" s="377"/>
      <c r="H30" s="377"/>
      <c r="I30" s="377"/>
      <c r="J30" s="377"/>
      <c r="K30" s="377"/>
      <c r="L30" s="377"/>
      <c r="M30" s="377"/>
      <c r="N30" s="377"/>
    </row>
    <row r="31" spans="2:15" ht="13.5">
      <c r="B31" s="158" t="s">
        <v>473</v>
      </c>
      <c r="C31" s="159" t="str">
        <f>VLOOKUP($C$2,countries!C:F,4,0)</f>
        <v>MYR</v>
      </c>
      <c r="D31" s="377"/>
      <c r="E31" s="377"/>
      <c r="F31" s="377"/>
      <c r="G31" s="377"/>
      <c r="H31" s="377"/>
      <c r="I31" s="377"/>
      <c r="J31" s="377"/>
      <c r="K31" s="377"/>
      <c r="L31" s="377"/>
      <c r="M31" s="377"/>
      <c r="N31" s="377"/>
    </row>
    <row r="32" spans="2:15" ht="13.5">
      <c r="B32" s="158" t="s">
        <v>240</v>
      </c>
      <c r="C32" s="159" t="str">
        <f>VLOOKUP($C$2,countries!C:F,4,0)</f>
        <v>MYR</v>
      </c>
      <c r="D32" s="377"/>
      <c r="E32" s="377"/>
      <c r="F32" s="377"/>
      <c r="G32" s="377"/>
      <c r="H32" s="377"/>
      <c r="I32" s="377"/>
      <c r="J32" s="377"/>
      <c r="K32" s="377"/>
      <c r="L32" s="377"/>
      <c r="M32" s="377"/>
      <c r="N32" s="377"/>
    </row>
    <row r="33" spans="2:24" ht="13.5">
      <c r="B33" s="158" t="s">
        <v>235</v>
      </c>
      <c r="C33" s="159" t="str">
        <f>VLOOKUP($C$2,countries!C:F,4,0)</f>
        <v>MYR</v>
      </c>
      <c r="D33" s="377"/>
      <c r="E33" s="377"/>
      <c r="F33" s="377"/>
      <c r="G33" s="377"/>
      <c r="H33" s="377"/>
      <c r="I33" s="377"/>
      <c r="J33" s="377"/>
      <c r="K33" s="377"/>
      <c r="L33" s="377"/>
      <c r="M33" s="377"/>
      <c r="N33" s="377"/>
      <c r="X33" s="160"/>
    </row>
    <row r="34" spans="2:24" ht="13.5">
      <c r="B34" s="158" t="s">
        <v>236</v>
      </c>
      <c r="C34" s="159" t="str">
        <f>VLOOKUP($C$2,countries!C:F,4,0)</f>
        <v>MYR</v>
      </c>
      <c r="D34" s="377"/>
      <c r="E34" s="377"/>
      <c r="F34" s="377"/>
      <c r="G34" s="377"/>
      <c r="H34" s="377"/>
      <c r="I34" s="377"/>
      <c r="J34" s="377"/>
      <c r="K34" s="377"/>
      <c r="L34" s="377"/>
      <c r="M34" s="377"/>
      <c r="N34" s="377"/>
      <c r="X34" s="160"/>
    </row>
    <row r="35" spans="2:24" ht="13.5">
      <c r="B35" s="158" t="s">
        <v>237</v>
      </c>
      <c r="C35" s="159" t="str">
        <f>VLOOKUP($C$2,countries!C:F,4,0)</f>
        <v>MYR</v>
      </c>
      <c r="D35" s="377"/>
      <c r="E35" s="377"/>
      <c r="F35" s="377"/>
      <c r="G35" s="377"/>
      <c r="H35" s="377"/>
      <c r="I35" s="377"/>
      <c r="J35" s="377"/>
      <c r="K35" s="377"/>
      <c r="L35" s="377"/>
      <c r="M35" s="377"/>
      <c r="N35" s="377"/>
      <c r="X35" s="160"/>
    </row>
    <row r="36" spans="2:24" ht="13.5">
      <c r="B36" s="158" t="s">
        <v>238</v>
      </c>
      <c r="C36" s="159" t="str">
        <f>VLOOKUP($C$2,countries!C:F,4,0)</f>
        <v>MYR</v>
      </c>
      <c r="D36" s="377"/>
      <c r="E36" s="377"/>
      <c r="F36" s="377"/>
      <c r="G36" s="377"/>
      <c r="H36" s="377"/>
      <c r="I36" s="377"/>
      <c r="J36" s="377"/>
      <c r="K36" s="377"/>
      <c r="L36" s="377"/>
      <c r="M36" s="377"/>
      <c r="N36" s="377"/>
      <c r="X36" s="160"/>
    </row>
    <row r="37" spans="2:24" ht="13.5">
      <c r="B37" s="158" t="s">
        <v>239</v>
      </c>
      <c r="C37" s="159" t="str">
        <f>VLOOKUP($C$2,countries!C:F,4,0)</f>
        <v>MYR</v>
      </c>
      <c r="D37" s="377"/>
      <c r="E37" s="377"/>
      <c r="F37" s="377"/>
      <c r="G37" s="377"/>
      <c r="H37" s="377"/>
      <c r="I37" s="377"/>
      <c r="J37" s="377"/>
      <c r="K37" s="377"/>
      <c r="L37" s="377"/>
      <c r="M37" s="377"/>
      <c r="N37" s="377"/>
      <c r="X37" s="160"/>
    </row>
    <row r="38" spans="2:24" ht="13.5">
      <c r="B38" s="158" t="s">
        <v>71</v>
      </c>
      <c r="C38" s="159" t="str">
        <f>VLOOKUP($C$2,countries!C:F,4,0)</f>
        <v>MYR</v>
      </c>
      <c r="D38" s="377"/>
      <c r="E38" s="377"/>
      <c r="F38" s="377"/>
      <c r="G38" s="377"/>
      <c r="H38" s="377"/>
      <c r="I38" s="377"/>
      <c r="J38" s="377"/>
      <c r="K38" s="377"/>
      <c r="L38" s="377"/>
      <c r="M38" s="377"/>
      <c r="N38" s="377"/>
      <c r="O38" s="161"/>
      <c r="X38" s="160"/>
    </row>
    <row r="39" spans="2:24" ht="13.5">
      <c r="B39" s="158" t="s">
        <v>72</v>
      </c>
      <c r="C39" s="159" t="str">
        <f>VLOOKUP($C$2,countries!C:F,4,0)</f>
        <v>MYR</v>
      </c>
      <c r="D39" s="378"/>
      <c r="E39" s="378"/>
      <c r="F39" s="378"/>
      <c r="G39" s="378"/>
      <c r="H39" s="378"/>
      <c r="I39" s="378"/>
      <c r="J39" s="378"/>
      <c r="K39" s="378"/>
      <c r="L39" s="378"/>
      <c r="M39" s="378"/>
      <c r="N39" s="378"/>
      <c r="O39" s="161"/>
    </row>
    <row r="40" spans="2:24" ht="13.5">
      <c r="B40" s="158" t="s">
        <v>73</v>
      </c>
      <c r="C40" s="159" t="str">
        <f>VLOOKUP($C$2,countries!C:F,4,0)</f>
        <v>MYR</v>
      </c>
      <c r="D40" s="373">
        <f>SUM('Capex&amp;Depr'!F20:F29)</f>
        <v>0</v>
      </c>
      <c r="E40" s="373">
        <f>SUM('Capex&amp;Depr'!G20:G29)</f>
        <v>-480480</v>
      </c>
      <c r="F40" s="373">
        <f>SUM('Capex&amp;Depr'!H20:H29)</f>
        <v>-480480</v>
      </c>
      <c r="G40" s="373">
        <f>SUM('Capex&amp;Depr'!I20:I29)</f>
        <v>-480480</v>
      </c>
      <c r="H40" s="373">
        <f>SUM('Capex&amp;Depr'!J20:J29)</f>
        <v>-480480</v>
      </c>
      <c r="I40" s="373">
        <f>SUM('Capex&amp;Depr'!K20:K29)</f>
        <v>-480480</v>
      </c>
      <c r="J40" s="373">
        <f>SUM('Capex&amp;Depr'!L20:L29)</f>
        <v>0</v>
      </c>
      <c r="K40" s="373">
        <f>SUM('Capex&amp;Depr'!M20:M29)</f>
        <v>0</v>
      </c>
      <c r="L40" s="373">
        <f>SUM('Capex&amp;Depr'!N20:N29)</f>
        <v>0</v>
      </c>
      <c r="M40" s="373">
        <f>SUM('Capex&amp;Depr'!O20:O29)</f>
        <v>0</v>
      </c>
      <c r="N40" s="373"/>
    </row>
    <row r="41" spans="2:24" ht="13.5">
      <c r="B41" s="158" t="s">
        <v>200</v>
      </c>
      <c r="C41" s="159" t="str">
        <f>VLOOKUP($C$2,countries!C:F,4,0)</f>
        <v>MYR</v>
      </c>
      <c r="D41" s="377"/>
      <c r="E41" s="377"/>
      <c r="F41" s="377"/>
      <c r="G41" s="377"/>
      <c r="H41" s="377"/>
      <c r="I41" s="377"/>
      <c r="J41" s="377"/>
      <c r="K41" s="377"/>
      <c r="L41" s="377"/>
      <c r="M41" s="377"/>
      <c r="N41" s="377"/>
    </row>
    <row r="42" spans="2:24" ht="13.5">
      <c r="B42" s="158" t="s">
        <v>245</v>
      </c>
      <c r="C42" s="159" t="str">
        <f>VLOOKUP($C$2,countries!C:F,4,0)</f>
        <v>MYR</v>
      </c>
      <c r="D42" s="378"/>
      <c r="E42" s="378"/>
      <c r="F42" s="378"/>
      <c r="G42" s="378"/>
      <c r="H42" s="378"/>
      <c r="I42" s="378"/>
      <c r="J42" s="378"/>
      <c r="K42" s="378"/>
      <c r="L42" s="378"/>
      <c r="M42" s="378"/>
      <c r="N42" s="378"/>
    </row>
    <row r="43" spans="2:24" ht="13.5">
      <c r="B43" s="158" t="s">
        <v>74</v>
      </c>
      <c r="C43" s="159" t="str">
        <f>VLOOKUP($C$2,countries!C:F,4,0)</f>
        <v>MYR</v>
      </c>
      <c r="D43" s="378"/>
      <c r="E43" s="378"/>
      <c r="F43" s="378"/>
      <c r="G43" s="378"/>
      <c r="H43" s="378"/>
      <c r="I43" s="378"/>
      <c r="J43" s="378"/>
      <c r="K43" s="378"/>
      <c r="L43" s="378"/>
      <c r="M43" s="378"/>
      <c r="N43" s="378"/>
    </row>
    <row r="44" spans="2:24" ht="13.5">
      <c r="B44" s="162" t="s">
        <v>75</v>
      </c>
      <c r="C44" s="163" t="str">
        <f>VLOOKUP($C$2,countries!C:F,4,0)</f>
        <v>MYR</v>
      </c>
      <c r="D44" s="379">
        <f t="shared" ref="D44:M44" si="11">SUM(D23:D43)</f>
        <v>-400000</v>
      </c>
      <c r="E44" s="379">
        <f t="shared" si="11"/>
        <v>5656363.5017999997</v>
      </c>
      <c r="F44" s="379">
        <f t="shared" si="11"/>
        <v>5343398.0904000001</v>
      </c>
      <c r="G44" s="379">
        <f t="shared" si="11"/>
        <v>5152897.4051999999</v>
      </c>
      <c r="H44" s="379">
        <f t="shared" si="11"/>
        <v>5016825.4872000003</v>
      </c>
      <c r="I44" s="379">
        <f t="shared" si="11"/>
        <v>4907967.9528000001</v>
      </c>
      <c r="J44" s="379">
        <f t="shared" si="11"/>
        <v>0</v>
      </c>
      <c r="K44" s="379">
        <f t="shared" si="11"/>
        <v>0</v>
      </c>
      <c r="L44" s="379">
        <f t="shared" si="11"/>
        <v>0</v>
      </c>
      <c r="M44" s="379">
        <f t="shared" si="11"/>
        <v>0</v>
      </c>
      <c r="N44" s="379">
        <f t="shared" ref="N44" si="12">SUM(N23:N43)</f>
        <v>0</v>
      </c>
    </row>
    <row r="45" spans="2:24" ht="13.5">
      <c r="B45" s="158" t="s">
        <v>76</v>
      </c>
      <c r="C45" s="152" t="str">
        <f>VLOOKUP($C$2,countries!C:F,4,0)</f>
        <v>MYR</v>
      </c>
      <c r="D45" s="377">
        <v>0</v>
      </c>
      <c r="E45" s="377">
        <v>0</v>
      </c>
      <c r="F45" s="377">
        <v>0</v>
      </c>
      <c r="G45" s="377">
        <v>0</v>
      </c>
      <c r="H45" s="377">
        <v>0</v>
      </c>
      <c r="I45" s="377">
        <v>0</v>
      </c>
      <c r="J45" s="377">
        <v>0</v>
      </c>
      <c r="K45" s="377">
        <v>0</v>
      </c>
      <c r="L45" s="377">
        <v>0</v>
      </c>
      <c r="M45" s="377">
        <v>0</v>
      </c>
      <c r="N45" s="377">
        <v>0</v>
      </c>
    </row>
    <row r="46" spans="2:24" ht="13.5">
      <c r="B46" s="162" t="s">
        <v>77</v>
      </c>
      <c r="C46" s="163" t="str">
        <f>VLOOKUP($C$2,countries!C:F,4,0)</f>
        <v>MYR</v>
      </c>
      <c r="D46" s="379">
        <f>+D45+D44</f>
        <v>-400000</v>
      </c>
      <c r="E46" s="379">
        <f t="shared" ref="E46:M46" si="13">SUM(E44:E45)</f>
        <v>5656363.5017999997</v>
      </c>
      <c r="F46" s="379">
        <f t="shared" si="13"/>
        <v>5343398.0904000001</v>
      </c>
      <c r="G46" s="379">
        <f t="shared" si="13"/>
        <v>5152897.4051999999</v>
      </c>
      <c r="H46" s="379">
        <f t="shared" si="13"/>
        <v>5016825.4872000003</v>
      </c>
      <c r="I46" s="379">
        <f t="shared" si="13"/>
        <v>4907967.9528000001</v>
      </c>
      <c r="J46" s="379">
        <f t="shared" si="13"/>
        <v>0</v>
      </c>
      <c r="K46" s="379">
        <f t="shared" si="13"/>
        <v>0</v>
      </c>
      <c r="L46" s="379">
        <f t="shared" si="13"/>
        <v>0</v>
      </c>
      <c r="M46" s="379">
        <f t="shared" si="13"/>
        <v>0</v>
      </c>
      <c r="N46" s="379">
        <f t="shared" ref="N46" si="14">SUM(N44:N45)</f>
        <v>0</v>
      </c>
    </row>
    <row r="47" spans="2:24" ht="13.5">
      <c r="B47" s="158" t="s">
        <v>0</v>
      </c>
      <c r="C47" s="152" t="str">
        <f>VLOOKUP($C$2,countries!C:F,4,0)</f>
        <v>MYR</v>
      </c>
      <c r="D47" s="380">
        <f t="shared" ref="D47:M47" si="15">-D15*(D46+D57)</f>
        <v>96000</v>
      </c>
      <c r="E47" s="380">
        <f t="shared" si="15"/>
        <v>-1357527.2404319998</v>
      </c>
      <c r="F47" s="380">
        <f t="shared" si="15"/>
        <v>-1282415.5416959999</v>
      </c>
      <c r="G47" s="380">
        <f t="shared" si="15"/>
        <v>-1236695.3772479999</v>
      </c>
      <c r="H47" s="380">
        <f t="shared" si="15"/>
        <v>-1204038.116928</v>
      </c>
      <c r="I47" s="380">
        <f t="shared" si="15"/>
        <v>-1177912.308672</v>
      </c>
      <c r="J47" s="380">
        <f t="shared" si="15"/>
        <v>0</v>
      </c>
      <c r="K47" s="380">
        <f t="shared" si="15"/>
        <v>0</v>
      </c>
      <c r="L47" s="380">
        <f t="shared" si="15"/>
        <v>0</v>
      </c>
      <c r="M47" s="380">
        <f t="shared" si="15"/>
        <v>0</v>
      </c>
      <c r="N47" s="380">
        <f t="shared" ref="N47" si="16">-N15*(N46+N57)</f>
        <v>0</v>
      </c>
    </row>
    <row r="48" spans="2:24" ht="13.5">
      <c r="B48" s="162" t="s">
        <v>78</v>
      </c>
      <c r="C48" s="163" t="str">
        <f>VLOOKUP($C$2,countries!C:F,4,0)</f>
        <v>MYR</v>
      </c>
      <c r="D48" s="379">
        <f>+D47+D46</f>
        <v>-304000</v>
      </c>
      <c r="E48" s="379">
        <f t="shared" ref="E48:M48" si="17">SUM(E46:E47)</f>
        <v>4298836.2613679999</v>
      </c>
      <c r="F48" s="379">
        <f t="shared" si="17"/>
        <v>4060982.5487040002</v>
      </c>
      <c r="G48" s="379">
        <f t="shared" si="17"/>
        <v>3916202.027952</v>
      </c>
      <c r="H48" s="379">
        <f t="shared" si="17"/>
        <v>3812787.3702720003</v>
      </c>
      <c r="I48" s="379">
        <f t="shared" si="17"/>
        <v>3730055.6441280004</v>
      </c>
      <c r="J48" s="379">
        <f t="shared" si="17"/>
        <v>0</v>
      </c>
      <c r="K48" s="379">
        <f t="shared" si="17"/>
        <v>0</v>
      </c>
      <c r="L48" s="379">
        <f t="shared" si="17"/>
        <v>0</v>
      </c>
      <c r="M48" s="379">
        <f t="shared" si="17"/>
        <v>0</v>
      </c>
      <c r="N48" s="379">
        <f t="shared" ref="N48" si="18">SUM(N46:N47)</f>
        <v>0</v>
      </c>
    </row>
    <row r="49" spans="2:15" ht="13.5">
      <c r="B49" s="151" t="s">
        <v>1</v>
      </c>
      <c r="C49" s="152"/>
      <c r="D49" s="380"/>
      <c r="E49" s="380"/>
      <c r="F49" s="380"/>
      <c r="G49" s="380"/>
      <c r="H49" s="380"/>
      <c r="I49" s="380"/>
      <c r="J49" s="380"/>
      <c r="K49" s="380"/>
      <c r="L49" s="380"/>
      <c r="M49" s="380"/>
      <c r="N49" s="380"/>
    </row>
    <row r="50" spans="2:15" ht="13.5">
      <c r="B50" s="158" t="s">
        <v>79</v>
      </c>
      <c r="C50" s="152" t="str">
        <f>VLOOKUP($C$2,countries!C:F,4,0)</f>
        <v>MYR</v>
      </c>
      <c r="D50" s="380">
        <f t="shared" ref="D50:H50" si="19">D46</f>
        <v>-400000</v>
      </c>
      <c r="E50" s="380">
        <f t="shared" si="19"/>
        <v>5656363.5017999997</v>
      </c>
      <c r="F50" s="380">
        <f t="shared" si="19"/>
        <v>5343398.0904000001</v>
      </c>
      <c r="G50" s="380">
        <f t="shared" si="19"/>
        <v>5152897.4051999999</v>
      </c>
      <c r="H50" s="380">
        <f t="shared" si="19"/>
        <v>5016825.4872000003</v>
      </c>
      <c r="I50" s="380">
        <f>I46</f>
        <v>4907967.9528000001</v>
      </c>
      <c r="J50" s="380">
        <f>J46</f>
        <v>0</v>
      </c>
      <c r="K50" s="380">
        <f>K46</f>
        <v>0</v>
      </c>
      <c r="L50" s="380">
        <f>L46</f>
        <v>0</v>
      </c>
      <c r="M50" s="380">
        <f>M46</f>
        <v>0</v>
      </c>
      <c r="N50" s="380">
        <f t="shared" ref="N50" si="20">N46</f>
        <v>0</v>
      </c>
    </row>
    <row r="51" spans="2:15" ht="13.5">
      <c r="B51" s="158" t="s">
        <v>80</v>
      </c>
      <c r="C51" s="152" t="str">
        <f>VLOOKUP($C$2,countries!C:F,4,0)</f>
        <v>MYR</v>
      </c>
      <c r="D51" s="380">
        <f>-D40-D41</f>
        <v>0</v>
      </c>
      <c r="E51" s="380">
        <f t="shared" ref="E51:M51" si="21">-E40-E41</f>
        <v>480480</v>
      </c>
      <c r="F51" s="380">
        <f t="shared" si="21"/>
        <v>480480</v>
      </c>
      <c r="G51" s="380">
        <f t="shared" si="21"/>
        <v>480480</v>
      </c>
      <c r="H51" s="380">
        <f t="shared" si="21"/>
        <v>480480</v>
      </c>
      <c r="I51" s="380">
        <f t="shared" si="21"/>
        <v>480480</v>
      </c>
      <c r="J51" s="380">
        <f t="shared" si="21"/>
        <v>0</v>
      </c>
      <c r="K51" s="380">
        <f t="shared" si="21"/>
        <v>0</v>
      </c>
      <c r="L51" s="380">
        <f t="shared" si="21"/>
        <v>0</v>
      </c>
      <c r="M51" s="380">
        <f t="shared" si="21"/>
        <v>0</v>
      </c>
      <c r="N51" s="380">
        <f t="shared" ref="N51" si="22">-N40-N41</f>
        <v>0</v>
      </c>
    </row>
    <row r="52" spans="2:15" ht="13.5">
      <c r="B52" s="158" t="s">
        <v>81</v>
      </c>
      <c r="C52" s="152" t="str">
        <f>VLOOKUP($C$2,countries!C:F,4,0)</f>
        <v>MYR</v>
      </c>
      <c r="D52" s="380">
        <f>D47</f>
        <v>96000</v>
      </c>
      <c r="E52" s="380">
        <f t="shared" ref="E52:M52" si="23">E47</f>
        <v>-1357527.2404319998</v>
      </c>
      <c r="F52" s="380">
        <f t="shared" si="23"/>
        <v>-1282415.5416959999</v>
      </c>
      <c r="G52" s="380">
        <f t="shared" si="23"/>
        <v>-1236695.3772479999</v>
      </c>
      <c r="H52" s="380">
        <f t="shared" si="23"/>
        <v>-1204038.116928</v>
      </c>
      <c r="I52" s="380">
        <f t="shared" si="23"/>
        <v>-1177912.308672</v>
      </c>
      <c r="J52" s="380">
        <f t="shared" si="23"/>
        <v>0</v>
      </c>
      <c r="K52" s="380">
        <f t="shared" si="23"/>
        <v>0</v>
      </c>
      <c r="L52" s="380">
        <f t="shared" si="23"/>
        <v>0</v>
      </c>
      <c r="M52" s="380">
        <f t="shared" si="23"/>
        <v>0</v>
      </c>
      <c r="N52" s="380">
        <f t="shared" ref="N52" si="24">N47</f>
        <v>0</v>
      </c>
      <c r="O52" s="161"/>
    </row>
    <row r="53" spans="2:15" ht="13.5">
      <c r="B53" s="158" t="s">
        <v>39</v>
      </c>
      <c r="C53" s="152" t="str">
        <f>VLOOKUP($C$2,countries!C:F,4,0)</f>
        <v>MYR</v>
      </c>
      <c r="D53" s="382">
        <f>SUM('Capex&amp;Depr'!F4:F13)</f>
        <v>-2402400</v>
      </c>
      <c r="E53" s="382">
        <f>SUM('Capex&amp;Depr'!G4:G13)</f>
        <v>0</v>
      </c>
      <c r="F53" s="382">
        <f>SUM('Capex&amp;Depr'!H4:H13)</f>
        <v>0</v>
      </c>
      <c r="G53" s="382">
        <f>SUM('Capex&amp;Depr'!I4:I13)</f>
        <v>0</v>
      </c>
      <c r="H53" s="382">
        <f>SUM('Capex&amp;Depr'!J4:J13)</f>
        <v>0</v>
      </c>
      <c r="I53" s="382">
        <f>SUM('Capex&amp;Depr'!K4:K13)</f>
        <v>0</v>
      </c>
      <c r="J53" s="382">
        <f>SUM('Capex&amp;Depr'!L4:L13)</f>
        <v>0</v>
      </c>
      <c r="K53" s="382">
        <f>SUM('Capex&amp;Depr'!M4:M13)</f>
        <v>0</v>
      </c>
      <c r="L53" s="382">
        <f>SUM('Capex&amp;Depr'!N4:N13)</f>
        <v>0</v>
      </c>
      <c r="M53" s="382">
        <f>SUM('Capex&amp;Depr'!O4:O13)</f>
        <v>0</v>
      </c>
      <c r="N53" s="382">
        <f>SUM('Capex&amp;Depr'!P4:P13)</f>
        <v>0</v>
      </c>
    </row>
    <row r="54" spans="2:15" ht="13.5">
      <c r="B54" s="158" t="s">
        <v>669</v>
      </c>
      <c r="C54" s="152" t="str">
        <f>VLOOKUP($C$2,countries!C:F,4,0)</f>
        <v>MYR</v>
      </c>
      <c r="D54" s="377">
        <f>-37%*SUM(D50:D53)</f>
        <v>1001368</v>
      </c>
      <c r="E54" s="377">
        <f t="shared" ref="E54:N54" si="25">-37%*SUM(E50:E53)</f>
        <v>-1768347.01670616</v>
      </c>
      <c r="F54" s="377">
        <f t="shared" si="25"/>
        <v>-1680341.1430204799</v>
      </c>
      <c r="G54" s="377">
        <f t="shared" si="25"/>
        <v>-1626772.3503422402</v>
      </c>
      <c r="H54" s="377">
        <f t="shared" si="25"/>
        <v>-1588508.9270006402</v>
      </c>
      <c r="I54" s="377">
        <f t="shared" si="25"/>
        <v>-1557898.1883273602</v>
      </c>
      <c r="J54" s="377">
        <f t="shared" si="25"/>
        <v>0</v>
      </c>
      <c r="K54" s="377">
        <f t="shared" si="25"/>
        <v>0</v>
      </c>
      <c r="L54" s="377">
        <f t="shared" si="25"/>
        <v>0</v>
      </c>
      <c r="M54" s="377">
        <f t="shared" si="25"/>
        <v>0</v>
      </c>
      <c r="N54" s="377">
        <f t="shared" si="25"/>
        <v>0</v>
      </c>
    </row>
    <row r="55" spans="2:15" ht="13.5">
      <c r="B55" s="158" t="s">
        <v>610</v>
      </c>
      <c r="C55" s="152" t="str">
        <f>VLOOKUP($C$2,countries!C:F,4,0)</f>
        <v>MYR</v>
      </c>
      <c r="D55" s="377"/>
      <c r="E55" s="377"/>
      <c r="F55" s="377"/>
      <c r="G55" s="377"/>
      <c r="H55" s="377"/>
      <c r="I55" s="377"/>
      <c r="J55" s="377"/>
      <c r="K55" s="377"/>
      <c r="L55" s="377"/>
      <c r="M55" s="377"/>
      <c r="N55" s="377"/>
    </row>
    <row r="56" spans="2:15" ht="13.5">
      <c r="B56" s="158" t="s">
        <v>476</v>
      </c>
      <c r="C56" s="152" t="str">
        <f>VLOOKUP($C$2,countries!C:F,4,0)</f>
        <v>MYR</v>
      </c>
      <c r="D56" s="377"/>
      <c r="E56" s="377"/>
      <c r="F56" s="377"/>
      <c r="G56" s="377"/>
      <c r="H56" s="377"/>
      <c r="I56" s="377"/>
      <c r="J56" s="377"/>
      <c r="K56" s="377"/>
      <c r="L56" s="377"/>
      <c r="M56" s="377"/>
      <c r="N56" s="377"/>
    </row>
    <row r="57" spans="2:15" ht="13.5">
      <c r="B57" s="158" t="s">
        <v>82</v>
      </c>
      <c r="C57" s="152" t="str">
        <f>VLOOKUP($C$2,countries!C:F,4,0)</f>
        <v>MYR</v>
      </c>
      <c r="D57" s="377"/>
      <c r="E57" s="377"/>
      <c r="F57" s="377"/>
      <c r="G57" s="377"/>
      <c r="H57" s="377"/>
      <c r="I57" s="377"/>
      <c r="J57" s="377"/>
      <c r="K57" s="377"/>
      <c r="L57" s="377"/>
      <c r="M57" s="377"/>
      <c r="N57" s="377"/>
    </row>
    <row r="58" spans="2:15" ht="13.5">
      <c r="B58" s="164" t="s">
        <v>83</v>
      </c>
      <c r="C58" s="165" t="str">
        <f>VLOOKUP($C$2,countries!C:F,4,0)</f>
        <v>MYR</v>
      </c>
      <c r="D58" s="377"/>
      <c r="E58" s="377"/>
      <c r="F58" s="377"/>
      <c r="G58" s="377"/>
      <c r="H58" s="377"/>
      <c r="I58" s="377"/>
      <c r="J58" s="377"/>
      <c r="K58" s="377"/>
      <c r="L58" s="377"/>
      <c r="M58" s="377"/>
      <c r="N58" s="377"/>
    </row>
    <row r="59" spans="2:15" ht="13.5">
      <c r="B59" s="164" t="s">
        <v>241</v>
      </c>
      <c r="C59" s="165" t="str">
        <f>VLOOKUP($C$2,countries!C:F,4,0)</f>
        <v>MYR</v>
      </c>
      <c r="D59" s="377"/>
      <c r="E59" s="377"/>
      <c r="F59" s="377"/>
      <c r="G59" s="377"/>
      <c r="H59" s="377"/>
      <c r="I59" s="377"/>
      <c r="J59" s="377"/>
      <c r="K59" s="377"/>
      <c r="L59" s="377"/>
      <c r="M59" s="377"/>
      <c r="N59" s="377"/>
    </row>
    <row r="60" spans="2:15" ht="13.5">
      <c r="B60" s="164" t="s">
        <v>242</v>
      </c>
      <c r="C60" s="165" t="str">
        <f>VLOOKUP($C$2,countries!C:F,4,0)</f>
        <v>MYR</v>
      </c>
      <c r="D60" s="377"/>
      <c r="E60" s="377"/>
      <c r="F60" s="377"/>
      <c r="G60" s="377"/>
      <c r="H60" s="377"/>
      <c r="I60" s="377"/>
      <c r="J60" s="377"/>
      <c r="K60" s="377"/>
      <c r="L60" s="377"/>
      <c r="M60" s="377"/>
      <c r="N60" s="377"/>
    </row>
    <row r="61" spans="2:15" ht="13.5">
      <c r="B61" s="164" t="s">
        <v>84</v>
      </c>
      <c r="C61" s="165" t="str">
        <f>VLOOKUP($C$2,countries!C:F,4,0)</f>
        <v>MYR</v>
      </c>
      <c r="D61" s="377"/>
      <c r="E61" s="377"/>
      <c r="F61" s="377"/>
      <c r="G61" s="377"/>
      <c r="H61" s="377"/>
      <c r="I61" s="377"/>
      <c r="J61" s="377"/>
      <c r="K61" s="377"/>
      <c r="L61" s="377"/>
      <c r="M61" s="377"/>
      <c r="N61" s="377"/>
    </row>
    <row r="62" spans="2:15" ht="13.5">
      <c r="B62" s="164" t="s">
        <v>85</v>
      </c>
      <c r="C62" s="165" t="str">
        <f>VLOOKUP($C$2,countries!C:F,4,0)</f>
        <v>MYR</v>
      </c>
      <c r="D62" s="377"/>
      <c r="E62" s="377"/>
      <c r="F62" s="377"/>
      <c r="G62" s="377"/>
      <c r="H62" s="377"/>
      <c r="I62" s="377"/>
      <c r="J62" s="377"/>
      <c r="K62" s="377"/>
      <c r="L62" s="377"/>
      <c r="M62" s="377"/>
      <c r="N62" s="377"/>
    </row>
    <row r="63" spans="2:15" ht="13.5">
      <c r="B63" s="164" t="s">
        <v>86</v>
      </c>
      <c r="C63" s="165" t="str">
        <f>VLOOKUP($C$2,countries!C:F,4,0)</f>
        <v>MYR</v>
      </c>
      <c r="D63" s="377"/>
      <c r="E63" s="377"/>
      <c r="F63" s="377"/>
      <c r="G63" s="377"/>
      <c r="H63" s="377"/>
      <c r="I63" s="377"/>
      <c r="J63" s="377"/>
      <c r="K63" s="377"/>
      <c r="L63" s="377"/>
      <c r="M63" s="377"/>
      <c r="N63" s="377"/>
    </row>
    <row r="64" spans="2:15" ht="13.5">
      <c r="B64" s="166" t="s">
        <v>87</v>
      </c>
      <c r="C64" s="167" t="str">
        <f>VLOOKUP($C$2,countries!C:F,4,0)</f>
        <v>MYR</v>
      </c>
      <c r="D64" s="379">
        <f t="shared" ref="D64:M64" si="26">SUM(D50:D63)</f>
        <v>-1705032</v>
      </c>
      <c r="E64" s="379">
        <f t="shared" si="26"/>
        <v>3010969.2446618397</v>
      </c>
      <c r="F64" s="379">
        <f t="shared" si="26"/>
        <v>2861121.4056835203</v>
      </c>
      <c r="G64" s="379">
        <f t="shared" si="26"/>
        <v>2769909.6776097603</v>
      </c>
      <c r="H64" s="379">
        <f t="shared" si="26"/>
        <v>2704758.4432713604</v>
      </c>
      <c r="I64" s="379">
        <f t="shared" si="26"/>
        <v>2652637.4558006404</v>
      </c>
      <c r="J64" s="379">
        <f t="shared" si="26"/>
        <v>0</v>
      </c>
      <c r="K64" s="379">
        <f t="shared" si="26"/>
        <v>0</v>
      </c>
      <c r="L64" s="379">
        <f t="shared" si="26"/>
        <v>0</v>
      </c>
      <c r="M64" s="379">
        <f t="shared" si="26"/>
        <v>0</v>
      </c>
      <c r="N64" s="379">
        <f t="shared" ref="N64" si="27">SUM(N50:N63)</f>
        <v>0</v>
      </c>
    </row>
    <row r="65" spans="2:15" ht="13.5">
      <c r="B65" s="166" t="s">
        <v>87</v>
      </c>
      <c r="C65" s="167" t="str">
        <f>CONCATENATE(VLOOKUP($C$2,countries!C:F,4,0),"m")</f>
        <v>MYRm</v>
      </c>
      <c r="D65" s="168">
        <f t="shared" ref="D65:H65" si="28">+D64/1000000</f>
        <v>-1.7050320000000001</v>
      </c>
      <c r="E65" s="168">
        <f t="shared" si="28"/>
        <v>3.0109692446618395</v>
      </c>
      <c r="F65" s="168">
        <f t="shared" si="28"/>
        <v>2.8611214056835204</v>
      </c>
      <c r="G65" s="168">
        <f t="shared" si="28"/>
        <v>2.7699096776097605</v>
      </c>
      <c r="H65" s="168">
        <f t="shared" si="28"/>
        <v>2.7047584432713605</v>
      </c>
      <c r="I65" s="168">
        <f>+I64/1000000</f>
        <v>2.6526374558006403</v>
      </c>
      <c r="J65" s="168">
        <f>+J64/1000000</f>
        <v>0</v>
      </c>
      <c r="K65" s="168">
        <f>+K64/1000000</f>
        <v>0</v>
      </c>
      <c r="L65" s="168">
        <f>+L64/1000000</f>
        <v>0</v>
      </c>
      <c r="M65" s="168">
        <f>+M64/1000000</f>
        <v>0</v>
      </c>
      <c r="N65" s="168">
        <f t="shared" ref="N65" si="29">+N64/1000000</f>
        <v>0</v>
      </c>
    </row>
    <row r="66" spans="2:15" ht="13.5">
      <c r="B66" s="166" t="s">
        <v>87</v>
      </c>
      <c r="C66" s="167" t="s">
        <v>88</v>
      </c>
      <c r="D66" s="168">
        <f>+D65/D12</f>
        <v>-0.36200254777070068</v>
      </c>
      <c r="E66" s="168">
        <f t="shared" ref="E66:M66" si="30">+E65/E12</f>
        <v>0.66762067509131695</v>
      </c>
      <c r="F66" s="168">
        <f t="shared" si="30"/>
        <v>0.66848630973914025</v>
      </c>
      <c r="G66" s="168">
        <f t="shared" si="30"/>
        <v>0.66906030860139143</v>
      </c>
      <c r="H66" s="168">
        <f t="shared" si="30"/>
        <v>0.66949466417607928</v>
      </c>
      <c r="I66" s="168">
        <f t="shared" si="30"/>
        <v>0.66985794338400007</v>
      </c>
      <c r="J66" s="168">
        <f t="shared" si="30"/>
        <v>0</v>
      </c>
      <c r="K66" s="168">
        <f t="shared" si="30"/>
        <v>0</v>
      </c>
      <c r="L66" s="168">
        <f t="shared" si="30"/>
        <v>0</v>
      </c>
      <c r="M66" s="168">
        <f t="shared" si="30"/>
        <v>0</v>
      </c>
      <c r="N66" s="168">
        <f t="shared" ref="N66" si="31">+N65/N12</f>
        <v>0</v>
      </c>
    </row>
    <row r="67" spans="2:15" ht="13.5">
      <c r="B67" s="169" t="s">
        <v>89</v>
      </c>
      <c r="C67" s="170" t="s">
        <v>88</v>
      </c>
      <c r="D67" s="171">
        <f>+D73*D66</f>
        <v>-0.34996107205743227</v>
      </c>
      <c r="E67" s="171">
        <f t="shared" ref="E67:H67" si="32">+E73*E66</f>
        <v>0.60318996958137883</v>
      </c>
      <c r="F67" s="171">
        <f t="shared" si="32"/>
        <v>0.56445987252363383</v>
      </c>
      <c r="G67" s="171">
        <f t="shared" si="32"/>
        <v>0.52798555944331516</v>
      </c>
      <c r="H67" s="171">
        <f t="shared" si="32"/>
        <v>0.49376479341006563</v>
      </c>
      <c r="I67" s="171">
        <f>+I73*I66</f>
        <v>0.46171282111868905</v>
      </c>
      <c r="J67" s="171">
        <f>+J73*J66</f>
        <v>0</v>
      </c>
      <c r="K67" s="171">
        <f>+K73*K66</f>
        <v>0</v>
      </c>
      <c r="L67" s="171">
        <f>+L73*L66</f>
        <v>0</v>
      </c>
      <c r="M67" s="171">
        <f>+M73*M66</f>
        <v>0</v>
      </c>
      <c r="N67" s="171">
        <f t="shared" ref="N67" si="33">+N73*N66</f>
        <v>0</v>
      </c>
    </row>
    <row r="68" spans="2:15" ht="13.5">
      <c r="B68" s="166" t="s">
        <v>90</v>
      </c>
      <c r="C68" s="167" t="s">
        <v>88</v>
      </c>
      <c r="D68" s="168">
        <f>+D67</f>
        <v>-0.34996107205743227</v>
      </c>
      <c r="E68" s="168">
        <f>+D68+E67</f>
        <v>0.25322889752394656</v>
      </c>
      <c r="F68" s="168">
        <f>+E68+F67</f>
        <v>0.81768877004758034</v>
      </c>
      <c r="G68" s="168">
        <f t="shared" ref="G68:M68" si="34">+F68+G67</f>
        <v>1.3456743294908955</v>
      </c>
      <c r="H68" s="168">
        <f t="shared" si="34"/>
        <v>1.839439122900961</v>
      </c>
      <c r="I68" s="168">
        <f t="shared" si="34"/>
        <v>2.30115194401965</v>
      </c>
      <c r="J68" s="168">
        <f t="shared" si="34"/>
        <v>2.30115194401965</v>
      </c>
      <c r="K68" s="168">
        <f t="shared" si="34"/>
        <v>2.30115194401965</v>
      </c>
      <c r="L68" s="168">
        <f t="shared" si="34"/>
        <v>2.30115194401965</v>
      </c>
      <c r="M68" s="168">
        <f t="shared" si="34"/>
        <v>2.30115194401965</v>
      </c>
      <c r="N68" s="168">
        <f t="shared" ref="N68" si="35">+M68+N67</f>
        <v>2.30115194401965</v>
      </c>
    </row>
    <row r="69" spans="2:15" ht="13.5">
      <c r="B69" s="166" t="s">
        <v>91</v>
      </c>
      <c r="C69" s="167" t="s">
        <v>92</v>
      </c>
      <c r="D69" s="371" t="str">
        <f t="shared" ref="D69:M69" si="36">IF(AND(D68&gt;0,C68&lt;0)=TRUE,D8-C68/(D68-C68),"")</f>
        <v/>
      </c>
      <c r="E69" s="168">
        <f t="shared" si="36"/>
        <v>1.5801838387669302</v>
      </c>
      <c r="F69" s="371" t="str">
        <f t="shared" si="36"/>
        <v/>
      </c>
      <c r="G69" s="371" t="str">
        <f t="shared" si="36"/>
        <v/>
      </c>
      <c r="H69" s="371" t="str">
        <f t="shared" si="36"/>
        <v/>
      </c>
      <c r="I69" s="371" t="str">
        <f t="shared" si="36"/>
        <v/>
      </c>
      <c r="J69" s="371" t="str">
        <f t="shared" si="36"/>
        <v/>
      </c>
      <c r="K69" s="371" t="str">
        <f t="shared" si="36"/>
        <v/>
      </c>
      <c r="L69" s="371" t="str">
        <f t="shared" si="36"/>
        <v/>
      </c>
      <c r="M69" s="371" t="str">
        <f t="shared" si="36"/>
        <v/>
      </c>
      <c r="N69" s="371" t="str">
        <f t="shared" ref="N69" si="37">IF(AND(N68&gt;0,M68&lt;0)=TRUE,N8-M68/(N68-M68),"")</f>
        <v/>
      </c>
    </row>
    <row r="70" spans="2:15" ht="13.5">
      <c r="B70" s="172"/>
      <c r="C70" s="173"/>
      <c r="D70" s="275"/>
      <c r="E70" s="275">
        <f>IF(E68&lt;0,"n/m",ABS(D68)/E65)</f>
        <v>0.11622871029914364</v>
      </c>
      <c r="F70" s="276">
        <f t="shared" ref="F70:J70" si="38">IF(F68&lt;0,"n/m",ABS(E68)/F65)</f>
        <v>8.8506869027268814E-2</v>
      </c>
      <c r="G70" s="277">
        <f t="shared" si="38"/>
        <v>0.29520412764981885</v>
      </c>
      <c r="H70" s="277">
        <f t="shared" si="38"/>
        <v>0.49752107543597301</v>
      </c>
      <c r="I70" s="277">
        <f t="shared" si="38"/>
        <v>0.69343781558937789</v>
      </c>
      <c r="J70" s="277" t="e">
        <f t="shared" si="38"/>
        <v>#DIV/0!</v>
      </c>
      <c r="K70" s="277" t="e">
        <f t="shared" ref="K70" si="39">IF(K68&lt;0,"n/m",ABS(J68)/K65)</f>
        <v>#DIV/0!</v>
      </c>
      <c r="L70" s="277" t="e">
        <f t="shared" ref="L70" si="40">IF(L68&lt;0,"n/m",ABS(K68)/L65)</f>
        <v>#DIV/0!</v>
      </c>
      <c r="M70" s="277" t="e">
        <f t="shared" ref="M70" si="41">IF(M68&lt;0,"n/m",ABS(L68)/M65)</f>
        <v>#DIV/0!</v>
      </c>
      <c r="N70" s="277" t="e">
        <f t="shared" ref="N70" si="42">IF(N68&lt;0,"n/m",ABS(M68)/N65)</f>
        <v>#DIV/0!</v>
      </c>
    </row>
    <row r="71" spans="2:15" ht="13.5">
      <c r="B71" s="172"/>
      <c r="C71" s="173"/>
      <c r="D71" s="196"/>
      <c r="E71" s="196"/>
      <c r="F71" s="196"/>
      <c r="G71" s="196"/>
      <c r="H71" s="196"/>
      <c r="I71" s="196"/>
      <c r="J71" s="196"/>
      <c r="K71" s="196"/>
      <c r="L71" s="196"/>
      <c r="M71" s="196"/>
      <c r="N71" s="196"/>
    </row>
    <row r="72" spans="2:15" ht="13.5">
      <c r="B72" s="148" t="s">
        <v>93</v>
      </c>
      <c r="C72" s="148"/>
      <c r="D72" s="174">
        <v>0.5</v>
      </c>
      <c r="E72" s="174">
        <v>1.5</v>
      </c>
      <c r="F72" s="174">
        <v>2.5</v>
      </c>
      <c r="G72" s="174">
        <v>3.5</v>
      </c>
      <c r="H72" s="174">
        <v>4.5</v>
      </c>
      <c r="I72" s="174">
        <v>5.5</v>
      </c>
      <c r="J72" s="174">
        <v>6.5</v>
      </c>
      <c r="K72" s="174">
        <v>7.5</v>
      </c>
      <c r="L72" s="174">
        <v>8.5</v>
      </c>
      <c r="M72" s="174">
        <v>9.5</v>
      </c>
      <c r="N72" s="174">
        <v>10.5</v>
      </c>
    </row>
    <row r="73" spans="2:15" ht="13.5">
      <c r="B73" s="148" t="s">
        <v>94</v>
      </c>
      <c r="C73" s="175">
        <v>7.0000000000000007E-2</v>
      </c>
      <c r="D73" s="176">
        <f t="shared" ref="D73:L73" si="43">1/((1+$C$73)^D72)</f>
        <v>0.96673648904566356</v>
      </c>
      <c r="E73" s="177">
        <f t="shared" si="43"/>
        <v>0.90349204583706866</v>
      </c>
      <c r="F73" s="177">
        <f t="shared" si="43"/>
        <v>0.84438508956735392</v>
      </c>
      <c r="G73" s="177">
        <f t="shared" si="43"/>
        <v>0.78914494352089137</v>
      </c>
      <c r="H73" s="177">
        <f t="shared" si="43"/>
        <v>0.73751863880457136</v>
      </c>
      <c r="I73" s="177">
        <f t="shared" si="43"/>
        <v>0.68926975589212269</v>
      </c>
      <c r="J73" s="177">
        <f t="shared" si="43"/>
        <v>0.64417734195525478</v>
      </c>
      <c r="K73" s="177">
        <f t="shared" si="43"/>
        <v>0.60203489902360263</v>
      </c>
      <c r="L73" s="177">
        <f t="shared" si="43"/>
        <v>0.56264943833981551</v>
      </c>
      <c r="M73" s="177">
        <f t="shared" ref="M73:N73" si="44">1/((1+$C$73)^M72)</f>
        <v>0.52584059657926685</v>
      </c>
      <c r="N73" s="177">
        <f t="shared" si="44"/>
        <v>0.49143980988716524</v>
      </c>
    </row>
    <row r="74" spans="2:15" ht="14.25" thickBot="1">
      <c r="B74" s="172"/>
      <c r="C74" s="172"/>
      <c r="D74" s="178"/>
      <c r="E74" s="179"/>
      <c r="F74" s="179"/>
      <c r="G74" s="179"/>
      <c r="H74" s="179"/>
      <c r="I74" s="179"/>
      <c r="J74" s="179"/>
      <c r="K74" s="179"/>
      <c r="L74" s="179"/>
      <c r="M74" s="179"/>
      <c r="N74" s="179"/>
    </row>
    <row r="75" spans="2:15" ht="16.5">
      <c r="B75" s="215" t="s">
        <v>95</v>
      </c>
      <c r="C75" s="232">
        <f>SUM(D67:N67)</f>
        <v>2.30115194401965</v>
      </c>
      <c r="D75" s="261"/>
      <c r="E75" s="262"/>
      <c r="F75" s="262"/>
      <c r="G75" s="194"/>
      <c r="H75" s="194"/>
      <c r="I75" s="194"/>
      <c r="J75" s="194"/>
      <c r="K75" s="194"/>
      <c r="L75" s="194"/>
      <c r="M75" s="194"/>
      <c r="N75" s="194"/>
    </row>
    <row r="76" spans="2:15" ht="16.5">
      <c r="B76" s="216" t="s">
        <v>96</v>
      </c>
      <c r="C76" s="217">
        <f>IRR(D66:N66,0.1)</f>
        <v>1.835252049988418</v>
      </c>
      <c r="D76" s="261"/>
      <c r="E76" s="263"/>
      <c r="F76" s="263"/>
      <c r="G76" s="195"/>
      <c r="H76" s="195"/>
      <c r="I76" s="195"/>
      <c r="J76" s="195"/>
      <c r="K76" s="195"/>
      <c r="L76" s="195"/>
      <c r="M76" s="195"/>
      <c r="N76" s="195"/>
    </row>
    <row r="77" spans="2:15" ht="16.5">
      <c r="B77" s="216" t="s">
        <v>97</v>
      </c>
      <c r="C77" s="218">
        <f>+E77</f>
        <v>1.5801838387669302</v>
      </c>
      <c r="D77" s="264">
        <f>IF(E70&lt;0,"never",COUNTIF(E68:N68,"&lt;0"))</f>
        <v>0</v>
      </c>
      <c r="E77" s="265">
        <f>IF(SUM(D69:N69)&gt;0,SUM(D69:N69),"10+")</f>
        <v>1.5801838387669302</v>
      </c>
      <c r="F77" s="266"/>
      <c r="G77" s="193"/>
      <c r="H77" s="193"/>
      <c r="I77" s="193"/>
      <c r="J77" s="193"/>
      <c r="K77" s="193"/>
      <c r="L77" s="193"/>
      <c r="M77" s="193"/>
      <c r="N77" s="193"/>
    </row>
    <row r="78" spans="2:15" ht="17.25" thickBot="1">
      <c r="B78" s="219" t="s">
        <v>98</v>
      </c>
      <c r="C78" s="220">
        <f>-SUM(D83:N83)/SUM(D81:N81)</f>
        <v>2.2475293535182503</v>
      </c>
      <c r="D78" s="267">
        <f>INDEX(E70:N70,,COUNTIF(E68:N68,"&lt;0")+1)</f>
        <v>0.11622871029914364</v>
      </c>
      <c r="E78" s="268"/>
      <c r="F78" s="268"/>
      <c r="G78" s="193"/>
      <c r="H78" s="193"/>
      <c r="I78" s="193"/>
      <c r="J78" s="193"/>
      <c r="K78" s="193"/>
      <c r="L78" s="193"/>
      <c r="M78" s="193"/>
      <c r="N78" s="193"/>
    </row>
    <row r="79" spans="2:15">
      <c r="B79" s="180"/>
      <c r="C79" s="180"/>
      <c r="D79" s="181"/>
      <c r="E79" s="181"/>
      <c r="F79" s="181"/>
      <c r="G79" s="181"/>
      <c r="H79" s="181"/>
      <c r="I79" s="181"/>
      <c r="J79" s="181"/>
      <c r="K79" s="181"/>
      <c r="L79" s="181"/>
      <c r="M79" s="181"/>
      <c r="N79" s="181"/>
      <c r="O79" s="180"/>
    </row>
    <row r="80" spans="2:15" hidden="1">
      <c r="B80" s="182" t="s">
        <v>99</v>
      </c>
      <c r="C80" s="182"/>
      <c r="D80" s="183">
        <f t="shared" ref="D80:M80" si="45">(D54+D53+D39+D43+D42)/D12</f>
        <v>-297459.02335456474</v>
      </c>
      <c r="E80" s="183">
        <f t="shared" si="45"/>
        <v>-392094.68219648785</v>
      </c>
      <c r="F80" s="183">
        <f t="shared" si="45"/>
        <v>-392603.07079917751</v>
      </c>
      <c r="G80" s="183">
        <f t="shared" si="45"/>
        <v>-392940.18124208704</v>
      </c>
      <c r="H80" s="183">
        <f t="shared" si="45"/>
        <v>-393195.27896055451</v>
      </c>
      <c r="I80" s="183">
        <f t="shared" si="45"/>
        <v>-393408.63341600006</v>
      </c>
      <c r="J80" s="183">
        <f t="shared" si="45"/>
        <v>0</v>
      </c>
      <c r="K80" s="183">
        <f t="shared" si="45"/>
        <v>0</v>
      </c>
      <c r="L80" s="183">
        <f t="shared" si="45"/>
        <v>0</v>
      </c>
      <c r="M80" s="183">
        <f t="shared" si="45"/>
        <v>0</v>
      </c>
      <c r="N80" s="183">
        <f t="shared" ref="N80" si="46">(N54+N53+N39+N43+N42)/N12</f>
        <v>0</v>
      </c>
    </row>
    <row r="81" spans="2:15" hidden="1">
      <c r="B81" s="182" t="s">
        <v>100</v>
      </c>
      <c r="C81" s="182"/>
      <c r="D81" s="183">
        <f t="shared" ref="D81:M81" si="47">D80*D73</f>
        <v>-287564.49187274394</v>
      </c>
      <c r="E81" s="183">
        <f t="shared" si="47"/>
        <v>-354254.42657954007</v>
      </c>
      <c r="F81" s="183">
        <f t="shared" si="47"/>
        <v>-331508.17910118168</v>
      </c>
      <c r="G81" s="183">
        <f t="shared" si="47"/>
        <v>-310086.75713337562</v>
      </c>
      <c r="H81" s="183">
        <f t="shared" si="47"/>
        <v>-289988.84692337189</v>
      </c>
      <c r="I81" s="183">
        <f t="shared" si="47"/>
        <v>-271164.67272049992</v>
      </c>
      <c r="J81" s="183">
        <f t="shared" si="47"/>
        <v>0</v>
      </c>
      <c r="K81" s="183">
        <f t="shared" si="47"/>
        <v>0</v>
      </c>
      <c r="L81" s="183">
        <f t="shared" si="47"/>
        <v>0</v>
      </c>
      <c r="M81" s="183">
        <f t="shared" si="47"/>
        <v>0</v>
      </c>
      <c r="N81" s="183">
        <f t="shared" ref="N81" si="48">N80*N73</f>
        <v>0</v>
      </c>
    </row>
    <row r="82" spans="2:15" hidden="1">
      <c r="B82" s="182" t="s">
        <v>101</v>
      </c>
      <c r="C82" s="182"/>
      <c r="D82" s="183">
        <f t="shared" ref="D82:M82" si="49">D64*D73/D12</f>
        <v>-349961.07205743226</v>
      </c>
      <c r="E82" s="183">
        <f t="shared" si="49"/>
        <v>603189.96958137897</v>
      </c>
      <c r="F82" s="183">
        <f t="shared" si="49"/>
        <v>564459.87252363388</v>
      </c>
      <c r="G82" s="183">
        <f t="shared" si="49"/>
        <v>527985.55944331514</v>
      </c>
      <c r="H82" s="183">
        <f t="shared" si="49"/>
        <v>493764.79341006564</v>
      </c>
      <c r="I82" s="183">
        <f t="shared" si="49"/>
        <v>461712.82111868908</v>
      </c>
      <c r="J82" s="183">
        <f t="shared" si="49"/>
        <v>0</v>
      </c>
      <c r="K82" s="183">
        <f t="shared" si="49"/>
        <v>0</v>
      </c>
      <c r="L82" s="183">
        <f t="shared" si="49"/>
        <v>0</v>
      </c>
      <c r="M82" s="183">
        <f t="shared" si="49"/>
        <v>0</v>
      </c>
      <c r="N82" s="183">
        <f t="shared" ref="N82" si="50">N64*N73/N12</f>
        <v>0</v>
      </c>
    </row>
    <row r="83" spans="2:15" hidden="1">
      <c r="B83" s="182" t="s">
        <v>102</v>
      </c>
      <c r="C83" s="182"/>
      <c r="D83" s="183">
        <f>D82-D81</f>
        <v>-62396.580184688326</v>
      </c>
      <c r="E83" s="183">
        <f t="shared" ref="E83:M83" si="51">E82-E81</f>
        <v>957444.39616091899</v>
      </c>
      <c r="F83" s="183">
        <f t="shared" si="51"/>
        <v>895968.05162481556</v>
      </c>
      <c r="G83" s="183">
        <f t="shared" si="51"/>
        <v>838072.31657669076</v>
      </c>
      <c r="H83" s="183">
        <f t="shared" si="51"/>
        <v>783753.64033343759</v>
      </c>
      <c r="I83" s="183">
        <f t="shared" si="51"/>
        <v>732877.49383918894</v>
      </c>
      <c r="J83" s="183">
        <f t="shared" si="51"/>
        <v>0</v>
      </c>
      <c r="K83" s="183">
        <f t="shared" si="51"/>
        <v>0</v>
      </c>
      <c r="L83" s="183">
        <f t="shared" si="51"/>
        <v>0</v>
      </c>
      <c r="M83" s="183">
        <f t="shared" si="51"/>
        <v>0</v>
      </c>
      <c r="N83" s="183">
        <f t="shared" ref="N83" si="52">N82-N81</f>
        <v>0</v>
      </c>
    </row>
    <row r="84" spans="2:15" hidden="1"/>
    <row r="91" spans="2:15">
      <c r="B91" s="184" t="s">
        <v>103</v>
      </c>
      <c r="C91" s="185"/>
      <c r="D91" s="186">
        <f t="shared" ref="D91:N91" si="53">D10</f>
        <v>2025</v>
      </c>
      <c r="E91" s="186">
        <f t="shared" si="53"/>
        <v>2026</v>
      </c>
      <c r="F91" s="186">
        <f t="shared" si="53"/>
        <v>2027</v>
      </c>
      <c r="G91" s="186">
        <f t="shared" si="53"/>
        <v>2028</v>
      </c>
      <c r="H91" s="186">
        <f t="shared" si="53"/>
        <v>2029</v>
      </c>
      <c r="I91" s="186">
        <f t="shared" si="53"/>
        <v>2030</v>
      </c>
      <c r="J91" s="186">
        <f t="shared" si="53"/>
        <v>2031</v>
      </c>
      <c r="K91" s="186">
        <f t="shared" si="53"/>
        <v>2032</v>
      </c>
      <c r="L91" s="186">
        <f t="shared" si="53"/>
        <v>2033</v>
      </c>
      <c r="M91" s="186">
        <f t="shared" si="53"/>
        <v>2034</v>
      </c>
      <c r="N91" s="186">
        <f t="shared" si="53"/>
        <v>2035</v>
      </c>
      <c r="O91" s="186" t="s">
        <v>104</v>
      </c>
    </row>
    <row r="92" spans="2:15">
      <c r="B92" s="185" t="s">
        <v>105</v>
      </c>
      <c r="C92" s="187"/>
      <c r="D92" s="188">
        <f t="shared" ref="D92" si="54">D53/D12+D54/D12</f>
        <v>-297459.02335456474</v>
      </c>
      <c r="E92" s="188">
        <f>E53/E12</f>
        <v>0</v>
      </c>
      <c r="F92" s="188">
        <f t="shared" ref="F92:N92" si="55">F53/F12</f>
        <v>0</v>
      </c>
      <c r="G92" s="188">
        <f t="shared" si="55"/>
        <v>0</v>
      </c>
      <c r="H92" s="188">
        <f t="shared" si="55"/>
        <v>0</v>
      </c>
      <c r="I92" s="188">
        <f t="shared" si="55"/>
        <v>0</v>
      </c>
      <c r="J92" s="188">
        <f t="shared" si="55"/>
        <v>0</v>
      </c>
      <c r="K92" s="188">
        <f t="shared" si="55"/>
        <v>0</v>
      </c>
      <c r="L92" s="188">
        <f t="shared" si="55"/>
        <v>0</v>
      </c>
      <c r="M92" s="188">
        <f t="shared" si="55"/>
        <v>0</v>
      </c>
      <c r="N92" s="188">
        <f t="shared" si="55"/>
        <v>0</v>
      </c>
      <c r="O92" s="189">
        <f t="shared" ref="O92:O101" si="56">SUM(D92:N92)</f>
        <v>-297459.02335456474</v>
      </c>
    </row>
    <row r="93" spans="2:15">
      <c r="B93" s="185" t="s">
        <v>106</v>
      </c>
      <c r="C93" s="187"/>
      <c r="D93" s="188">
        <f>D39/D12</f>
        <v>0</v>
      </c>
      <c r="E93" s="188">
        <f t="shared" ref="E93:M93" si="57">E39/E12</f>
        <v>0</v>
      </c>
      <c r="F93" s="188">
        <f t="shared" si="57"/>
        <v>0</v>
      </c>
      <c r="G93" s="188">
        <f t="shared" si="57"/>
        <v>0</v>
      </c>
      <c r="H93" s="188">
        <f t="shared" si="57"/>
        <v>0</v>
      </c>
      <c r="I93" s="188">
        <f t="shared" si="57"/>
        <v>0</v>
      </c>
      <c r="J93" s="188">
        <f t="shared" si="57"/>
        <v>0</v>
      </c>
      <c r="K93" s="188">
        <f t="shared" si="57"/>
        <v>0</v>
      </c>
      <c r="L93" s="188">
        <f t="shared" si="57"/>
        <v>0</v>
      </c>
      <c r="M93" s="188">
        <f t="shared" si="57"/>
        <v>0</v>
      </c>
      <c r="N93" s="188">
        <f t="shared" ref="N93" si="58">N39/N12</f>
        <v>0</v>
      </c>
      <c r="O93" s="189">
        <f t="shared" si="56"/>
        <v>0</v>
      </c>
    </row>
    <row r="94" spans="2:15">
      <c r="B94" s="185" t="s">
        <v>197</v>
      </c>
      <c r="C94" s="187"/>
      <c r="D94" s="188">
        <f>D42/D12</f>
        <v>0</v>
      </c>
      <c r="E94" s="188">
        <f t="shared" ref="E94:M94" si="59">E42/E12</f>
        <v>0</v>
      </c>
      <c r="F94" s="188">
        <f t="shared" si="59"/>
        <v>0</v>
      </c>
      <c r="G94" s="188">
        <f t="shared" si="59"/>
        <v>0</v>
      </c>
      <c r="H94" s="188">
        <f t="shared" si="59"/>
        <v>0</v>
      </c>
      <c r="I94" s="188">
        <f t="shared" si="59"/>
        <v>0</v>
      </c>
      <c r="J94" s="188">
        <f t="shared" si="59"/>
        <v>0</v>
      </c>
      <c r="K94" s="188">
        <f t="shared" si="59"/>
        <v>0</v>
      </c>
      <c r="L94" s="188">
        <f t="shared" si="59"/>
        <v>0</v>
      </c>
      <c r="M94" s="188">
        <f t="shared" si="59"/>
        <v>0</v>
      </c>
      <c r="N94" s="188">
        <f t="shared" ref="N94" si="60">N42/N12</f>
        <v>0</v>
      </c>
      <c r="O94" s="189">
        <f t="shared" si="56"/>
        <v>0</v>
      </c>
    </row>
    <row r="95" spans="2:15">
      <c r="B95" s="185" t="s">
        <v>41</v>
      </c>
      <c r="C95" s="187"/>
      <c r="D95" s="188">
        <f>D43/D12</f>
        <v>0</v>
      </c>
      <c r="E95" s="188">
        <f t="shared" ref="E95:M95" si="61">E43/E12</f>
        <v>0</v>
      </c>
      <c r="F95" s="188">
        <f t="shared" si="61"/>
        <v>0</v>
      </c>
      <c r="G95" s="188">
        <f t="shared" si="61"/>
        <v>0</v>
      </c>
      <c r="H95" s="188">
        <f t="shared" si="61"/>
        <v>0</v>
      </c>
      <c r="I95" s="188">
        <f t="shared" si="61"/>
        <v>0</v>
      </c>
      <c r="J95" s="188">
        <f t="shared" si="61"/>
        <v>0</v>
      </c>
      <c r="K95" s="188">
        <f t="shared" si="61"/>
        <v>0</v>
      </c>
      <c r="L95" s="188">
        <f t="shared" si="61"/>
        <v>0</v>
      </c>
      <c r="M95" s="188">
        <f t="shared" si="61"/>
        <v>0</v>
      </c>
      <c r="N95" s="188">
        <f t="shared" ref="N95" si="62">N43/N12</f>
        <v>0</v>
      </c>
      <c r="O95" s="189">
        <f t="shared" si="56"/>
        <v>0</v>
      </c>
    </row>
    <row r="96" spans="2:15">
      <c r="B96" s="185" t="s">
        <v>200</v>
      </c>
      <c r="C96" s="187"/>
      <c r="D96" s="188">
        <f>D41/D12</f>
        <v>0</v>
      </c>
      <c r="E96" s="188">
        <f t="shared" ref="E96:M96" si="63">E41/E12</f>
        <v>0</v>
      </c>
      <c r="F96" s="188">
        <f t="shared" si="63"/>
        <v>0</v>
      </c>
      <c r="G96" s="188">
        <f t="shared" si="63"/>
        <v>0</v>
      </c>
      <c r="H96" s="188">
        <f t="shared" si="63"/>
        <v>0</v>
      </c>
      <c r="I96" s="188">
        <f t="shared" si="63"/>
        <v>0</v>
      </c>
      <c r="J96" s="188">
        <f t="shared" si="63"/>
        <v>0</v>
      </c>
      <c r="K96" s="188">
        <f t="shared" si="63"/>
        <v>0</v>
      </c>
      <c r="L96" s="188">
        <f t="shared" si="63"/>
        <v>0</v>
      </c>
      <c r="M96" s="188">
        <f t="shared" si="63"/>
        <v>0</v>
      </c>
      <c r="N96" s="188">
        <f t="shared" ref="N96" si="64">N41/N12</f>
        <v>0</v>
      </c>
      <c r="O96" s="189">
        <f t="shared" si="56"/>
        <v>0</v>
      </c>
    </row>
    <row r="97" spans="2:15" s="185" customFormat="1">
      <c r="B97" s="185" t="s">
        <v>198</v>
      </c>
      <c r="C97" s="187"/>
      <c r="D97" s="188">
        <f t="shared" ref="D97" si="65">(D24+D32+D35+D36+D30+D31)/D12*(1-37%)</f>
        <v>0</v>
      </c>
      <c r="E97" s="188">
        <f>(E24+E32+E35+E36+E30+E31)/E12*(1-37%)</f>
        <v>857253.0834</v>
      </c>
      <c r="F97" s="188">
        <f t="shared" ref="F97:N97" si="66">(F24+F32+F35+F36+F30+F31)/F12*(1-37%)</f>
        <v>857253.0834</v>
      </c>
      <c r="G97" s="188">
        <f t="shared" si="66"/>
        <v>857253.08340000012</v>
      </c>
      <c r="H97" s="188">
        <f t="shared" si="66"/>
        <v>857253.08340000012</v>
      </c>
      <c r="I97" s="188">
        <f t="shared" si="66"/>
        <v>857253.0834</v>
      </c>
      <c r="J97" s="188">
        <f t="shared" si="66"/>
        <v>0</v>
      </c>
      <c r="K97" s="188">
        <f t="shared" si="66"/>
        <v>0</v>
      </c>
      <c r="L97" s="188">
        <f t="shared" si="66"/>
        <v>0</v>
      </c>
      <c r="M97" s="188">
        <f t="shared" si="66"/>
        <v>0</v>
      </c>
      <c r="N97" s="188">
        <f t="shared" si="66"/>
        <v>0</v>
      </c>
      <c r="O97" s="189">
        <f t="shared" si="56"/>
        <v>4286265.4170000004</v>
      </c>
    </row>
    <row r="98" spans="2:15">
      <c r="B98" s="185" t="s">
        <v>199</v>
      </c>
      <c r="C98" s="187"/>
      <c r="D98" s="188">
        <f>(D26+D33+D34+D37+D38+D25+D27+D28+D29)/D12*(1-37%)</f>
        <v>-53503.184713375798</v>
      </c>
      <c r="E98" s="188">
        <f t="shared" ref="E98:N98" si="67">(E26+E33+E34+E37+E38+E25+E27+E28+E29)/E12*(1-37%)</f>
        <v>0</v>
      </c>
      <c r="F98" s="188">
        <f t="shared" si="67"/>
        <v>0</v>
      </c>
      <c r="G98" s="188">
        <f t="shared" si="67"/>
        <v>0</v>
      </c>
      <c r="H98" s="188">
        <f t="shared" si="67"/>
        <v>0</v>
      </c>
      <c r="I98" s="188">
        <f t="shared" si="67"/>
        <v>0</v>
      </c>
      <c r="J98" s="188">
        <f t="shared" si="67"/>
        <v>0</v>
      </c>
      <c r="K98" s="188">
        <f t="shared" si="67"/>
        <v>0</v>
      </c>
      <c r="L98" s="188">
        <f t="shared" si="67"/>
        <v>0</v>
      </c>
      <c r="M98" s="188">
        <f t="shared" si="67"/>
        <v>0</v>
      </c>
      <c r="N98" s="188">
        <f t="shared" si="67"/>
        <v>0</v>
      </c>
      <c r="O98" s="189">
        <f t="shared" si="56"/>
        <v>-53503.184713375798</v>
      </c>
    </row>
    <row r="99" spans="2:15">
      <c r="B99" s="185" t="s">
        <v>107</v>
      </c>
      <c r="C99" s="187"/>
      <c r="D99" s="188">
        <f>D64/D12</f>
        <v>-362002.54777070065</v>
      </c>
      <c r="E99" s="188">
        <f t="shared" ref="E99:M99" si="68">E64/E12</f>
        <v>667620.67509131704</v>
      </c>
      <c r="F99" s="188">
        <f t="shared" si="68"/>
        <v>668486.30973914021</v>
      </c>
      <c r="G99" s="188">
        <f t="shared" si="68"/>
        <v>669060.30860139139</v>
      </c>
      <c r="H99" s="188">
        <f t="shared" si="68"/>
        <v>669494.66417607933</v>
      </c>
      <c r="I99" s="188">
        <f t="shared" si="68"/>
        <v>669857.9433840001</v>
      </c>
      <c r="J99" s="188">
        <f t="shared" si="68"/>
        <v>0</v>
      </c>
      <c r="K99" s="188">
        <f t="shared" si="68"/>
        <v>0</v>
      </c>
      <c r="L99" s="188">
        <f t="shared" si="68"/>
        <v>0</v>
      </c>
      <c r="M99" s="188">
        <f t="shared" si="68"/>
        <v>0</v>
      </c>
      <c r="N99" s="188">
        <f t="shared" ref="N99" si="69">N64/N12</f>
        <v>0</v>
      </c>
      <c r="O99" s="189">
        <f t="shared" si="56"/>
        <v>2982517.3532212274</v>
      </c>
    </row>
    <row r="100" spans="2:15">
      <c r="B100" s="185" t="s">
        <v>108</v>
      </c>
      <c r="C100" s="187"/>
      <c r="D100" s="188">
        <f t="shared" ref="D100" si="70">D46/D12*(1-37%)</f>
        <v>-53503.184713375798</v>
      </c>
      <c r="E100" s="188">
        <f>E46/E12*(1-37%)</f>
        <v>790135.03461951227</v>
      </c>
      <c r="F100" s="188">
        <f t="shared" ref="F100:N100" si="71">F46/F12*(1-37%)</f>
        <v>786528.22358691588</v>
      </c>
      <c r="G100" s="188">
        <f t="shared" si="71"/>
        <v>784136.56166086963</v>
      </c>
      <c r="H100" s="188">
        <f t="shared" si="71"/>
        <v>782326.74676633661</v>
      </c>
      <c r="I100" s="188">
        <f t="shared" si="71"/>
        <v>780813.0834</v>
      </c>
      <c r="J100" s="188">
        <f t="shared" si="71"/>
        <v>0</v>
      </c>
      <c r="K100" s="188">
        <f t="shared" si="71"/>
        <v>0</v>
      </c>
      <c r="L100" s="188">
        <f t="shared" si="71"/>
        <v>0</v>
      </c>
      <c r="M100" s="188">
        <f t="shared" si="71"/>
        <v>0</v>
      </c>
      <c r="N100" s="188">
        <f t="shared" si="71"/>
        <v>0</v>
      </c>
      <c r="O100" s="189">
        <f t="shared" si="56"/>
        <v>3870436.4653202584</v>
      </c>
    </row>
    <row r="101" spans="2:15">
      <c r="B101" s="185" t="s">
        <v>109</v>
      </c>
      <c r="C101" s="187"/>
      <c r="D101" s="188">
        <f>D100-D95-D94-D96</f>
        <v>-53503.184713375798</v>
      </c>
      <c r="E101" s="188">
        <f t="shared" ref="E101:M101" si="72">E100-E95-E94-E96</f>
        <v>790135.03461951227</v>
      </c>
      <c r="F101" s="188">
        <f t="shared" si="72"/>
        <v>786528.22358691588</v>
      </c>
      <c r="G101" s="188">
        <f t="shared" si="72"/>
        <v>784136.56166086963</v>
      </c>
      <c r="H101" s="188">
        <f t="shared" si="72"/>
        <v>782326.74676633661</v>
      </c>
      <c r="I101" s="188">
        <f t="shared" si="72"/>
        <v>780813.0834</v>
      </c>
      <c r="J101" s="188">
        <f t="shared" si="72"/>
        <v>0</v>
      </c>
      <c r="K101" s="188">
        <f t="shared" si="72"/>
        <v>0</v>
      </c>
      <c r="L101" s="188">
        <f t="shared" si="72"/>
        <v>0</v>
      </c>
      <c r="M101" s="188">
        <f t="shared" si="72"/>
        <v>0</v>
      </c>
      <c r="N101" s="188">
        <f t="shared" ref="N101" si="73">N100-N95-N94-N96</f>
        <v>0</v>
      </c>
      <c r="O101" s="189">
        <f t="shared" si="56"/>
        <v>3870436.4653202584</v>
      </c>
    </row>
  </sheetData>
  <sheetProtection algorithmName="SHA-512" hashValue="BnZ0DB85cexB4A3uADrBbogyd7SCfitp4HoI8TvHRCanH0+waHsXeEYk7LKwZySf1WfUbWQKAV6Ec7Z0/tOpow==" saltValue="kNGtsqDE/PVFzxv/MYuNsQ==" spinCount="100000" sheet="1" formatCells="0" formatColumns="0" formatRows="0" insertColumns="0" insertRows="0" insertHyperlinks="0" deleteColumns="0" deleteRows="0" selectLockedCells="1" sort="0" autoFilter="0" pivotTables="0"/>
  <mergeCells count="2">
    <mergeCell ref="F3:N6"/>
    <mergeCell ref="B9:C10"/>
  </mergeCells>
  <phoneticPr fontId="54" type="noConversion"/>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427441AA-3576-4A77-97BC-BE84BC6E6442}">
          <x14:formula1>
            <xm:f>countries!$C$2:$C$75</xm:f>
          </x14:formula1>
          <xm:sqref>C2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5ECCC-ED40-4374-A1AD-4A56F12117A4}">
  <sheetPr>
    <tabColor rgb="FF00B050"/>
  </sheetPr>
  <dimension ref="B1:Y101"/>
  <sheetViews>
    <sheetView showGridLines="0" topLeftCell="A62" workbookViewId="0">
      <selection activeCell="E100" sqref="E100:O100"/>
    </sheetView>
  </sheetViews>
  <sheetFormatPr defaultRowHeight="12.75"/>
  <cols>
    <col min="1" max="1" width="3.140625" style="137" customWidth="1"/>
    <col min="2" max="2" width="58.28515625" style="137" customWidth="1"/>
    <col min="3" max="3" width="17.28515625" style="137" bestFit="1" customWidth="1"/>
    <col min="4" max="4" width="15.5703125" style="137" customWidth="1"/>
    <col min="5" max="7" width="12" style="137" customWidth="1"/>
    <col min="8" max="8" width="12.5703125" style="137" bestFit="1" customWidth="1"/>
    <col min="9" max="15" width="12" style="137" customWidth="1"/>
    <col min="16" max="16" width="13.140625" style="137" customWidth="1"/>
    <col min="17" max="17" width="14.5703125" style="137" bestFit="1" customWidth="1"/>
    <col min="18" max="24" width="5.7109375" style="137" customWidth="1"/>
    <col min="25" max="232" width="9.140625" style="137"/>
    <col min="233" max="233" width="35.42578125" style="137" customWidth="1"/>
    <col min="234" max="234" width="10.85546875" style="137" bestFit="1" customWidth="1"/>
    <col min="235" max="235" width="11.85546875" style="137" bestFit="1" customWidth="1"/>
    <col min="236" max="245" width="12.85546875" style="137" bestFit="1" customWidth="1"/>
    <col min="246" max="246" width="9.140625" style="137"/>
    <col min="247" max="247" width="10.5703125" style="137" bestFit="1" customWidth="1"/>
    <col min="248" max="488" width="9.140625" style="137"/>
    <col min="489" max="489" width="35.42578125" style="137" customWidth="1"/>
    <col min="490" max="490" width="10.85546875" style="137" bestFit="1" customWidth="1"/>
    <col min="491" max="491" width="11.85546875" style="137" bestFit="1" customWidth="1"/>
    <col min="492" max="501" width="12.85546875" style="137" bestFit="1" customWidth="1"/>
    <col min="502" max="502" width="9.140625" style="137"/>
    <col min="503" max="503" width="10.5703125" style="137" bestFit="1" customWidth="1"/>
    <col min="504" max="744" width="9.140625" style="137"/>
    <col min="745" max="745" width="35.42578125" style="137" customWidth="1"/>
    <col min="746" max="746" width="10.85546875" style="137" bestFit="1" customWidth="1"/>
    <col min="747" max="747" width="11.85546875" style="137" bestFit="1" customWidth="1"/>
    <col min="748" max="757" width="12.85546875" style="137" bestFit="1" customWidth="1"/>
    <col min="758" max="758" width="9.140625" style="137"/>
    <col min="759" max="759" width="10.5703125" style="137" bestFit="1" customWidth="1"/>
    <col min="760" max="1000" width="9.140625" style="137"/>
    <col min="1001" max="1001" width="35.42578125" style="137" customWidth="1"/>
    <col min="1002" max="1002" width="10.85546875" style="137" bestFit="1" customWidth="1"/>
    <col min="1003" max="1003" width="11.85546875" style="137" bestFit="1" customWidth="1"/>
    <col min="1004" max="1013" width="12.85546875" style="137" bestFit="1" customWidth="1"/>
    <col min="1014" max="1014" width="9.140625" style="137"/>
    <col min="1015" max="1015" width="10.5703125" style="137" bestFit="1" customWidth="1"/>
    <col min="1016" max="1256" width="9.140625" style="137"/>
    <col min="1257" max="1257" width="35.42578125" style="137" customWidth="1"/>
    <col min="1258" max="1258" width="10.85546875" style="137" bestFit="1" customWidth="1"/>
    <col min="1259" max="1259" width="11.85546875" style="137" bestFit="1" customWidth="1"/>
    <col min="1260" max="1269" width="12.85546875" style="137" bestFit="1" customWidth="1"/>
    <col min="1270" max="1270" width="9.140625" style="137"/>
    <col min="1271" max="1271" width="10.5703125" style="137" bestFit="1" customWidth="1"/>
    <col min="1272" max="1512" width="9.140625" style="137"/>
    <col min="1513" max="1513" width="35.42578125" style="137" customWidth="1"/>
    <col min="1514" max="1514" width="10.85546875" style="137" bestFit="1" customWidth="1"/>
    <col min="1515" max="1515" width="11.85546875" style="137" bestFit="1" customWidth="1"/>
    <col min="1516" max="1525" width="12.85546875" style="137" bestFit="1" customWidth="1"/>
    <col min="1526" max="1526" width="9.140625" style="137"/>
    <col min="1527" max="1527" width="10.5703125" style="137" bestFit="1" customWidth="1"/>
    <col min="1528" max="1768" width="9.140625" style="137"/>
    <col min="1769" max="1769" width="35.42578125" style="137" customWidth="1"/>
    <col min="1770" max="1770" width="10.85546875" style="137" bestFit="1" customWidth="1"/>
    <col min="1771" max="1771" width="11.85546875" style="137" bestFit="1" customWidth="1"/>
    <col min="1772" max="1781" width="12.85546875" style="137" bestFit="1" customWidth="1"/>
    <col min="1782" max="1782" width="9.140625" style="137"/>
    <col min="1783" max="1783" width="10.5703125" style="137" bestFit="1" customWidth="1"/>
    <col min="1784" max="2024" width="9.140625" style="137"/>
    <col min="2025" max="2025" width="35.42578125" style="137" customWidth="1"/>
    <col min="2026" max="2026" width="10.85546875" style="137" bestFit="1" customWidth="1"/>
    <col min="2027" max="2027" width="11.85546875" style="137" bestFit="1" customWidth="1"/>
    <col min="2028" max="2037" width="12.85546875" style="137" bestFit="1" customWidth="1"/>
    <col min="2038" max="2038" width="9.140625" style="137"/>
    <col min="2039" max="2039" width="10.5703125" style="137" bestFit="1" customWidth="1"/>
    <col min="2040" max="2280" width="9.140625" style="137"/>
    <col min="2281" max="2281" width="35.42578125" style="137" customWidth="1"/>
    <col min="2282" max="2282" width="10.85546875" style="137" bestFit="1" customWidth="1"/>
    <col min="2283" max="2283" width="11.85546875" style="137" bestFit="1" customWidth="1"/>
    <col min="2284" max="2293" width="12.85546875" style="137" bestFit="1" customWidth="1"/>
    <col min="2294" max="2294" width="9.140625" style="137"/>
    <col min="2295" max="2295" width="10.5703125" style="137" bestFit="1" customWidth="1"/>
    <col min="2296" max="2536" width="9.140625" style="137"/>
    <col min="2537" max="2537" width="35.42578125" style="137" customWidth="1"/>
    <col min="2538" max="2538" width="10.85546875" style="137" bestFit="1" customWidth="1"/>
    <col min="2539" max="2539" width="11.85546875" style="137" bestFit="1" customWidth="1"/>
    <col min="2540" max="2549" width="12.85546875" style="137" bestFit="1" customWidth="1"/>
    <col min="2550" max="2550" width="9.140625" style="137"/>
    <col min="2551" max="2551" width="10.5703125" style="137" bestFit="1" customWidth="1"/>
    <col min="2552" max="2792" width="9.140625" style="137"/>
    <col min="2793" max="2793" width="35.42578125" style="137" customWidth="1"/>
    <col min="2794" max="2794" width="10.85546875" style="137" bestFit="1" customWidth="1"/>
    <col min="2795" max="2795" width="11.85546875" style="137" bestFit="1" customWidth="1"/>
    <col min="2796" max="2805" width="12.85546875" style="137" bestFit="1" customWidth="1"/>
    <col min="2806" max="2806" width="9.140625" style="137"/>
    <col min="2807" max="2807" width="10.5703125" style="137" bestFit="1" customWidth="1"/>
    <col min="2808" max="3048" width="9.140625" style="137"/>
    <col min="3049" max="3049" width="35.42578125" style="137" customWidth="1"/>
    <col min="3050" max="3050" width="10.85546875" style="137" bestFit="1" customWidth="1"/>
    <col min="3051" max="3051" width="11.85546875" style="137" bestFit="1" customWidth="1"/>
    <col min="3052" max="3061" width="12.85546875" style="137" bestFit="1" customWidth="1"/>
    <col min="3062" max="3062" width="9.140625" style="137"/>
    <col min="3063" max="3063" width="10.5703125" style="137" bestFit="1" customWidth="1"/>
    <col min="3064" max="3304" width="9.140625" style="137"/>
    <col min="3305" max="3305" width="35.42578125" style="137" customWidth="1"/>
    <col min="3306" max="3306" width="10.85546875" style="137" bestFit="1" customWidth="1"/>
    <col min="3307" max="3307" width="11.85546875" style="137" bestFit="1" customWidth="1"/>
    <col min="3308" max="3317" width="12.85546875" style="137" bestFit="1" customWidth="1"/>
    <col min="3318" max="3318" width="9.140625" style="137"/>
    <col min="3319" max="3319" width="10.5703125" style="137" bestFit="1" customWidth="1"/>
    <col min="3320" max="3560" width="9.140625" style="137"/>
    <col min="3561" max="3561" width="35.42578125" style="137" customWidth="1"/>
    <col min="3562" max="3562" width="10.85546875" style="137" bestFit="1" customWidth="1"/>
    <col min="3563" max="3563" width="11.85546875" style="137" bestFit="1" customWidth="1"/>
    <col min="3564" max="3573" width="12.85546875" style="137" bestFit="1" customWidth="1"/>
    <col min="3574" max="3574" width="9.140625" style="137"/>
    <col min="3575" max="3575" width="10.5703125" style="137" bestFit="1" customWidth="1"/>
    <col min="3576" max="3816" width="9.140625" style="137"/>
    <col min="3817" max="3817" width="35.42578125" style="137" customWidth="1"/>
    <col min="3818" max="3818" width="10.85546875" style="137" bestFit="1" customWidth="1"/>
    <col min="3819" max="3819" width="11.85546875" style="137" bestFit="1" customWidth="1"/>
    <col min="3820" max="3829" width="12.85546875" style="137" bestFit="1" customWidth="1"/>
    <col min="3830" max="3830" width="9.140625" style="137"/>
    <col min="3831" max="3831" width="10.5703125" style="137" bestFit="1" customWidth="1"/>
    <col min="3832" max="4072" width="9.140625" style="137"/>
    <col min="4073" max="4073" width="35.42578125" style="137" customWidth="1"/>
    <col min="4074" max="4074" width="10.85546875" style="137" bestFit="1" customWidth="1"/>
    <col min="4075" max="4075" width="11.85546875" style="137" bestFit="1" customWidth="1"/>
    <col min="4076" max="4085" width="12.85546875" style="137" bestFit="1" customWidth="1"/>
    <col min="4086" max="4086" width="9.140625" style="137"/>
    <col min="4087" max="4087" width="10.5703125" style="137" bestFit="1" customWidth="1"/>
    <col min="4088" max="4328" width="9.140625" style="137"/>
    <col min="4329" max="4329" width="35.42578125" style="137" customWidth="1"/>
    <col min="4330" max="4330" width="10.85546875" style="137" bestFit="1" customWidth="1"/>
    <col min="4331" max="4331" width="11.85546875" style="137" bestFit="1" customWidth="1"/>
    <col min="4332" max="4341" width="12.85546875" style="137" bestFit="1" customWidth="1"/>
    <col min="4342" max="4342" width="9.140625" style="137"/>
    <col min="4343" max="4343" width="10.5703125" style="137" bestFit="1" customWidth="1"/>
    <col min="4344" max="4584" width="9.140625" style="137"/>
    <col min="4585" max="4585" width="35.42578125" style="137" customWidth="1"/>
    <col min="4586" max="4586" width="10.85546875" style="137" bestFit="1" customWidth="1"/>
    <col min="4587" max="4587" width="11.85546875" style="137" bestFit="1" customWidth="1"/>
    <col min="4588" max="4597" width="12.85546875" style="137" bestFit="1" customWidth="1"/>
    <col min="4598" max="4598" width="9.140625" style="137"/>
    <col min="4599" max="4599" width="10.5703125" style="137" bestFit="1" customWidth="1"/>
    <col min="4600" max="4840" width="9.140625" style="137"/>
    <col min="4841" max="4841" width="35.42578125" style="137" customWidth="1"/>
    <col min="4842" max="4842" width="10.85546875" style="137" bestFit="1" customWidth="1"/>
    <col min="4843" max="4843" width="11.85546875" style="137" bestFit="1" customWidth="1"/>
    <col min="4844" max="4853" width="12.85546875" style="137" bestFit="1" customWidth="1"/>
    <col min="4854" max="4854" width="9.140625" style="137"/>
    <col min="4855" max="4855" width="10.5703125" style="137" bestFit="1" customWidth="1"/>
    <col min="4856" max="5096" width="9.140625" style="137"/>
    <col min="5097" max="5097" width="35.42578125" style="137" customWidth="1"/>
    <col min="5098" max="5098" width="10.85546875" style="137" bestFit="1" customWidth="1"/>
    <col min="5099" max="5099" width="11.85546875" style="137" bestFit="1" customWidth="1"/>
    <col min="5100" max="5109" width="12.85546875" style="137" bestFit="1" customWidth="1"/>
    <col min="5110" max="5110" width="9.140625" style="137"/>
    <col min="5111" max="5111" width="10.5703125" style="137" bestFit="1" customWidth="1"/>
    <col min="5112" max="5352" width="9.140625" style="137"/>
    <col min="5353" max="5353" width="35.42578125" style="137" customWidth="1"/>
    <col min="5354" max="5354" width="10.85546875" style="137" bestFit="1" customWidth="1"/>
    <col min="5355" max="5355" width="11.85546875" style="137" bestFit="1" customWidth="1"/>
    <col min="5356" max="5365" width="12.85546875" style="137" bestFit="1" customWidth="1"/>
    <col min="5366" max="5366" width="9.140625" style="137"/>
    <col min="5367" max="5367" width="10.5703125" style="137" bestFit="1" customWidth="1"/>
    <col min="5368" max="5608" width="9.140625" style="137"/>
    <col min="5609" max="5609" width="35.42578125" style="137" customWidth="1"/>
    <col min="5610" max="5610" width="10.85546875" style="137" bestFit="1" customWidth="1"/>
    <col min="5611" max="5611" width="11.85546875" style="137" bestFit="1" customWidth="1"/>
    <col min="5612" max="5621" width="12.85546875" style="137" bestFit="1" customWidth="1"/>
    <col min="5622" max="5622" width="9.140625" style="137"/>
    <col min="5623" max="5623" width="10.5703125" style="137" bestFit="1" customWidth="1"/>
    <col min="5624" max="5864" width="9.140625" style="137"/>
    <col min="5865" max="5865" width="35.42578125" style="137" customWidth="1"/>
    <col min="5866" max="5866" width="10.85546875" style="137" bestFit="1" customWidth="1"/>
    <col min="5867" max="5867" width="11.85546875" style="137" bestFit="1" customWidth="1"/>
    <col min="5868" max="5877" width="12.85546875" style="137" bestFit="1" customWidth="1"/>
    <col min="5878" max="5878" width="9.140625" style="137"/>
    <col min="5879" max="5879" width="10.5703125" style="137" bestFit="1" customWidth="1"/>
    <col min="5880" max="6120" width="9.140625" style="137"/>
    <col min="6121" max="6121" width="35.42578125" style="137" customWidth="1"/>
    <col min="6122" max="6122" width="10.85546875" style="137" bestFit="1" customWidth="1"/>
    <col min="6123" max="6123" width="11.85546875" style="137" bestFit="1" customWidth="1"/>
    <col min="6124" max="6133" width="12.85546875" style="137" bestFit="1" customWidth="1"/>
    <col min="6134" max="6134" width="9.140625" style="137"/>
    <col min="6135" max="6135" width="10.5703125" style="137" bestFit="1" customWidth="1"/>
    <col min="6136" max="6376" width="9.140625" style="137"/>
    <col min="6377" max="6377" width="35.42578125" style="137" customWidth="1"/>
    <col min="6378" max="6378" width="10.85546875" style="137" bestFit="1" customWidth="1"/>
    <col min="6379" max="6379" width="11.85546875" style="137" bestFit="1" customWidth="1"/>
    <col min="6380" max="6389" width="12.85546875" style="137" bestFit="1" customWidth="1"/>
    <col min="6390" max="6390" width="9.140625" style="137"/>
    <col min="6391" max="6391" width="10.5703125" style="137" bestFit="1" customWidth="1"/>
    <col min="6392" max="6632" width="9.140625" style="137"/>
    <col min="6633" max="6633" width="35.42578125" style="137" customWidth="1"/>
    <col min="6634" max="6634" width="10.85546875" style="137" bestFit="1" customWidth="1"/>
    <col min="6635" max="6635" width="11.85546875" style="137" bestFit="1" customWidth="1"/>
    <col min="6636" max="6645" width="12.85546875" style="137" bestFit="1" customWidth="1"/>
    <col min="6646" max="6646" width="9.140625" style="137"/>
    <col min="6647" max="6647" width="10.5703125" style="137" bestFit="1" customWidth="1"/>
    <col min="6648" max="6888" width="9.140625" style="137"/>
    <col min="6889" max="6889" width="35.42578125" style="137" customWidth="1"/>
    <col min="6890" max="6890" width="10.85546875" style="137" bestFit="1" customWidth="1"/>
    <col min="6891" max="6891" width="11.85546875" style="137" bestFit="1" customWidth="1"/>
    <col min="6892" max="6901" width="12.85546875" style="137" bestFit="1" customWidth="1"/>
    <col min="6902" max="6902" width="9.140625" style="137"/>
    <col min="6903" max="6903" width="10.5703125" style="137" bestFit="1" customWidth="1"/>
    <col min="6904" max="7144" width="9.140625" style="137"/>
    <col min="7145" max="7145" width="35.42578125" style="137" customWidth="1"/>
    <col min="7146" max="7146" width="10.85546875" style="137" bestFit="1" customWidth="1"/>
    <col min="7147" max="7147" width="11.85546875" style="137" bestFit="1" customWidth="1"/>
    <col min="7148" max="7157" width="12.85546875" style="137" bestFit="1" customWidth="1"/>
    <col min="7158" max="7158" width="9.140625" style="137"/>
    <col min="7159" max="7159" width="10.5703125" style="137" bestFit="1" customWidth="1"/>
    <col min="7160" max="7400" width="9.140625" style="137"/>
    <col min="7401" max="7401" width="35.42578125" style="137" customWidth="1"/>
    <col min="7402" max="7402" width="10.85546875" style="137" bestFit="1" customWidth="1"/>
    <col min="7403" max="7403" width="11.85546875" style="137" bestFit="1" customWidth="1"/>
    <col min="7404" max="7413" width="12.85546875" style="137" bestFit="1" customWidth="1"/>
    <col min="7414" max="7414" width="9.140625" style="137"/>
    <col min="7415" max="7415" width="10.5703125" style="137" bestFit="1" customWidth="1"/>
    <col min="7416" max="7656" width="9.140625" style="137"/>
    <col min="7657" max="7657" width="35.42578125" style="137" customWidth="1"/>
    <col min="7658" max="7658" width="10.85546875" style="137" bestFit="1" customWidth="1"/>
    <col min="7659" max="7659" width="11.85546875" style="137" bestFit="1" customWidth="1"/>
    <col min="7660" max="7669" width="12.85546875" style="137" bestFit="1" customWidth="1"/>
    <col min="7670" max="7670" width="9.140625" style="137"/>
    <col min="7671" max="7671" width="10.5703125" style="137" bestFit="1" customWidth="1"/>
    <col min="7672" max="7912" width="9.140625" style="137"/>
    <col min="7913" max="7913" width="35.42578125" style="137" customWidth="1"/>
    <col min="7914" max="7914" width="10.85546875" style="137" bestFit="1" customWidth="1"/>
    <col min="7915" max="7915" width="11.85546875" style="137" bestFit="1" customWidth="1"/>
    <col min="7916" max="7925" width="12.85546875" style="137" bestFit="1" customWidth="1"/>
    <col min="7926" max="7926" width="9.140625" style="137"/>
    <col min="7927" max="7927" width="10.5703125" style="137" bestFit="1" customWidth="1"/>
    <col min="7928" max="8168" width="9.140625" style="137"/>
    <col min="8169" max="8169" width="35.42578125" style="137" customWidth="1"/>
    <col min="8170" max="8170" width="10.85546875" style="137" bestFit="1" customWidth="1"/>
    <col min="8171" max="8171" width="11.85546875" style="137" bestFit="1" customWidth="1"/>
    <col min="8172" max="8181" width="12.85546875" style="137" bestFit="1" customWidth="1"/>
    <col min="8182" max="8182" width="9.140625" style="137"/>
    <col min="8183" max="8183" width="10.5703125" style="137" bestFit="1" customWidth="1"/>
    <col min="8184" max="8424" width="9.140625" style="137"/>
    <col min="8425" max="8425" width="35.42578125" style="137" customWidth="1"/>
    <col min="8426" max="8426" width="10.85546875" style="137" bestFit="1" customWidth="1"/>
    <col min="8427" max="8427" width="11.85546875" style="137" bestFit="1" customWidth="1"/>
    <col min="8428" max="8437" width="12.85546875" style="137" bestFit="1" customWidth="1"/>
    <col min="8438" max="8438" width="9.140625" style="137"/>
    <col min="8439" max="8439" width="10.5703125" style="137" bestFit="1" customWidth="1"/>
    <col min="8440" max="8680" width="9.140625" style="137"/>
    <col min="8681" max="8681" width="35.42578125" style="137" customWidth="1"/>
    <col min="8682" max="8682" width="10.85546875" style="137" bestFit="1" customWidth="1"/>
    <col min="8683" max="8683" width="11.85546875" style="137" bestFit="1" customWidth="1"/>
    <col min="8684" max="8693" width="12.85546875" style="137" bestFit="1" customWidth="1"/>
    <col min="8694" max="8694" width="9.140625" style="137"/>
    <col min="8695" max="8695" width="10.5703125" style="137" bestFit="1" customWidth="1"/>
    <col min="8696" max="8936" width="9.140625" style="137"/>
    <col min="8937" max="8937" width="35.42578125" style="137" customWidth="1"/>
    <col min="8938" max="8938" width="10.85546875" style="137" bestFit="1" customWidth="1"/>
    <col min="8939" max="8939" width="11.85546875" style="137" bestFit="1" customWidth="1"/>
    <col min="8940" max="8949" width="12.85546875" style="137" bestFit="1" customWidth="1"/>
    <col min="8950" max="8950" width="9.140625" style="137"/>
    <col min="8951" max="8951" width="10.5703125" style="137" bestFit="1" customWidth="1"/>
    <col min="8952" max="9192" width="9.140625" style="137"/>
    <col min="9193" max="9193" width="35.42578125" style="137" customWidth="1"/>
    <col min="9194" max="9194" width="10.85546875" style="137" bestFit="1" customWidth="1"/>
    <col min="9195" max="9195" width="11.85546875" style="137" bestFit="1" customWidth="1"/>
    <col min="9196" max="9205" width="12.85546875" style="137" bestFit="1" customWidth="1"/>
    <col min="9206" max="9206" width="9.140625" style="137"/>
    <col min="9207" max="9207" width="10.5703125" style="137" bestFit="1" customWidth="1"/>
    <col min="9208" max="9448" width="9.140625" style="137"/>
    <col min="9449" max="9449" width="35.42578125" style="137" customWidth="1"/>
    <col min="9450" max="9450" width="10.85546875" style="137" bestFit="1" customWidth="1"/>
    <col min="9451" max="9451" width="11.85546875" style="137" bestFit="1" customWidth="1"/>
    <col min="9452" max="9461" width="12.85546875" style="137" bestFit="1" customWidth="1"/>
    <col min="9462" max="9462" width="9.140625" style="137"/>
    <col min="9463" max="9463" width="10.5703125" style="137" bestFit="1" customWidth="1"/>
    <col min="9464" max="9704" width="9.140625" style="137"/>
    <col min="9705" max="9705" width="35.42578125" style="137" customWidth="1"/>
    <col min="9706" max="9706" width="10.85546875" style="137" bestFit="1" customWidth="1"/>
    <col min="9707" max="9707" width="11.85546875" style="137" bestFit="1" customWidth="1"/>
    <col min="9708" max="9717" width="12.85546875" style="137" bestFit="1" customWidth="1"/>
    <col min="9718" max="9718" width="9.140625" style="137"/>
    <col min="9719" max="9719" width="10.5703125" style="137" bestFit="1" customWidth="1"/>
    <col min="9720" max="9960" width="9.140625" style="137"/>
    <col min="9961" max="9961" width="35.42578125" style="137" customWidth="1"/>
    <col min="9962" max="9962" width="10.85546875" style="137" bestFit="1" customWidth="1"/>
    <col min="9963" max="9963" width="11.85546875" style="137" bestFit="1" customWidth="1"/>
    <col min="9964" max="9973" width="12.85546875" style="137" bestFit="1" customWidth="1"/>
    <col min="9974" max="9974" width="9.140625" style="137"/>
    <col min="9975" max="9975" width="10.5703125" style="137" bestFit="1" customWidth="1"/>
    <col min="9976" max="10216" width="9.140625" style="137"/>
    <col min="10217" max="10217" width="35.42578125" style="137" customWidth="1"/>
    <col min="10218" max="10218" width="10.85546875" style="137" bestFit="1" customWidth="1"/>
    <col min="10219" max="10219" width="11.85546875" style="137" bestFit="1" customWidth="1"/>
    <col min="10220" max="10229" width="12.85546875" style="137" bestFit="1" customWidth="1"/>
    <col min="10230" max="10230" width="9.140625" style="137"/>
    <col min="10231" max="10231" width="10.5703125" style="137" bestFit="1" customWidth="1"/>
    <col min="10232" max="10472" width="9.140625" style="137"/>
    <col min="10473" max="10473" width="35.42578125" style="137" customWidth="1"/>
    <col min="10474" max="10474" width="10.85546875" style="137" bestFit="1" customWidth="1"/>
    <col min="10475" max="10475" width="11.85546875" style="137" bestFit="1" customWidth="1"/>
    <col min="10476" max="10485" width="12.85546875" style="137" bestFit="1" customWidth="1"/>
    <col min="10486" max="10486" width="9.140625" style="137"/>
    <col min="10487" max="10487" width="10.5703125" style="137" bestFit="1" customWidth="1"/>
    <col min="10488" max="10728" width="9.140625" style="137"/>
    <col min="10729" max="10729" width="35.42578125" style="137" customWidth="1"/>
    <col min="10730" max="10730" width="10.85546875" style="137" bestFit="1" customWidth="1"/>
    <col min="10731" max="10731" width="11.85546875" style="137" bestFit="1" customWidth="1"/>
    <col min="10732" max="10741" width="12.85546875" style="137" bestFit="1" customWidth="1"/>
    <col min="10742" max="10742" width="9.140625" style="137"/>
    <col min="10743" max="10743" width="10.5703125" style="137" bestFit="1" customWidth="1"/>
    <col min="10744" max="10984" width="9.140625" style="137"/>
    <col min="10985" max="10985" width="35.42578125" style="137" customWidth="1"/>
    <col min="10986" max="10986" width="10.85546875" style="137" bestFit="1" customWidth="1"/>
    <col min="10987" max="10987" width="11.85546875" style="137" bestFit="1" customWidth="1"/>
    <col min="10988" max="10997" width="12.85546875" style="137" bestFit="1" customWidth="1"/>
    <col min="10998" max="10998" width="9.140625" style="137"/>
    <col min="10999" max="10999" width="10.5703125" style="137" bestFit="1" customWidth="1"/>
    <col min="11000" max="11240" width="9.140625" style="137"/>
    <col min="11241" max="11241" width="35.42578125" style="137" customWidth="1"/>
    <col min="11242" max="11242" width="10.85546875" style="137" bestFit="1" customWidth="1"/>
    <col min="11243" max="11243" width="11.85546875" style="137" bestFit="1" customWidth="1"/>
    <col min="11244" max="11253" width="12.85546875" style="137" bestFit="1" customWidth="1"/>
    <col min="11254" max="11254" width="9.140625" style="137"/>
    <col min="11255" max="11255" width="10.5703125" style="137" bestFit="1" customWidth="1"/>
    <col min="11256" max="11496" width="9.140625" style="137"/>
    <col min="11497" max="11497" width="35.42578125" style="137" customWidth="1"/>
    <col min="11498" max="11498" width="10.85546875" style="137" bestFit="1" customWidth="1"/>
    <col min="11499" max="11499" width="11.85546875" style="137" bestFit="1" customWidth="1"/>
    <col min="11500" max="11509" width="12.85546875" style="137" bestFit="1" customWidth="1"/>
    <col min="11510" max="11510" width="9.140625" style="137"/>
    <col min="11511" max="11511" width="10.5703125" style="137" bestFit="1" customWidth="1"/>
    <col min="11512" max="11752" width="9.140625" style="137"/>
    <col min="11753" max="11753" width="35.42578125" style="137" customWidth="1"/>
    <col min="11754" max="11754" width="10.85546875" style="137" bestFit="1" customWidth="1"/>
    <col min="11755" max="11755" width="11.85546875" style="137" bestFit="1" customWidth="1"/>
    <col min="11756" max="11765" width="12.85546875" style="137" bestFit="1" customWidth="1"/>
    <col min="11766" max="11766" width="9.140625" style="137"/>
    <col min="11767" max="11767" width="10.5703125" style="137" bestFit="1" customWidth="1"/>
    <col min="11768" max="12008" width="9.140625" style="137"/>
    <col min="12009" max="12009" width="35.42578125" style="137" customWidth="1"/>
    <col min="12010" max="12010" width="10.85546875" style="137" bestFit="1" customWidth="1"/>
    <col min="12011" max="12011" width="11.85546875" style="137" bestFit="1" customWidth="1"/>
    <col min="12012" max="12021" width="12.85546875" style="137" bestFit="1" customWidth="1"/>
    <col min="12022" max="12022" width="9.140625" style="137"/>
    <col min="12023" max="12023" width="10.5703125" style="137" bestFit="1" customWidth="1"/>
    <col min="12024" max="12264" width="9.140625" style="137"/>
    <col min="12265" max="12265" width="35.42578125" style="137" customWidth="1"/>
    <col min="12266" max="12266" width="10.85546875" style="137" bestFit="1" customWidth="1"/>
    <col min="12267" max="12267" width="11.85546875" style="137" bestFit="1" customWidth="1"/>
    <col min="12268" max="12277" width="12.85546875" style="137" bestFit="1" customWidth="1"/>
    <col min="12278" max="12278" width="9.140625" style="137"/>
    <col min="12279" max="12279" width="10.5703125" style="137" bestFit="1" customWidth="1"/>
    <col min="12280" max="12520" width="9.140625" style="137"/>
    <col min="12521" max="12521" width="35.42578125" style="137" customWidth="1"/>
    <col min="12522" max="12522" width="10.85546875" style="137" bestFit="1" customWidth="1"/>
    <col min="12523" max="12523" width="11.85546875" style="137" bestFit="1" customWidth="1"/>
    <col min="12524" max="12533" width="12.85546875" style="137" bestFit="1" customWidth="1"/>
    <col min="12534" max="12534" width="9.140625" style="137"/>
    <col min="12535" max="12535" width="10.5703125" style="137" bestFit="1" customWidth="1"/>
    <col min="12536" max="12776" width="9.140625" style="137"/>
    <col min="12777" max="12777" width="35.42578125" style="137" customWidth="1"/>
    <col min="12778" max="12778" width="10.85546875" style="137" bestFit="1" customWidth="1"/>
    <col min="12779" max="12779" width="11.85546875" style="137" bestFit="1" customWidth="1"/>
    <col min="12780" max="12789" width="12.85546875" style="137" bestFit="1" customWidth="1"/>
    <col min="12790" max="12790" width="9.140625" style="137"/>
    <col min="12791" max="12791" width="10.5703125" style="137" bestFit="1" customWidth="1"/>
    <col min="12792" max="13032" width="9.140625" style="137"/>
    <col min="13033" max="13033" width="35.42578125" style="137" customWidth="1"/>
    <col min="13034" max="13034" width="10.85546875" style="137" bestFit="1" customWidth="1"/>
    <col min="13035" max="13035" width="11.85546875" style="137" bestFit="1" customWidth="1"/>
    <col min="13036" max="13045" width="12.85546875" style="137" bestFit="1" customWidth="1"/>
    <col min="13046" max="13046" width="9.140625" style="137"/>
    <col min="13047" max="13047" width="10.5703125" style="137" bestFit="1" customWidth="1"/>
    <col min="13048" max="13288" width="9.140625" style="137"/>
    <col min="13289" max="13289" width="35.42578125" style="137" customWidth="1"/>
    <col min="13290" max="13290" width="10.85546875" style="137" bestFit="1" customWidth="1"/>
    <col min="13291" max="13291" width="11.85546875" style="137" bestFit="1" customWidth="1"/>
    <col min="13292" max="13301" width="12.85546875" style="137" bestFit="1" customWidth="1"/>
    <col min="13302" max="13302" width="9.140625" style="137"/>
    <col min="13303" max="13303" width="10.5703125" style="137" bestFit="1" customWidth="1"/>
    <col min="13304" max="13544" width="9.140625" style="137"/>
    <col min="13545" max="13545" width="35.42578125" style="137" customWidth="1"/>
    <col min="13546" max="13546" width="10.85546875" style="137" bestFit="1" customWidth="1"/>
    <col min="13547" max="13547" width="11.85546875" style="137" bestFit="1" customWidth="1"/>
    <col min="13548" max="13557" width="12.85546875" style="137" bestFit="1" customWidth="1"/>
    <col min="13558" max="13558" width="9.140625" style="137"/>
    <col min="13559" max="13559" width="10.5703125" style="137" bestFit="1" customWidth="1"/>
    <col min="13560" max="13800" width="9.140625" style="137"/>
    <col min="13801" max="13801" width="35.42578125" style="137" customWidth="1"/>
    <col min="13802" max="13802" width="10.85546875" style="137" bestFit="1" customWidth="1"/>
    <col min="13803" max="13803" width="11.85546875" style="137" bestFit="1" customWidth="1"/>
    <col min="13804" max="13813" width="12.85546875" style="137" bestFit="1" customWidth="1"/>
    <col min="13814" max="13814" width="9.140625" style="137"/>
    <col min="13815" max="13815" width="10.5703125" style="137" bestFit="1" customWidth="1"/>
    <col min="13816" max="14056" width="9.140625" style="137"/>
    <col min="14057" max="14057" width="35.42578125" style="137" customWidth="1"/>
    <col min="14058" max="14058" width="10.85546875" style="137" bestFit="1" customWidth="1"/>
    <col min="14059" max="14059" width="11.85546875" style="137" bestFit="1" customWidth="1"/>
    <col min="14060" max="14069" width="12.85546875" style="137" bestFit="1" customWidth="1"/>
    <col min="14070" max="14070" width="9.140625" style="137"/>
    <col min="14071" max="14071" width="10.5703125" style="137" bestFit="1" customWidth="1"/>
    <col min="14072" max="14312" width="9.140625" style="137"/>
    <col min="14313" max="14313" width="35.42578125" style="137" customWidth="1"/>
    <col min="14314" max="14314" width="10.85546875" style="137" bestFit="1" customWidth="1"/>
    <col min="14315" max="14315" width="11.85546875" style="137" bestFit="1" customWidth="1"/>
    <col min="14316" max="14325" width="12.85546875" style="137" bestFit="1" customWidth="1"/>
    <col min="14326" max="14326" width="9.140625" style="137"/>
    <col min="14327" max="14327" width="10.5703125" style="137" bestFit="1" customWidth="1"/>
    <col min="14328" max="14568" width="9.140625" style="137"/>
    <col min="14569" max="14569" width="35.42578125" style="137" customWidth="1"/>
    <col min="14570" max="14570" width="10.85546875" style="137" bestFit="1" customWidth="1"/>
    <col min="14571" max="14571" width="11.85546875" style="137" bestFit="1" customWidth="1"/>
    <col min="14572" max="14581" width="12.85546875" style="137" bestFit="1" customWidth="1"/>
    <col min="14582" max="14582" width="9.140625" style="137"/>
    <col min="14583" max="14583" width="10.5703125" style="137" bestFit="1" customWidth="1"/>
    <col min="14584" max="14824" width="9.140625" style="137"/>
    <col min="14825" max="14825" width="35.42578125" style="137" customWidth="1"/>
    <col min="14826" max="14826" width="10.85546875" style="137" bestFit="1" customWidth="1"/>
    <col min="14827" max="14827" width="11.85546875" style="137" bestFit="1" customWidth="1"/>
    <col min="14828" max="14837" width="12.85546875" style="137" bestFit="1" customWidth="1"/>
    <col min="14838" max="14838" width="9.140625" style="137"/>
    <col min="14839" max="14839" width="10.5703125" style="137" bestFit="1" customWidth="1"/>
    <col min="14840" max="15080" width="9.140625" style="137"/>
    <col min="15081" max="15081" width="35.42578125" style="137" customWidth="1"/>
    <col min="15082" max="15082" width="10.85546875" style="137" bestFit="1" customWidth="1"/>
    <col min="15083" max="15083" width="11.85546875" style="137" bestFit="1" customWidth="1"/>
    <col min="15084" max="15093" width="12.85546875" style="137" bestFit="1" customWidth="1"/>
    <col min="15094" max="15094" width="9.140625" style="137"/>
    <col min="15095" max="15095" width="10.5703125" style="137" bestFit="1" customWidth="1"/>
    <col min="15096" max="15336" width="9.140625" style="137"/>
    <col min="15337" max="15337" width="35.42578125" style="137" customWidth="1"/>
    <col min="15338" max="15338" width="10.85546875" style="137" bestFit="1" customWidth="1"/>
    <col min="15339" max="15339" width="11.85546875" style="137" bestFit="1" customWidth="1"/>
    <col min="15340" max="15349" width="12.85546875" style="137" bestFit="1" customWidth="1"/>
    <col min="15350" max="15350" width="9.140625" style="137"/>
    <col min="15351" max="15351" width="10.5703125" style="137" bestFit="1" customWidth="1"/>
    <col min="15352" max="15592" width="9.140625" style="137"/>
    <col min="15593" max="15593" width="35.42578125" style="137" customWidth="1"/>
    <col min="15594" max="15594" width="10.85546875" style="137" bestFit="1" customWidth="1"/>
    <col min="15595" max="15595" width="11.85546875" style="137" bestFit="1" customWidth="1"/>
    <col min="15596" max="15605" width="12.85546875" style="137" bestFit="1" customWidth="1"/>
    <col min="15606" max="15606" width="9.140625" style="137"/>
    <col min="15607" max="15607" width="10.5703125" style="137" bestFit="1" customWidth="1"/>
    <col min="15608" max="15848" width="9.140625" style="137"/>
    <col min="15849" max="15849" width="35.42578125" style="137" customWidth="1"/>
    <col min="15850" max="15850" width="10.85546875" style="137" bestFit="1" customWidth="1"/>
    <col min="15851" max="15851" width="11.85546875" style="137" bestFit="1" customWidth="1"/>
    <col min="15852" max="15861" width="12.85546875" style="137" bestFit="1" customWidth="1"/>
    <col min="15862" max="15862" width="9.140625" style="137"/>
    <col min="15863" max="15863" width="10.5703125" style="137" bestFit="1" customWidth="1"/>
    <col min="15864" max="16104" width="9.140625" style="137"/>
    <col min="16105" max="16105" width="35.42578125" style="137" customWidth="1"/>
    <col min="16106" max="16106" width="10.85546875" style="137" bestFit="1" customWidth="1"/>
    <col min="16107" max="16107" width="11.85546875" style="137" bestFit="1" customWidth="1"/>
    <col min="16108" max="16117" width="12.85546875" style="137" bestFit="1" customWidth="1"/>
    <col min="16118" max="16118" width="9.140625" style="137"/>
    <col min="16119" max="16119" width="10.5703125" style="137" bestFit="1" customWidth="1"/>
    <col min="16120" max="16384" width="9.140625" style="137"/>
  </cols>
  <sheetData>
    <row r="1" spans="2:15" ht="6" customHeight="1" thickBot="1">
      <c r="E1" s="138"/>
    </row>
    <row r="2" spans="2:15" ht="14.25" thickBot="1">
      <c r="B2" s="213" t="s">
        <v>44</v>
      </c>
      <c r="C2" s="214" t="str">
        <f>'NPV PT'!C2</f>
        <v>Malaysia</v>
      </c>
      <c r="D2" s="197"/>
      <c r="E2" s="138"/>
      <c r="G2" s="141"/>
    </row>
    <row r="3" spans="2:15" ht="13.5">
      <c r="B3" s="211" t="s">
        <v>46</v>
      </c>
      <c r="C3" s="212">
        <f>'NPV PT'!C3</f>
        <v>0.08</v>
      </c>
      <c r="D3" s="138"/>
      <c r="E3" s="138"/>
      <c r="G3" s="400" t="s">
        <v>47</v>
      </c>
      <c r="H3" s="401"/>
      <c r="I3" s="401"/>
      <c r="J3" s="401"/>
      <c r="K3" s="401"/>
      <c r="L3" s="401"/>
      <c r="M3" s="401"/>
      <c r="N3" s="401"/>
      <c r="O3" s="402"/>
    </row>
    <row r="4" spans="2:15">
      <c r="E4" s="138"/>
      <c r="G4" s="403"/>
      <c r="H4" s="404"/>
      <c r="I4" s="404"/>
      <c r="J4" s="404"/>
      <c r="K4" s="404"/>
      <c r="L4" s="404"/>
      <c r="M4" s="404"/>
      <c r="N4" s="404"/>
      <c r="O4" s="405"/>
    </row>
    <row r="5" spans="2:15">
      <c r="C5" s="138"/>
      <c r="D5" s="138"/>
      <c r="E5" s="138"/>
      <c r="G5" s="403"/>
      <c r="H5" s="404"/>
      <c r="I5" s="404"/>
      <c r="J5" s="404"/>
      <c r="K5" s="404"/>
      <c r="L5" s="404"/>
      <c r="M5" s="404"/>
      <c r="N5" s="404"/>
      <c r="O5" s="405"/>
    </row>
    <row r="6" spans="2:15" ht="13.5" thickBot="1">
      <c r="C6" s="138"/>
      <c r="D6" s="138"/>
      <c r="E6" s="138"/>
      <c r="G6" s="406"/>
      <c r="H6" s="407"/>
      <c r="I6" s="407"/>
      <c r="J6" s="407"/>
      <c r="K6" s="407"/>
      <c r="L6" s="407"/>
      <c r="M6" s="407"/>
      <c r="N6" s="407"/>
      <c r="O6" s="408"/>
    </row>
    <row r="7" spans="2:15">
      <c r="H7" s="142"/>
      <c r="I7" s="142"/>
      <c r="J7" s="142"/>
      <c r="K7" s="142"/>
      <c r="L7" s="142"/>
      <c r="M7" s="142"/>
      <c r="N7" s="142"/>
      <c r="O7" s="142"/>
    </row>
    <row r="8" spans="2:15">
      <c r="E8" s="143">
        <v>0</v>
      </c>
      <c r="F8" s="143">
        <v>1</v>
      </c>
      <c r="G8" s="143">
        <v>2</v>
      </c>
      <c r="H8" s="143">
        <v>3</v>
      </c>
      <c r="I8" s="143">
        <v>4</v>
      </c>
      <c r="J8" s="143">
        <v>5</v>
      </c>
      <c r="K8" s="143">
        <v>6</v>
      </c>
      <c r="L8" s="143">
        <v>7</v>
      </c>
      <c r="M8" s="143">
        <v>8</v>
      </c>
      <c r="N8" s="143">
        <v>9</v>
      </c>
      <c r="O8" s="143">
        <v>10</v>
      </c>
    </row>
    <row r="9" spans="2:15" ht="13.5">
      <c r="B9" s="409" t="s">
        <v>48</v>
      </c>
      <c r="C9" s="410"/>
      <c r="D9" s="413" t="s">
        <v>232</v>
      </c>
      <c r="E9" s="140" t="s">
        <v>49</v>
      </c>
      <c r="F9" s="140" t="s">
        <v>50</v>
      </c>
      <c r="G9" s="140" t="s">
        <v>51</v>
      </c>
      <c r="H9" s="140" t="s">
        <v>52</v>
      </c>
      <c r="I9" s="140" t="s">
        <v>53</v>
      </c>
      <c r="J9" s="140" t="s">
        <v>54</v>
      </c>
      <c r="K9" s="140" t="s">
        <v>55</v>
      </c>
      <c r="L9" s="140" t="s">
        <v>56</v>
      </c>
      <c r="M9" s="140" t="s">
        <v>57</v>
      </c>
      <c r="N9" s="140" t="s">
        <v>58</v>
      </c>
      <c r="O9" s="140" t="s">
        <v>59</v>
      </c>
    </row>
    <row r="10" spans="2:15" ht="13.5">
      <c r="B10" s="411"/>
      <c r="C10" s="412"/>
      <c r="D10" s="414"/>
      <c r="E10" s="144">
        <f>'NPV PT'!D10</f>
        <v>2025</v>
      </c>
      <c r="F10" s="144">
        <f>E10+1</f>
        <v>2026</v>
      </c>
      <c r="G10" s="144">
        <f t="shared" ref="G10:N10" si="0">F10+1</f>
        <v>2027</v>
      </c>
      <c r="H10" s="144">
        <f t="shared" si="0"/>
        <v>2028</v>
      </c>
      <c r="I10" s="144">
        <f t="shared" si="0"/>
        <v>2029</v>
      </c>
      <c r="J10" s="144">
        <f t="shared" si="0"/>
        <v>2030</v>
      </c>
      <c r="K10" s="144">
        <f t="shared" si="0"/>
        <v>2031</v>
      </c>
      <c r="L10" s="144">
        <f t="shared" si="0"/>
        <v>2032</v>
      </c>
      <c r="M10" s="144">
        <f t="shared" si="0"/>
        <v>2033</v>
      </c>
      <c r="N10" s="144">
        <f t="shared" si="0"/>
        <v>2034</v>
      </c>
      <c r="O10" s="144">
        <f t="shared" ref="O10" si="1">N10+1</f>
        <v>2035</v>
      </c>
    </row>
    <row r="11" spans="2:15" ht="13.5">
      <c r="B11" s="145" t="s">
        <v>60</v>
      </c>
      <c r="C11" s="146"/>
      <c r="D11" s="146"/>
      <c r="E11" s="147"/>
      <c r="F11" s="147"/>
      <c r="G11" s="147"/>
      <c r="H11" s="147"/>
      <c r="I11" s="147"/>
      <c r="J11" s="147"/>
      <c r="K11" s="147"/>
      <c r="L11" s="147"/>
      <c r="M11" s="147"/>
      <c r="N11" s="147"/>
      <c r="O11" s="147"/>
    </row>
    <row r="12" spans="2:15" ht="13.5">
      <c r="B12" s="148" t="s">
        <v>61</v>
      </c>
      <c r="C12" s="156" t="str">
        <f>CONCATENATE(VLOOKUP($C$2,countries!C:F,4,0),"/USD")</f>
        <v>MYR/USD</v>
      </c>
      <c r="D12" s="146"/>
      <c r="E12" s="149">
        <f>'NPV PT'!D12</f>
        <v>4.71</v>
      </c>
      <c r="F12" s="149">
        <f>'NPV PT'!E12</f>
        <v>4.51</v>
      </c>
      <c r="G12" s="149">
        <f>'NPV PT'!F12</f>
        <v>4.28</v>
      </c>
      <c r="H12" s="149">
        <f>'NPV PT'!G12</f>
        <v>4.1399999999999997</v>
      </c>
      <c r="I12" s="149">
        <f>'NPV PT'!H12</f>
        <v>4.04</v>
      </c>
      <c r="J12" s="149">
        <f>'NPV PT'!I12</f>
        <v>3.96</v>
      </c>
      <c r="K12" s="149">
        <f>'NPV PT'!J12</f>
        <v>3.91</v>
      </c>
      <c r="L12" s="149">
        <f>'NPV PT'!K12</f>
        <v>3.88</v>
      </c>
      <c r="M12" s="149">
        <f>'NPV PT'!L12</f>
        <v>3.86</v>
      </c>
      <c r="N12" s="149">
        <f>'NPV PT'!M12</f>
        <v>3.84</v>
      </c>
      <c r="O12" s="149">
        <f>'NPV PT'!N12</f>
        <v>3.83</v>
      </c>
    </row>
    <row r="13" spans="2:15" ht="13.5">
      <c r="B13" s="148" t="s">
        <v>62</v>
      </c>
      <c r="C13" s="146" t="s">
        <v>63</v>
      </c>
      <c r="D13" s="146"/>
      <c r="E13" s="150">
        <f>'NPV PT'!D13</f>
        <v>2.3849999999999996E-2</v>
      </c>
      <c r="F13" s="150">
        <f>'NPV PT'!E13</f>
        <v>2.7300000000000001E-2</v>
      </c>
      <c r="G13" s="150">
        <f>'NPV PT'!F13</f>
        <v>2.5899999999999999E-2</v>
      </c>
      <c r="H13" s="150">
        <f>'NPV PT'!G13</f>
        <v>2.5950000000000001E-2</v>
      </c>
      <c r="I13" s="150">
        <f>'NPV PT'!H13</f>
        <v>2.35E-2</v>
      </c>
      <c r="J13" s="150">
        <f>'NPV PT'!I13</f>
        <v>2.4E-2</v>
      </c>
      <c r="K13" s="150">
        <f>'NPV PT'!J13</f>
        <v>2.4299999999999999E-2</v>
      </c>
      <c r="L13" s="150">
        <f>'NPV PT'!K13</f>
        <v>2.4299999999999999E-2</v>
      </c>
      <c r="M13" s="150">
        <f>'NPV PT'!L13</f>
        <v>2.4050000000000002E-2</v>
      </c>
      <c r="N13" s="150">
        <f>'NPV PT'!M13</f>
        <v>2.375E-2</v>
      </c>
      <c r="O13" s="150">
        <f>'NPV PT'!N13</f>
        <v>2.3550000000000001E-2</v>
      </c>
    </row>
    <row r="14" spans="2:15" ht="13.5">
      <c r="B14" s="148" t="s">
        <v>64</v>
      </c>
      <c r="C14" s="146" t="s">
        <v>63</v>
      </c>
      <c r="D14" s="146"/>
      <c r="E14" s="150">
        <f>'NPV PT'!D14</f>
        <v>0</v>
      </c>
      <c r="F14" s="150">
        <f>'NPV PT'!E14</f>
        <v>2.3849999999999927E-2</v>
      </c>
      <c r="G14" s="150">
        <f>'NPV PT'!F14</f>
        <v>5.1801105000000014E-2</v>
      </c>
      <c r="H14" s="150">
        <f>'NPV PT'!G14</f>
        <v>7.9042753619499972E-2</v>
      </c>
      <c r="I14" s="150">
        <f>'NPV PT'!H14</f>
        <v>0.10704391307592598</v>
      </c>
      <c r="J14" s="150">
        <f>'NPV PT'!I14</f>
        <v>0.13305944503321032</v>
      </c>
      <c r="K14" s="150">
        <f>'NPV PT'!J14</f>
        <v>0.16025287171400748</v>
      </c>
      <c r="L14" s="150">
        <f>'NPV PT'!K14</f>
        <v>0.18844701649665785</v>
      </c>
      <c r="M14" s="150">
        <f>'NPV PT'!L14</f>
        <v>0.21732627899752655</v>
      </c>
      <c r="N14" s="150">
        <f>'NPV PT'!M14</f>
        <v>0.24660297600741687</v>
      </c>
      <c r="O14" s="150">
        <f>'NPV PT'!N14</f>
        <v>0.27620979668759293</v>
      </c>
    </row>
    <row r="15" spans="2:15" ht="13.5">
      <c r="B15" s="148" t="s">
        <v>65</v>
      </c>
      <c r="C15" s="146" t="s">
        <v>63</v>
      </c>
      <c r="D15" s="146"/>
      <c r="E15" s="150">
        <f>'NPV PT'!D15</f>
        <v>0.24</v>
      </c>
      <c r="F15" s="150">
        <f>'NPV PT'!E15</f>
        <v>0.24</v>
      </c>
      <c r="G15" s="150">
        <f>'NPV PT'!F15</f>
        <v>0.24</v>
      </c>
      <c r="H15" s="150">
        <f>'NPV PT'!G15</f>
        <v>0.24</v>
      </c>
      <c r="I15" s="150">
        <f>'NPV PT'!H15</f>
        <v>0.24</v>
      </c>
      <c r="J15" s="150">
        <f>'NPV PT'!I15</f>
        <v>0.24</v>
      </c>
      <c r="K15" s="150">
        <f>'NPV PT'!J15</f>
        <v>0.24</v>
      </c>
      <c r="L15" s="150">
        <f>'NPV PT'!K15</f>
        <v>0.24</v>
      </c>
      <c r="M15" s="150">
        <f>'NPV PT'!L15</f>
        <v>0.24</v>
      </c>
      <c r="N15" s="150">
        <f>'NPV PT'!M15</f>
        <v>0.24</v>
      </c>
      <c r="O15" s="150">
        <f>'NPV PT'!N15</f>
        <v>0.24</v>
      </c>
    </row>
    <row r="16" spans="2:15" ht="13.5">
      <c r="B16" s="151" t="s">
        <v>66</v>
      </c>
      <c r="C16" s="152"/>
      <c r="D16" s="152"/>
      <c r="E16" s="153"/>
      <c r="F16" s="153"/>
      <c r="G16" s="153"/>
      <c r="H16" s="153"/>
      <c r="I16" s="153"/>
      <c r="J16" s="154"/>
      <c r="K16" s="154"/>
      <c r="L16" s="154"/>
      <c r="M16" s="154"/>
      <c r="N16" s="154"/>
      <c r="O16" s="154"/>
    </row>
    <row r="17" spans="2:15" ht="13.5">
      <c r="B17" s="155" t="s">
        <v>67</v>
      </c>
      <c r="C17" s="156" t="s">
        <v>68</v>
      </c>
      <c r="D17" s="156"/>
      <c r="E17" s="373">
        <f>IF($D17="",'NPV PT'!D17,'NPV PT'!D17*(1+$D17))</f>
        <v>0</v>
      </c>
      <c r="F17" s="373">
        <f>IF($D17="",'NPV PT'!E17,'NPV PT'!E17*(1+$D17))</f>
        <v>1511910.2</v>
      </c>
      <c r="G17" s="373">
        <f>IF($D17="",'NPV PT'!F17,'NPV PT'!F17*(1+$D17))</f>
        <v>1511910.2</v>
      </c>
      <c r="H17" s="373">
        <f>IF($D17="",'NPV PT'!G17,'NPV PT'!G17*(1+$D17))</f>
        <v>1511910.2</v>
      </c>
      <c r="I17" s="373">
        <f>IF($D17="",'NPV PT'!H17,'NPV PT'!H17*(1+$D17))</f>
        <v>1511910.2</v>
      </c>
      <c r="J17" s="373">
        <f>IF($D17="",'NPV PT'!I17,'NPV PT'!I17*(1+$D17))</f>
        <v>1511910.2</v>
      </c>
      <c r="K17" s="373">
        <f>IF($D17="",'NPV PT'!J17,'NPV PT'!J17*(1+$D17))</f>
        <v>0</v>
      </c>
      <c r="L17" s="373">
        <f>IF($D17="",'NPV PT'!K17,'NPV PT'!K17*(1+$D17))</f>
        <v>0</v>
      </c>
      <c r="M17" s="373">
        <f>IF($D17="",'NPV PT'!L17,'NPV PT'!L17*(1+$D17))</f>
        <v>0</v>
      </c>
      <c r="N17" s="373">
        <f>IF($D17="",'NPV PT'!M17,'NPV PT'!M17*(1+$D17))</f>
        <v>0</v>
      </c>
      <c r="O17" s="373">
        <f>IF($D17="",'NPV PT'!N17,'NPV PT'!N17*(1+$D17))</f>
        <v>0</v>
      </c>
    </row>
    <row r="18" spans="2:15" ht="13.5">
      <c r="B18" s="155" t="s">
        <v>440</v>
      </c>
      <c r="C18" s="156" t="str">
        <f>CONCATENATE(VLOOKUP($C$2,countries!C:F,4,0),"/lt")</f>
        <v>MYR/lt</v>
      </c>
      <c r="D18" s="156"/>
      <c r="E18" s="374">
        <f>IF($D18="",'NPV PT'!D18,'NPV PT'!D18*(1+$D18))</f>
        <v>0</v>
      </c>
      <c r="F18" s="374">
        <f>IF($D18="",'NPV PT'!E18,'NPV PT'!E18*(1+$D18))</f>
        <v>4.0590000000000002</v>
      </c>
      <c r="G18" s="373">
        <f>IF($D18="",'NPV PT'!F18,'NPV PT'!F18*(1+$D18))</f>
        <v>3.8520000000000003</v>
      </c>
      <c r="H18" s="373">
        <f>IF($D18="",'NPV PT'!G18,'NPV PT'!G18*(1+$D18))</f>
        <v>3.726</v>
      </c>
      <c r="I18" s="373">
        <f>IF($D18="",'NPV PT'!H18,'NPV PT'!H18*(1+$D18))</f>
        <v>3.6360000000000001</v>
      </c>
      <c r="J18" s="373">
        <f>IF($D18="",'NPV PT'!I18,'NPV PT'!I18*(1+$D18))</f>
        <v>3.5640000000000001</v>
      </c>
      <c r="K18" s="373">
        <f>IF($D18="",'NPV PT'!J18,'NPV PT'!J18*(1+$D18))</f>
        <v>0</v>
      </c>
      <c r="L18" s="373">
        <f>IF($D18="",'NPV PT'!K18,'NPV PT'!K18*(1+$D18))</f>
        <v>0</v>
      </c>
      <c r="M18" s="373">
        <f>IF($D18="",'NPV PT'!L18,'NPV PT'!L18*(1+$D18))</f>
        <v>0</v>
      </c>
      <c r="N18" s="373">
        <f>IF($D18="",'NPV PT'!M18,'NPV PT'!M18*(1+$D18))</f>
        <v>0</v>
      </c>
      <c r="O18" s="373">
        <f>IF($D18="",'NPV PT'!N18,'NPV PT'!N18*(1+$D18))</f>
        <v>0</v>
      </c>
    </row>
    <row r="19" spans="2:15" ht="13.5">
      <c r="B19" s="155" t="s">
        <v>456</v>
      </c>
      <c r="C19" s="156" t="str">
        <f>CONCATENATE(VLOOKUP($C$2,countries!C:F,4,0),"/lt")</f>
        <v>MYR/lt</v>
      </c>
      <c r="D19" s="156"/>
      <c r="E19" s="374">
        <f>IF($D19="",'NPV PT'!D19,'NPV PT'!D19*(1+$D19))</f>
        <v>0</v>
      </c>
      <c r="F19" s="374">
        <f>IF($D19="",'NPV PT'!E19,'NPV PT'!E19*(1+$D19))</f>
        <v>0</v>
      </c>
      <c r="G19" s="373">
        <f>IF($D19="",'NPV PT'!F19,'NPV PT'!F19*(1+$D19))</f>
        <v>0</v>
      </c>
      <c r="H19" s="373">
        <f>IF($D19="",'NPV PT'!G19,'NPV PT'!G19*(1+$D19))</f>
        <v>0</v>
      </c>
      <c r="I19" s="373">
        <f>IF($D19="",'NPV PT'!H19,'NPV PT'!H19*(1+$D19))</f>
        <v>0</v>
      </c>
      <c r="J19" s="373">
        <f>IF($D19="",'NPV PT'!I19,'NPV PT'!I19*(1+$D19))</f>
        <v>0</v>
      </c>
      <c r="K19" s="373">
        <f>IF($D19="",'NPV PT'!J19,'NPV PT'!J19*(1+$D19))</f>
        <v>0</v>
      </c>
      <c r="L19" s="373">
        <f>IF($D19="",'NPV PT'!K19,'NPV PT'!K19*(1+$D19))</f>
        <v>0</v>
      </c>
      <c r="M19" s="373">
        <f>IF($D19="",'NPV PT'!L19,'NPV PT'!L19*(1+$D19))</f>
        <v>0</v>
      </c>
      <c r="N19" s="373">
        <f>IF($D19="",'NPV PT'!M19,'NPV PT'!M19*(1+$D19))</f>
        <v>0</v>
      </c>
      <c r="O19" s="373">
        <f>IF($D19="",'NPV PT'!N19,'NPV PT'!N19*(1+$D19))</f>
        <v>0</v>
      </c>
    </row>
    <row r="20" spans="2:15" ht="13.5">
      <c r="B20" s="155" t="s">
        <v>69</v>
      </c>
      <c r="C20" s="156" t="str">
        <f>CONCATENATE(VLOOKUP($C$2,countries!C:F,4,0),"/lt")</f>
        <v>MYR/lt</v>
      </c>
      <c r="D20" s="156"/>
      <c r="E20" s="374">
        <f>IF($D20="",'NPV PT'!D20,'NPV PT'!D20*(1+$D20))</f>
        <v>0</v>
      </c>
      <c r="F20" s="374">
        <f>IF($D20="",'NPV PT'!E20,'NPV PT'!E20*(1+$D20))</f>
        <v>4.0590000000000002</v>
      </c>
      <c r="G20" s="373">
        <f>IF($D20="",'NPV PT'!F20,'NPV PT'!F20*(1+$D20))</f>
        <v>3.8520000000000003</v>
      </c>
      <c r="H20" s="373">
        <f>IF($D20="",'NPV PT'!G20,'NPV PT'!G20*(1+$D20))</f>
        <v>3.726</v>
      </c>
      <c r="I20" s="373">
        <f>IF($D20="",'NPV PT'!H20,'NPV PT'!H20*(1+$D20))</f>
        <v>3.6360000000000001</v>
      </c>
      <c r="J20" s="373">
        <f>IF($D20="",'NPV PT'!I20,'NPV PT'!I20*(1+$D20))</f>
        <v>3.5640000000000001</v>
      </c>
      <c r="K20" s="373">
        <f>IF($D20="",'NPV PT'!J20,'NPV PT'!J20*(1+$D20))</f>
        <v>0</v>
      </c>
      <c r="L20" s="373">
        <f>IF($D20="",'NPV PT'!K20,'NPV PT'!K20*(1+$D20))</f>
        <v>0</v>
      </c>
      <c r="M20" s="373">
        <f>IF($D20="",'NPV PT'!L20,'NPV PT'!L20*(1+$D20))</f>
        <v>0</v>
      </c>
      <c r="N20" s="373">
        <f>IF($D20="",'NPV PT'!M20,'NPV PT'!M20*(1+$D20))</f>
        <v>0</v>
      </c>
      <c r="O20" s="373">
        <f>IF($D20="",'NPV PT'!N20,'NPV PT'!N20*(1+$D20))</f>
        <v>0</v>
      </c>
    </row>
    <row r="21" spans="2:15" ht="13.5">
      <c r="B21" s="155" t="s">
        <v>457</v>
      </c>
      <c r="C21" s="156" t="str">
        <f>VLOOKUP($C$2,countries!C:F,4,0)</f>
        <v>MYR</v>
      </c>
      <c r="D21" s="156"/>
      <c r="E21" s="374">
        <f>IF($D21="",'NPV PT'!D21,'NPV PT'!D21*(1+$D21))</f>
        <v>0</v>
      </c>
      <c r="F21" s="374">
        <f>IF($D21="",'NPV PT'!E21,'NPV PT'!E21*(1+$D21))</f>
        <v>6136843.5017999997</v>
      </c>
      <c r="G21" s="373">
        <f>IF($D21="",'NPV PT'!F21,'NPV PT'!F21*(1+$D21))</f>
        <v>5823878.0904000001</v>
      </c>
      <c r="H21" s="373">
        <f>IF($D21="",'NPV PT'!G21,'NPV PT'!G21*(1+$D21))</f>
        <v>5633377.4051999999</v>
      </c>
      <c r="I21" s="373">
        <f>IF($D21="",'NPV PT'!H21,'NPV PT'!H21*(1+$D21))</f>
        <v>5497305.4872000003</v>
      </c>
      <c r="J21" s="373">
        <f>IF($D21="",'NPV PT'!I21,'NPV PT'!I21*(1+$D21))</f>
        <v>5388447.9528000001</v>
      </c>
      <c r="K21" s="373">
        <f>IF($D21="",'NPV PT'!J21,'NPV PT'!J21*(1+$D21))</f>
        <v>0</v>
      </c>
      <c r="L21" s="373">
        <f>IF($D21="",'NPV PT'!K21,'NPV PT'!K21*(1+$D21))</f>
        <v>0</v>
      </c>
      <c r="M21" s="373">
        <f>IF($D21="",'NPV PT'!L21,'NPV PT'!L21*(1+$D21))</f>
        <v>0</v>
      </c>
      <c r="N21" s="373">
        <f>IF($D21="",'NPV PT'!M21,'NPV PT'!M21*(1+$D21))</f>
        <v>0</v>
      </c>
      <c r="O21" s="373">
        <f>IF($D21="",'NPV PT'!N21,'NPV PT'!N21*(1+$D21))</f>
        <v>0</v>
      </c>
    </row>
    <row r="22" spans="2:15" ht="13.5">
      <c r="B22" s="155" t="s">
        <v>458</v>
      </c>
      <c r="C22" s="156" t="str">
        <f>VLOOKUP($C$2,countries!C:F,4,0)</f>
        <v>MYR</v>
      </c>
      <c r="D22" s="156"/>
      <c r="E22" s="374">
        <f>IF($D22="",'NPV PT'!D22,'NPV PT'!D22*(1+$D22))</f>
        <v>0</v>
      </c>
      <c r="F22" s="374">
        <f>IF($D22="",'NPV PT'!E22,'NPV PT'!E22*(1+$D22))</f>
        <v>0</v>
      </c>
      <c r="G22" s="373">
        <f>IF($D22="",'NPV PT'!F22,'NPV PT'!F22*(1+$D22))</f>
        <v>0</v>
      </c>
      <c r="H22" s="373">
        <f>IF($D22="",'NPV PT'!G22,'NPV PT'!G22*(1+$D22))</f>
        <v>0</v>
      </c>
      <c r="I22" s="373">
        <f>IF($D22="",'NPV PT'!H22,'NPV PT'!H22*(1+$D22))</f>
        <v>0</v>
      </c>
      <c r="J22" s="373">
        <f>IF($D22="",'NPV PT'!I22,'NPV PT'!I22*(1+$D22))</f>
        <v>0</v>
      </c>
      <c r="K22" s="373">
        <f>IF($D22="",'NPV PT'!J22,'NPV PT'!J22*(1+$D22))</f>
        <v>0</v>
      </c>
      <c r="L22" s="373">
        <f>IF($D22="",'NPV PT'!K22,'NPV PT'!K22*(1+$D22))</f>
        <v>0</v>
      </c>
      <c r="M22" s="373">
        <f>IF($D22="",'NPV PT'!L22,'NPV PT'!L22*(1+$D22))</f>
        <v>0</v>
      </c>
      <c r="N22" s="373">
        <f>IF($D22="",'NPV PT'!M22,'NPV PT'!M22*(1+$D22))</f>
        <v>0</v>
      </c>
      <c r="O22" s="373">
        <f>IF($D22="",'NPV PT'!N22,'NPV PT'!N22*(1+$D22))</f>
        <v>0</v>
      </c>
    </row>
    <row r="23" spans="2:15" ht="13.5">
      <c r="B23" s="151" t="s">
        <v>70</v>
      </c>
      <c r="C23" s="157"/>
      <c r="D23" s="156"/>
      <c r="E23" s="375"/>
      <c r="F23" s="375"/>
      <c r="G23" s="376"/>
      <c r="H23" s="376"/>
      <c r="I23" s="376"/>
      <c r="J23" s="376"/>
      <c r="K23" s="376"/>
      <c r="L23" s="376"/>
      <c r="M23" s="376"/>
      <c r="N23" s="376"/>
      <c r="O23" s="376"/>
    </row>
    <row r="24" spans="2:15" ht="13.5">
      <c r="B24" s="158" t="s">
        <v>243</v>
      </c>
      <c r="C24" s="159" t="str">
        <f>VLOOKUP($C$2,countries!C:F,4,0)</f>
        <v>MYR</v>
      </c>
      <c r="D24" s="159"/>
      <c r="E24" s="373">
        <f>E20*E17</f>
        <v>0</v>
      </c>
      <c r="F24" s="373">
        <f t="shared" ref="F24:N24" si="2">F20*F17</f>
        <v>6136843.5017999997</v>
      </c>
      <c r="G24" s="373">
        <f t="shared" si="2"/>
        <v>5823878.0904000001</v>
      </c>
      <c r="H24" s="373">
        <f t="shared" si="2"/>
        <v>5633377.4051999999</v>
      </c>
      <c r="I24" s="373">
        <f t="shared" si="2"/>
        <v>5497305.4872000003</v>
      </c>
      <c r="J24" s="373">
        <f t="shared" si="2"/>
        <v>5388447.9528000001</v>
      </c>
      <c r="K24" s="373">
        <f t="shared" si="2"/>
        <v>0</v>
      </c>
      <c r="L24" s="373">
        <f t="shared" si="2"/>
        <v>0</v>
      </c>
      <c r="M24" s="373">
        <f t="shared" si="2"/>
        <v>0</v>
      </c>
      <c r="N24" s="373">
        <f t="shared" si="2"/>
        <v>0</v>
      </c>
      <c r="O24" s="373">
        <f t="shared" ref="O24" si="3">O20*O17</f>
        <v>0</v>
      </c>
    </row>
    <row r="25" spans="2:15" ht="13.5">
      <c r="B25" s="158" t="s">
        <v>443</v>
      </c>
      <c r="C25" s="159" t="str">
        <f>VLOOKUP($C$2,countries!C:F,4,0)</f>
        <v>MYR</v>
      </c>
      <c r="D25" s="159"/>
      <c r="E25" s="373">
        <f>IF($D25="",'NPV PT'!D25,'NPV PT'!D25*(1+$D25))</f>
        <v>0</v>
      </c>
      <c r="F25" s="373">
        <f>IF($D25="",'NPV PT'!E25,'NPV PT'!E25*(1+$D25))</f>
        <v>0</v>
      </c>
      <c r="G25" s="373">
        <f>IF($D25="",'NPV PT'!F25,'NPV PT'!F25*(1+$D25))</f>
        <v>0</v>
      </c>
      <c r="H25" s="373">
        <f>IF($D25="",'NPV PT'!G25,'NPV PT'!G25*(1+$D25))</f>
        <v>0</v>
      </c>
      <c r="I25" s="373">
        <f>IF($D25="",'NPV PT'!H25,'NPV PT'!H25*(1+$D25))</f>
        <v>0</v>
      </c>
      <c r="J25" s="373">
        <f>IF($D25="",'NPV PT'!I25,'NPV PT'!I25*(1+$D25))</f>
        <v>0</v>
      </c>
      <c r="K25" s="373">
        <f>IF($D25="",'NPV PT'!J25,'NPV PT'!J25*(1+$D25))</f>
        <v>0</v>
      </c>
      <c r="L25" s="373">
        <f>IF($D25="",'NPV PT'!K25,'NPV PT'!K25*(1+$D25))</f>
        <v>0</v>
      </c>
      <c r="M25" s="373">
        <f>IF($D25="",'NPV PT'!L25,'NPV PT'!L25*(1+$D25))</f>
        <v>0</v>
      </c>
      <c r="N25" s="373">
        <f>IF($D25="",'NPV PT'!M25,'NPV PT'!M25*(1+$D25))</f>
        <v>0</v>
      </c>
      <c r="O25" s="373">
        <f>IF($D25="",'NPV PT'!N25,'NPV PT'!N25*(1+$D25))</f>
        <v>0</v>
      </c>
    </row>
    <row r="26" spans="2:15" ht="13.5">
      <c r="B26" s="158" t="s">
        <v>244</v>
      </c>
      <c r="C26" s="159" t="str">
        <f>VLOOKUP($C$2,countries!C:F,4,0)</f>
        <v>MYR</v>
      </c>
      <c r="D26" s="159"/>
      <c r="E26" s="373">
        <f>IF($D26="",'NPV PT'!D26,'NPV PT'!D26*(1+$D26))</f>
        <v>0</v>
      </c>
      <c r="F26" s="373">
        <f>IF($D26="",'NPV PT'!E26,'NPV PT'!E26*(1+$D26))</f>
        <v>0</v>
      </c>
      <c r="G26" s="373">
        <f>IF($D26="",'NPV PT'!F26,'NPV PT'!F26*(1+$D26))</f>
        <v>0</v>
      </c>
      <c r="H26" s="373">
        <f>IF($D26="",'NPV PT'!G26,'NPV PT'!G26*(1+$D26))</f>
        <v>0</v>
      </c>
      <c r="I26" s="373">
        <f>IF($D26="",'NPV PT'!H26,'NPV PT'!H26*(1+$D26))</f>
        <v>0</v>
      </c>
      <c r="J26" s="373">
        <f>IF($D26="",'NPV PT'!I26,'NPV PT'!I26*(1+$D26))</f>
        <v>0</v>
      </c>
      <c r="K26" s="373">
        <f>IF($D26="",'NPV PT'!J26,'NPV PT'!J26*(1+$D26))</f>
        <v>0</v>
      </c>
      <c r="L26" s="373">
        <f>IF($D26="",'NPV PT'!K26,'NPV PT'!K26*(1+$D26))</f>
        <v>0</v>
      </c>
      <c r="M26" s="373">
        <f>IF($D26="",'NPV PT'!L26,'NPV PT'!L26*(1+$D26))</f>
        <v>0</v>
      </c>
      <c r="N26" s="373">
        <f>IF($D26="",'NPV PT'!M26,'NPV PT'!M26*(1+$D26))</f>
        <v>0</v>
      </c>
      <c r="O26" s="373">
        <f>IF($D26="",'NPV PT'!N26,'NPV PT'!N26*(1+$D26))</f>
        <v>0</v>
      </c>
    </row>
    <row r="27" spans="2:15" ht="13.5">
      <c r="B27" s="158" t="s">
        <v>444</v>
      </c>
      <c r="C27" s="159" t="str">
        <f>VLOOKUP($C$2,countries!C:F,4,0)</f>
        <v>MYR</v>
      </c>
      <c r="D27" s="159"/>
      <c r="E27" s="373">
        <f>IF($D27="",'NPV PT'!D27,'NPV PT'!D27*(1+$D27))</f>
        <v>0</v>
      </c>
      <c r="F27" s="373">
        <f>IF($D27="",'NPV PT'!E27,'NPV PT'!E27*(1+$D27))</f>
        <v>0</v>
      </c>
      <c r="G27" s="373">
        <f>IF($D27="",'NPV PT'!F27,'NPV PT'!F27*(1+$D27))</f>
        <v>0</v>
      </c>
      <c r="H27" s="373">
        <f>IF($D27="",'NPV PT'!G27,'NPV PT'!G27*(1+$D27))</f>
        <v>0</v>
      </c>
      <c r="I27" s="373">
        <f>IF($D27="",'NPV PT'!H27,'NPV PT'!H27*(1+$D27))</f>
        <v>0</v>
      </c>
      <c r="J27" s="373">
        <f>IF($D27="",'NPV PT'!I27,'NPV PT'!I27*(1+$D27))</f>
        <v>0</v>
      </c>
      <c r="K27" s="373">
        <f>IF($D27="",'NPV PT'!J27,'NPV PT'!J27*(1+$D27))</f>
        <v>0</v>
      </c>
      <c r="L27" s="373">
        <f>IF($D27="",'NPV PT'!K27,'NPV PT'!K27*(1+$D27))</f>
        <v>0</v>
      </c>
      <c r="M27" s="373">
        <f>IF($D27="",'NPV PT'!L27,'NPV PT'!L27*(1+$D27))</f>
        <v>0</v>
      </c>
      <c r="N27" s="373">
        <f>IF($D27="",'NPV PT'!M27,'NPV PT'!M27*(1+$D27))</f>
        <v>0</v>
      </c>
      <c r="O27" s="373">
        <f>IF($D27="",'NPV PT'!N27,'NPV PT'!N27*(1+$D27))</f>
        <v>0</v>
      </c>
    </row>
    <row r="28" spans="2:15" ht="13.5">
      <c r="B28" s="158" t="s">
        <v>445</v>
      </c>
      <c r="C28" s="159" t="str">
        <f>VLOOKUP($C$2,countries!C:F,4,0)</f>
        <v>MYR</v>
      </c>
      <c r="D28" s="159"/>
      <c r="E28" s="373">
        <f>IF($D28="",'NPV PT'!D28,'NPV PT'!D28*(1+$D28))</f>
        <v>-400000</v>
      </c>
      <c r="F28" s="373">
        <f>IF($D28="",'NPV PT'!E28,'NPV PT'!E28*(1+$D28))</f>
        <v>0</v>
      </c>
      <c r="G28" s="373">
        <f>IF($D28="",'NPV PT'!F28,'NPV PT'!F28*(1+$D28))</f>
        <v>0</v>
      </c>
      <c r="H28" s="373">
        <f>IF($D28="",'NPV PT'!G28,'NPV PT'!G28*(1+$D28))</f>
        <v>0</v>
      </c>
      <c r="I28" s="373">
        <f>IF($D28="",'NPV PT'!H28,'NPV PT'!H28*(1+$D28))</f>
        <v>0</v>
      </c>
      <c r="J28" s="373">
        <f>IF($D28="",'NPV PT'!I28,'NPV PT'!I28*(1+$D28))</f>
        <v>0</v>
      </c>
      <c r="K28" s="373">
        <f>IF($D28="",'NPV PT'!J28,'NPV PT'!J28*(1+$D28))</f>
        <v>0</v>
      </c>
      <c r="L28" s="373">
        <f>IF($D28="",'NPV PT'!K28,'NPV PT'!K28*(1+$D28))</f>
        <v>0</v>
      </c>
      <c r="M28" s="373">
        <f>IF($D28="",'NPV PT'!L28,'NPV PT'!L28*(1+$D28))</f>
        <v>0</v>
      </c>
      <c r="N28" s="373">
        <f>IF($D28="",'NPV PT'!M28,'NPV PT'!M28*(1+$D28))</f>
        <v>0</v>
      </c>
      <c r="O28" s="373">
        <f>IF($D28="",'NPV PT'!N28,'NPV PT'!N28*(1+$D28))</f>
        <v>0</v>
      </c>
    </row>
    <row r="29" spans="2:15" ht="13.5">
      <c r="B29" s="158" t="s">
        <v>447</v>
      </c>
      <c r="C29" s="159" t="str">
        <f>VLOOKUP($C$2,countries!C:F,4,0)</f>
        <v>MYR</v>
      </c>
      <c r="D29" s="159"/>
      <c r="E29" s="373">
        <f>IF($D29="",'NPV PT'!D29,'NPV PT'!D29*(1+$D29))</f>
        <v>0</v>
      </c>
      <c r="F29" s="373">
        <f>IF($D29="",'NPV PT'!E29,'NPV PT'!E29*(1+$D29))</f>
        <v>0</v>
      </c>
      <c r="G29" s="373">
        <f>IF($D29="",'NPV PT'!F29,'NPV PT'!F29*(1+$D29))</f>
        <v>0</v>
      </c>
      <c r="H29" s="373">
        <f>IF($D29="",'NPV PT'!G29,'NPV PT'!G29*(1+$D29))</f>
        <v>0</v>
      </c>
      <c r="I29" s="373">
        <f>IF($D29="",'NPV PT'!H29,'NPV PT'!H29*(1+$D29))</f>
        <v>0</v>
      </c>
      <c r="J29" s="373">
        <f>IF($D29="",'NPV PT'!I29,'NPV PT'!I29*(1+$D29))</f>
        <v>0</v>
      </c>
      <c r="K29" s="373">
        <f>IF($D29="",'NPV PT'!J29,'NPV PT'!J29*(1+$D29))</f>
        <v>0</v>
      </c>
      <c r="L29" s="373">
        <f>IF($D29="",'NPV PT'!K29,'NPV PT'!K29*(1+$D29))</f>
        <v>0</v>
      </c>
      <c r="M29" s="373">
        <f>IF($D29="",'NPV PT'!L29,'NPV PT'!L29*(1+$D29))</f>
        <v>0</v>
      </c>
      <c r="N29" s="373">
        <f>IF($D29="",'NPV PT'!M29,'NPV PT'!M29*(1+$D29))</f>
        <v>0</v>
      </c>
      <c r="O29" s="373">
        <f>IF($D29="",'NPV PT'!N29,'NPV PT'!N29*(1+$D29))</f>
        <v>0</v>
      </c>
    </row>
    <row r="30" spans="2:15" ht="13.5">
      <c r="B30" s="158" t="s">
        <v>446</v>
      </c>
      <c r="C30" s="159" t="str">
        <f>VLOOKUP($C$2,countries!C:F,4,0)</f>
        <v>MYR</v>
      </c>
      <c r="D30" s="159"/>
      <c r="E30" s="373">
        <f>IF($D30="",'NPV PT'!D30,'NPV PT'!D30*(1+$D30))</f>
        <v>0</v>
      </c>
      <c r="F30" s="373">
        <f>IF($D30="",'NPV PT'!E30,'NPV PT'!E30*(1+$D30))</f>
        <v>0</v>
      </c>
      <c r="G30" s="373">
        <f>IF($D30="",'NPV PT'!F30,'NPV PT'!F30*(1+$D30))</f>
        <v>0</v>
      </c>
      <c r="H30" s="373">
        <f>IF($D30="",'NPV PT'!G30,'NPV PT'!G30*(1+$D30))</f>
        <v>0</v>
      </c>
      <c r="I30" s="373">
        <f>IF($D30="",'NPV PT'!H30,'NPV PT'!H30*(1+$D30))</f>
        <v>0</v>
      </c>
      <c r="J30" s="373">
        <f>IF($D30="",'NPV PT'!I30,'NPV PT'!I30*(1+$D30))</f>
        <v>0</v>
      </c>
      <c r="K30" s="373">
        <f>IF($D30="",'NPV PT'!J30,'NPV PT'!J30*(1+$D30))</f>
        <v>0</v>
      </c>
      <c r="L30" s="373">
        <f>IF($D30="",'NPV PT'!K30,'NPV PT'!K30*(1+$D30))</f>
        <v>0</v>
      </c>
      <c r="M30" s="373">
        <f>IF($D30="",'NPV PT'!L30,'NPV PT'!L30*(1+$D30))</f>
        <v>0</v>
      </c>
      <c r="N30" s="373">
        <f>IF($D30="",'NPV PT'!M30,'NPV PT'!M30*(1+$D30))</f>
        <v>0</v>
      </c>
      <c r="O30" s="373">
        <f>IF($D30="",'NPV PT'!N30,'NPV PT'!N30*(1+$D30))</f>
        <v>0</v>
      </c>
    </row>
    <row r="31" spans="2:15" ht="13.5">
      <c r="B31" s="158" t="s">
        <v>473</v>
      </c>
      <c r="C31" s="159" t="str">
        <f>VLOOKUP($C$2,countries!C:F,4,0)</f>
        <v>MYR</v>
      </c>
      <c r="D31" s="159"/>
      <c r="E31" s="373">
        <f>IF($D31="",'NPV PT'!D31,'NPV PT'!D31*(1+$D31))</f>
        <v>0</v>
      </c>
      <c r="F31" s="373">
        <f>IF($D31="",'NPV PT'!E31,'NPV PT'!E31*(1+$D31))</f>
        <v>0</v>
      </c>
      <c r="G31" s="373">
        <f>IF($D31="",'NPV PT'!F31,'NPV PT'!F31*(1+$D31))</f>
        <v>0</v>
      </c>
      <c r="H31" s="373">
        <f>IF($D31="",'NPV PT'!G31,'NPV PT'!G31*(1+$D31))</f>
        <v>0</v>
      </c>
      <c r="I31" s="373">
        <f>IF($D31="",'NPV PT'!H31,'NPV PT'!H31*(1+$D31))</f>
        <v>0</v>
      </c>
      <c r="J31" s="373">
        <f>IF($D31="",'NPV PT'!I31,'NPV PT'!I31*(1+$D31))</f>
        <v>0</v>
      </c>
      <c r="K31" s="373">
        <f>IF($D31="",'NPV PT'!J31,'NPV PT'!J31*(1+$D31))</f>
        <v>0</v>
      </c>
      <c r="L31" s="373">
        <f>IF($D31="",'NPV PT'!K31,'NPV PT'!K31*(1+$D31))</f>
        <v>0</v>
      </c>
      <c r="M31" s="373">
        <f>IF($D31="",'NPV PT'!L31,'NPV PT'!L31*(1+$D31))</f>
        <v>0</v>
      </c>
      <c r="N31" s="373">
        <f>IF($D31="",'NPV PT'!M31,'NPV PT'!M31*(1+$D31))</f>
        <v>0</v>
      </c>
      <c r="O31" s="373">
        <f>IF($D31="",'NPV PT'!N31,'NPV PT'!N31*(1+$D31))</f>
        <v>0</v>
      </c>
    </row>
    <row r="32" spans="2:15" ht="13.5">
      <c r="B32" s="158" t="s">
        <v>240</v>
      </c>
      <c r="C32" s="159" t="str">
        <f>VLOOKUP($C$2,countries!C:F,4,0)</f>
        <v>MYR</v>
      </c>
      <c r="D32" s="159"/>
      <c r="E32" s="373">
        <f>IF($D32="",'NPV PT'!D32,'NPV PT'!D32*(1+$D32))</f>
        <v>0</v>
      </c>
      <c r="F32" s="373">
        <f>IF($D32="",'NPV PT'!E32,'NPV PT'!E32*(1+$D32))</f>
        <v>0</v>
      </c>
      <c r="G32" s="373">
        <f>IF($D32="",'NPV PT'!F32,'NPV PT'!F32*(1+$D32))</f>
        <v>0</v>
      </c>
      <c r="H32" s="373">
        <f>IF($D32="",'NPV PT'!G32,'NPV PT'!G32*(1+$D32))</f>
        <v>0</v>
      </c>
      <c r="I32" s="373">
        <f>IF($D32="",'NPV PT'!H32,'NPV PT'!H32*(1+$D32))</f>
        <v>0</v>
      </c>
      <c r="J32" s="373">
        <f>IF($D32="",'NPV PT'!I32,'NPV PT'!I32*(1+$D32))</f>
        <v>0</v>
      </c>
      <c r="K32" s="373">
        <f>IF($D32="",'NPV PT'!J32,'NPV PT'!J32*(1+$D32))</f>
        <v>0</v>
      </c>
      <c r="L32" s="373">
        <f>IF($D32="",'NPV PT'!K32,'NPV PT'!K32*(1+$D32))</f>
        <v>0</v>
      </c>
      <c r="M32" s="373">
        <f>IF($D32="",'NPV PT'!L32,'NPV PT'!L32*(1+$D32))</f>
        <v>0</v>
      </c>
      <c r="N32" s="373">
        <f>IF($D32="",'NPV PT'!M32,'NPV PT'!M32*(1+$D32))</f>
        <v>0</v>
      </c>
      <c r="O32" s="373">
        <f>IF($D32="",'NPV PT'!N32,'NPV PT'!N32*(1+$D32))</f>
        <v>0</v>
      </c>
    </row>
    <row r="33" spans="2:25" ht="13.5">
      <c r="B33" s="158" t="s">
        <v>235</v>
      </c>
      <c r="C33" s="159" t="str">
        <f>VLOOKUP($C$2,countries!C:F,4,0)</f>
        <v>MYR</v>
      </c>
      <c r="D33" s="159"/>
      <c r="E33" s="373">
        <f>IF($D33="",'NPV PT'!D33,'NPV PT'!D33*(1+$D33))</f>
        <v>0</v>
      </c>
      <c r="F33" s="373">
        <f>IF($D33="",'NPV PT'!E33,'NPV PT'!E33*(1+$D33))</f>
        <v>0</v>
      </c>
      <c r="G33" s="373">
        <f>IF($D33="",'NPV PT'!F33,'NPV PT'!F33*(1+$D33))</f>
        <v>0</v>
      </c>
      <c r="H33" s="373">
        <f>IF($D33="",'NPV PT'!G33,'NPV PT'!G33*(1+$D33))</f>
        <v>0</v>
      </c>
      <c r="I33" s="373">
        <f>IF($D33="",'NPV PT'!H33,'NPV PT'!H33*(1+$D33))</f>
        <v>0</v>
      </c>
      <c r="J33" s="373">
        <f>IF($D33="",'NPV PT'!I33,'NPV PT'!I33*(1+$D33))</f>
        <v>0</v>
      </c>
      <c r="K33" s="373">
        <f>IF($D33="",'NPV PT'!J33,'NPV PT'!J33*(1+$D33))</f>
        <v>0</v>
      </c>
      <c r="L33" s="373">
        <f>IF($D33="",'NPV PT'!K33,'NPV PT'!K33*(1+$D33))</f>
        <v>0</v>
      </c>
      <c r="M33" s="373">
        <f>IF($D33="",'NPV PT'!L33,'NPV PT'!L33*(1+$D33))</f>
        <v>0</v>
      </c>
      <c r="N33" s="373">
        <f>IF($D33="",'NPV PT'!M33,'NPV PT'!M33*(1+$D33))</f>
        <v>0</v>
      </c>
      <c r="O33" s="373">
        <f>IF($D33="",'NPV PT'!N33,'NPV PT'!N33*(1+$D33))</f>
        <v>0</v>
      </c>
      <c r="Y33" s="160"/>
    </row>
    <row r="34" spans="2:25" ht="13.5">
      <c r="B34" s="158" t="s">
        <v>236</v>
      </c>
      <c r="C34" s="159" t="str">
        <f>VLOOKUP($C$2,countries!C:F,4,0)</f>
        <v>MYR</v>
      </c>
      <c r="D34" s="159"/>
      <c r="E34" s="373">
        <f>IF($D34="",'NPV PT'!D34,'NPV PT'!D34*(1+$D34))</f>
        <v>0</v>
      </c>
      <c r="F34" s="373">
        <f>IF($D34="",'NPV PT'!E34,'NPV PT'!E34*(1+$D34))</f>
        <v>0</v>
      </c>
      <c r="G34" s="373">
        <f>IF($D34="",'NPV PT'!F34,'NPV PT'!F34*(1+$D34))</f>
        <v>0</v>
      </c>
      <c r="H34" s="373">
        <f>IF($D34="",'NPV PT'!G34,'NPV PT'!G34*(1+$D34))</f>
        <v>0</v>
      </c>
      <c r="I34" s="373">
        <f>IF($D34="",'NPV PT'!H34,'NPV PT'!H34*(1+$D34))</f>
        <v>0</v>
      </c>
      <c r="J34" s="373">
        <f>IF($D34="",'NPV PT'!I34,'NPV PT'!I34*(1+$D34))</f>
        <v>0</v>
      </c>
      <c r="K34" s="373">
        <f>IF($D34="",'NPV PT'!J34,'NPV PT'!J34*(1+$D34))</f>
        <v>0</v>
      </c>
      <c r="L34" s="373">
        <f>IF($D34="",'NPV PT'!K34,'NPV PT'!K34*(1+$D34))</f>
        <v>0</v>
      </c>
      <c r="M34" s="373">
        <f>IF($D34="",'NPV PT'!L34,'NPV PT'!L34*(1+$D34))</f>
        <v>0</v>
      </c>
      <c r="N34" s="373">
        <f>IF($D34="",'NPV PT'!M34,'NPV PT'!M34*(1+$D34))</f>
        <v>0</v>
      </c>
      <c r="O34" s="373">
        <f>IF($D34="",'NPV PT'!N34,'NPV PT'!N34*(1+$D34))</f>
        <v>0</v>
      </c>
      <c r="Y34" s="160"/>
    </row>
    <row r="35" spans="2:25" ht="13.5">
      <c r="B35" s="158" t="s">
        <v>237</v>
      </c>
      <c r="C35" s="159" t="str">
        <f>VLOOKUP($C$2,countries!C:F,4,0)</f>
        <v>MYR</v>
      </c>
      <c r="D35" s="159"/>
      <c r="E35" s="373">
        <f>IF($D35="",'NPV PT'!D35,'NPV PT'!D35*(1+$D35))</f>
        <v>0</v>
      </c>
      <c r="F35" s="373">
        <f>IF($D35="",'NPV PT'!E35,'NPV PT'!E35*(1+$D35))</f>
        <v>0</v>
      </c>
      <c r="G35" s="373">
        <f>IF($D35="",'NPV PT'!F35,'NPV PT'!F35*(1+$D35))</f>
        <v>0</v>
      </c>
      <c r="H35" s="373">
        <f>IF($D35="",'NPV PT'!G35,'NPV PT'!G35*(1+$D35))</f>
        <v>0</v>
      </c>
      <c r="I35" s="373">
        <f>IF($D35="",'NPV PT'!H35,'NPV PT'!H35*(1+$D35))</f>
        <v>0</v>
      </c>
      <c r="J35" s="373">
        <f>IF($D35="",'NPV PT'!I35,'NPV PT'!I35*(1+$D35))</f>
        <v>0</v>
      </c>
      <c r="K35" s="373">
        <f>IF($D35="",'NPV PT'!J35,'NPV PT'!J35*(1+$D35))</f>
        <v>0</v>
      </c>
      <c r="L35" s="373">
        <f>IF($D35="",'NPV PT'!K35,'NPV PT'!K35*(1+$D35))</f>
        <v>0</v>
      </c>
      <c r="M35" s="373">
        <f>IF($D35="",'NPV PT'!L35,'NPV PT'!L35*(1+$D35))</f>
        <v>0</v>
      </c>
      <c r="N35" s="373">
        <f>IF($D35="",'NPV PT'!M35,'NPV PT'!M35*(1+$D35))</f>
        <v>0</v>
      </c>
      <c r="O35" s="373">
        <f>IF($D35="",'NPV PT'!N35,'NPV PT'!N35*(1+$D35))</f>
        <v>0</v>
      </c>
      <c r="Y35" s="160"/>
    </row>
    <row r="36" spans="2:25" ht="13.5">
      <c r="B36" s="158" t="s">
        <v>238</v>
      </c>
      <c r="C36" s="159" t="str">
        <f>VLOOKUP($C$2,countries!C:F,4,0)</f>
        <v>MYR</v>
      </c>
      <c r="D36" s="159"/>
      <c r="E36" s="373">
        <f>IF($D36="",'NPV PT'!D36,'NPV PT'!D36*(1+$D36))</f>
        <v>0</v>
      </c>
      <c r="F36" s="373">
        <f>IF($D36="",'NPV PT'!E36,'NPV PT'!E36*(1+$D36))</f>
        <v>0</v>
      </c>
      <c r="G36" s="373">
        <f>IF($D36="",'NPV PT'!F36,'NPV PT'!F36*(1+$D36))</f>
        <v>0</v>
      </c>
      <c r="H36" s="373">
        <f>IF($D36="",'NPV PT'!G36,'NPV PT'!G36*(1+$D36))</f>
        <v>0</v>
      </c>
      <c r="I36" s="373">
        <f>IF($D36="",'NPV PT'!H36,'NPV PT'!H36*(1+$D36))</f>
        <v>0</v>
      </c>
      <c r="J36" s="373">
        <f>IF($D36="",'NPV PT'!I36,'NPV PT'!I36*(1+$D36))</f>
        <v>0</v>
      </c>
      <c r="K36" s="373">
        <f>IF($D36="",'NPV PT'!J36,'NPV PT'!J36*(1+$D36))</f>
        <v>0</v>
      </c>
      <c r="L36" s="373">
        <f>IF($D36="",'NPV PT'!K36,'NPV PT'!K36*(1+$D36))</f>
        <v>0</v>
      </c>
      <c r="M36" s="373">
        <f>IF($D36="",'NPV PT'!L36,'NPV PT'!L36*(1+$D36))</f>
        <v>0</v>
      </c>
      <c r="N36" s="373">
        <f>IF($D36="",'NPV PT'!M36,'NPV PT'!M36*(1+$D36))</f>
        <v>0</v>
      </c>
      <c r="O36" s="373">
        <f>IF($D36="",'NPV PT'!N36,'NPV PT'!N36*(1+$D36))</f>
        <v>0</v>
      </c>
      <c r="Y36" s="160"/>
    </row>
    <row r="37" spans="2:25" ht="13.5">
      <c r="B37" s="158" t="s">
        <v>239</v>
      </c>
      <c r="C37" s="159" t="str">
        <f>VLOOKUP($C$2,countries!C:F,4,0)</f>
        <v>MYR</v>
      </c>
      <c r="D37" s="159"/>
      <c r="E37" s="373">
        <f>IF($D37="",'NPV PT'!D37,'NPV PT'!D37*(1+$D37))</f>
        <v>0</v>
      </c>
      <c r="F37" s="373">
        <f>IF($D37="",'NPV PT'!E37,'NPV PT'!E37*(1+$D37))</f>
        <v>0</v>
      </c>
      <c r="G37" s="373">
        <f>IF($D37="",'NPV PT'!F37,'NPV PT'!F37*(1+$D37))</f>
        <v>0</v>
      </c>
      <c r="H37" s="373">
        <f>IF($D37="",'NPV PT'!G37,'NPV PT'!G37*(1+$D37))</f>
        <v>0</v>
      </c>
      <c r="I37" s="373">
        <f>IF($D37="",'NPV PT'!H37,'NPV PT'!H37*(1+$D37))</f>
        <v>0</v>
      </c>
      <c r="J37" s="373">
        <f>IF($D37="",'NPV PT'!I37,'NPV PT'!I37*(1+$D37))</f>
        <v>0</v>
      </c>
      <c r="K37" s="373">
        <f>IF($D37="",'NPV PT'!J37,'NPV PT'!J37*(1+$D37))</f>
        <v>0</v>
      </c>
      <c r="L37" s="373">
        <f>IF($D37="",'NPV PT'!K37,'NPV PT'!K37*(1+$D37))</f>
        <v>0</v>
      </c>
      <c r="M37" s="373">
        <f>IF($D37="",'NPV PT'!L37,'NPV PT'!L37*(1+$D37))</f>
        <v>0</v>
      </c>
      <c r="N37" s="373">
        <f>IF($D37="",'NPV PT'!M37,'NPV PT'!M37*(1+$D37))</f>
        <v>0</v>
      </c>
      <c r="O37" s="373">
        <f>IF($D37="",'NPV PT'!N37,'NPV PT'!N37*(1+$D37))</f>
        <v>0</v>
      </c>
      <c r="Y37" s="160"/>
    </row>
    <row r="38" spans="2:25" ht="13.5">
      <c r="B38" s="158" t="s">
        <v>71</v>
      </c>
      <c r="C38" s="159" t="str">
        <f>VLOOKUP($C$2,countries!C:F,4,0)</f>
        <v>MYR</v>
      </c>
      <c r="D38" s="159"/>
      <c r="E38" s="373">
        <f>IF($D38="",'NPV PT'!D38,'NPV PT'!D38*(1+$D38))</f>
        <v>0</v>
      </c>
      <c r="F38" s="373">
        <f>IF($D38="",'NPV PT'!E38,'NPV PT'!E38*(1+$D38))</f>
        <v>0</v>
      </c>
      <c r="G38" s="373">
        <f>IF($D38="",'NPV PT'!F38,'NPV PT'!F38*(1+$D38))</f>
        <v>0</v>
      </c>
      <c r="H38" s="373">
        <f>IF($D38="",'NPV PT'!G38,'NPV PT'!G38*(1+$D38))</f>
        <v>0</v>
      </c>
      <c r="I38" s="373">
        <f>IF($D38="",'NPV PT'!H38,'NPV PT'!H38*(1+$D38))</f>
        <v>0</v>
      </c>
      <c r="J38" s="373">
        <f>IF($D38="",'NPV PT'!I38,'NPV PT'!I38*(1+$D38))</f>
        <v>0</v>
      </c>
      <c r="K38" s="373">
        <f>IF($D38="",'NPV PT'!J38,'NPV PT'!J38*(1+$D38))</f>
        <v>0</v>
      </c>
      <c r="L38" s="373">
        <f>IF($D38="",'NPV PT'!K38,'NPV PT'!K38*(1+$D38))</f>
        <v>0</v>
      </c>
      <c r="M38" s="373">
        <f>IF($D38="",'NPV PT'!L38,'NPV PT'!L38*(1+$D38))</f>
        <v>0</v>
      </c>
      <c r="N38" s="373">
        <f>IF($D38="",'NPV PT'!M38,'NPV PT'!M38*(1+$D38))</f>
        <v>0</v>
      </c>
      <c r="O38" s="373">
        <f>IF($D38="",'NPV PT'!N38,'NPV PT'!N38*(1+$D38))</f>
        <v>0</v>
      </c>
      <c r="P38" s="161"/>
      <c r="Y38" s="160"/>
    </row>
    <row r="39" spans="2:25" ht="13.5">
      <c r="B39" s="158" t="s">
        <v>72</v>
      </c>
      <c r="C39" s="159" t="str">
        <f>VLOOKUP($C$2,countries!C:F,4,0)</f>
        <v>MYR</v>
      </c>
      <c r="D39" s="280">
        <v>0.1</v>
      </c>
      <c r="E39" s="377">
        <f>IF($D39="",'NPV PT'!D39,'NPV PT'!D39*(1+$D39))</f>
        <v>0</v>
      </c>
      <c r="F39" s="377">
        <f>IF($D39="",'NPV PT'!E39,'NPV PT'!E39*(1+$D39))</f>
        <v>0</v>
      </c>
      <c r="G39" s="377">
        <f>IF($D39="",'NPV PT'!F39,'NPV PT'!F39*(1+$D39))</f>
        <v>0</v>
      </c>
      <c r="H39" s="377">
        <f>IF($D39="",'NPV PT'!G39,'NPV PT'!G39*(1+$D39))</f>
        <v>0</v>
      </c>
      <c r="I39" s="377">
        <f>IF($D39="",'NPV PT'!H39,'NPV PT'!H39*(1+$D39))</f>
        <v>0</v>
      </c>
      <c r="J39" s="377">
        <f>IF($D39="",'NPV PT'!I39,'NPV PT'!I39*(1+$D39))</f>
        <v>0</v>
      </c>
      <c r="K39" s="377">
        <f>IF($D39="",'NPV PT'!J39,'NPV PT'!J39*(1+$D39))</f>
        <v>0</v>
      </c>
      <c r="L39" s="377">
        <f>IF($D39="",'NPV PT'!K39,'NPV PT'!K39*(1+$D39))</f>
        <v>0</v>
      </c>
      <c r="M39" s="377">
        <f>IF($D39="",'NPV PT'!L39,'NPV PT'!L39*(1+$D39))</f>
        <v>0</v>
      </c>
      <c r="N39" s="377">
        <f>IF($D39="",'NPV PT'!M39,'NPV PT'!M39*(1+$D39))</f>
        <v>0</v>
      </c>
      <c r="O39" s="377">
        <f>IF($D39="",'NPV PT'!N39,'NPV PT'!N39*(1+$D39))</f>
        <v>0</v>
      </c>
      <c r="P39" s="161"/>
    </row>
    <row r="40" spans="2:25" ht="13.5">
      <c r="B40" s="158" t="s">
        <v>73</v>
      </c>
      <c r="C40" s="159" t="str">
        <f>VLOOKUP($C$2,countries!C:F,4,0)</f>
        <v>MYR</v>
      </c>
      <c r="D40" s="281"/>
      <c r="E40" s="373">
        <f>SUM('Capex&amp;Depr'!F54:F63)</f>
        <v>0</v>
      </c>
      <c r="F40" s="373">
        <f>SUM('Capex&amp;Depr'!G54:G63)</f>
        <v>-498960</v>
      </c>
      <c r="G40" s="373">
        <f>SUM('Capex&amp;Depr'!H54:H63)</f>
        <v>-498960</v>
      </c>
      <c r="H40" s="373">
        <f>SUM('Capex&amp;Depr'!I54:I63)</f>
        <v>-498960</v>
      </c>
      <c r="I40" s="373">
        <f>SUM('Capex&amp;Depr'!J54:J63)</f>
        <v>-498960</v>
      </c>
      <c r="J40" s="373">
        <f>SUM('Capex&amp;Depr'!K54:K63)</f>
        <v>-498960</v>
      </c>
      <c r="K40" s="373">
        <f>SUM('Capex&amp;Depr'!L54:L63)</f>
        <v>0</v>
      </c>
      <c r="L40" s="373">
        <f>SUM('Capex&amp;Depr'!M54:M63)</f>
        <v>0</v>
      </c>
      <c r="M40" s="373">
        <f>SUM('Capex&amp;Depr'!N54:N63)</f>
        <v>0</v>
      </c>
      <c r="N40" s="373">
        <f>SUM('Capex&amp;Depr'!O54:O63)</f>
        <v>0</v>
      </c>
      <c r="O40" s="373">
        <f>SUM('Capex&amp;Depr'!P54:P63)</f>
        <v>0</v>
      </c>
    </row>
    <row r="41" spans="2:25" ht="13.5">
      <c r="B41" s="158" t="s">
        <v>200</v>
      </c>
      <c r="C41" s="159" t="str">
        <f>VLOOKUP($C$2,countries!C:F,4,0)</f>
        <v>MYR</v>
      </c>
      <c r="D41" s="281"/>
      <c r="E41" s="373">
        <f>IF($D41="",'NPV PT'!D41,'NPV PT'!D41*(1+$D41))</f>
        <v>0</v>
      </c>
      <c r="F41" s="373">
        <f>IF($D41="",'NPV PT'!E41,'NPV PT'!E41*(1+$D41))</f>
        <v>0</v>
      </c>
      <c r="G41" s="373">
        <f>IF($D41="",'NPV PT'!F41,'NPV PT'!F41*(1+$D41))</f>
        <v>0</v>
      </c>
      <c r="H41" s="373">
        <f>IF($D41="",'NPV PT'!G41,'NPV PT'!G41*(1+$D41))</f>
        <v>0</v>
      </c>
      <c r="I41" s="373">
        <f>IF($D41="",'NPV PT'!H41,'NPV PT'!H41*(1+$D41))</f>
        <v>0</v>
      </c>
      <c r="J41" s="373">
        <f>IF($D41="",'NPV PT'!I41,'NPV PT'!I41*(1+$D41))</f>
        <v>0</v>
      </c>
      <c r="K41" s="373">
        <f>IF($D41="",'NPV PT'!J41,'NPV PT'!J41*(1+$D41))</f>
        <v>0</v>
      </c>
      <c r="L41" s="373">
        <f>IF($D41="",'NPV PT'!K41,'NPV PT'!K41*(1+$D41))</f>
        <v>0</v>
      </c>
      <c r="M41" s="373">
        <f>IF($D41="",'NPV PT'!L41,'NPV PT'!L41*(1+$D41))</f>
        <v>0</v>
      </c>
      <c r="N41" s="373">
        <f>IF($D41="",'NPV PT'!M41,'NPV PT'!M41*(1+$D41))</f>
        <v>0</v>
      </c>
      <c r="O41" s="373">
        <f>IF($D41="",'NPV PT'!N41,'NPV PT'!N41*(1+$D41))</f>
        <v>0</v>
      </c>
    </row>
    <row r="42" spans="2:25" ht="13.5">
      <c r="B42" s="158" t="s">
        <v>245</v>
      </c>
      <c r="C42" s="159" t="str">
        <f>VLOOKUP($C$2,countries!C:F,4,0)</f>
        <v>MYR</v>
      </c>
      <c r="D42" s="280">
        <v>0.1</v>
      </c>
      <c r="E42" s="377">
        <f>IF($D42="",'NPV PT'!D42,'NPV PT'!D42*(1+$D42))</f>
        <v>0</v>
      </c>
      <c r="F42" s="377">
        <f>IF($D42="",'NPV PT'!E42,'NPV PT'!E42*(1+$D42))</f>
        <v>0</v>
      </c>
      <c r="G42" s="377">
        <f>IF($D42="",'NPV PT'!F42,'NPV PT'!F42*(1+$D42))</f>
        <v>0</v>
      </c>
      <c r="H42" s="377">
        <f>IF($D42="",'NPV PT'!G42,'NPV PT'!G42*(1+$D42))</f>
        <v>0</v>
      </c>
      <c r="I42" s="377">
        <f>IF($D42="",'NPV PT'!H42,'NPV PT'!H42*(1+$D42))</f>
        <v>0</v>
      </c>
      <c r="J42" s="377">
        <f>IF($D42="",'NPV PT'!I42,'NPV PT'!I42*(1+$D42))</f>
        <v>0</v>
      </c>
      <c r="K42" s="377">
        <f>IF($D42="",'NPV PT'!J42,'NPV PT'!J42*(1+$D42))</f>
        <v>0</v>
      </c>
      <c r="L42" s="377">
        <f>IF($D42="",'NPV PT'!K42,'NPV PT'!K42*(1+$D42))</f>
        <v>0</v>
      </c>
      <c r="M42" s="377">
        <f>IF($D42="",'NPV PT'!L42,'NPV PT'!L42*(1+$D42))</f>
        <v>0</v>
      </c>
      <c r="N42" s="377">
        <f>IF($D42="",'NPV PT'!M42,'NPV PT'!M42*(1+$D42))</f>
        <v>0</v>
      </c>
      <c r="O42" s="377">
        <f>IF($D42="",'NPV PT'!N42,'NPV PT'!N42*(1+$D42))</f>
        <v>0</v>
      </c>
    </row>
    <row r="43" spans="2:25" ht="13.5">
      <c r="B43" s="158" t="s">
        <v>74</v>
      </c>
      <c r="C43" s="159" t="str">
        <f>VLOOKUP($C$2,countries!C:F,4,0)</f>
        <v>MYR</v>
      </c>
      <c r="D43" s="280">
        <v>0.1</v>
      </c>
      <c r="E43" s="378">
        <f>IF($D43="",'NPV PT'!D43,'NPV PT'!D43*(1+$D43))</f>
        <v>0</v>
      </c>
      <c r="F43" s="378">
        <f>IF($D43="",'NPV PT'!E43,'NPV PT'!E43*(1+$D43))</f>
        <v>0</v>
      </c>
      <c r="G43" s="378">
        <f>IF($D43="",'NPV PT'!F43,'NPV PT'!F43*(1+$D43))</f>
        <v>0</v>
      </c>
      <c r="H43" s="378">
        <f>IF($D43="",'NPV PT'!G43,'NPV PT'!G43*(1+$D43))</f>
        <v>0</v>
      </c>
      <c r="I43" s="378">
        <f>IF($D43="",'NPV PT'!H43,'NPV PT'!H43*(1+$D43))</f>
        <v>0</v>
      </c>
      <c r="J43" s="378">
        <f>IF($D43="",'NPV PT'!I43,'NPV PT'!I43*(1+$D43))</f>
        <v>0</v>
      </c>
      <c r="K43" s="378">
        <f>IF($D43="",'NPV PT'!J43,'NPV PT'!J43*(1+$D43))</f>
        <v>0</v>
      </c>
      <c r="L43" s="378">
        <f>IF($D43="",'NPV PT'!K43,'NPV PT'!K43*(1+$D43))</f>
        <v>0</v>
      </c>
      <c r="M43" s="378">
        <f>IF($D43="",'NPV PT'!L43,'NPV PT'!L43*(1+$D43))</f>
        <v>0</v>
      </c>
      <c r="N43" s="378">
        <f>IF($D43="",'NPV PT'!M43,'NPV PT'!M43*(1+$D43))</f>
        <v>0</v>
      </c>
      <c r="O43" s="378">
        <f>IF($D43="",'NPV PT'!N43,'NPV PT'!N43*(1+$D43))</f>
        <v>0</v>
      </c>
    </row>
    <row r="44" spans="2:25" ht="13.5">
      <c r="B44" s="162" t="s">
        <v>75</v>
      </c>
      <c r="C44" s="163" t="str">
        <f>VLOOKUP($C$2,countries!C:F,4,0)</f>
        <v>MYR</v>
      </c>
      <c r="D44" s="163"/>
      <c r="E44" s="379">
        <f t="shared" ref="E44:N44" si="4">SUM(E23:E43)</f>
        <v>-400000</v>
      </c>
      <c r="F44" s="379">
        <f t="shared" si="4"/>
        <v>5637883.5017999997</v>
      </c>
      <c r="G44" s="379">
        <f t="shared" si="4"/>
        <v>5324918.0904000001</v>
      </c>
      <c r="H44" s="379">
        <f t="shared" si="4"/>
        <v>5134417.4051999999</v>
      </c>
      <c r="I44" s="379">
        <f t="shared" si="4"/>
        <v>4998345.4872000003</v>
      </c>
      <c r="J44" s="379">
        <f t="shared" si="4"/>
        <v>4889487.9528000001</v>
      </c>
      <c r="K44" s="379">
        <f t="shared" si="4"/>
        <v>0</v>
      </c>
      <c r="L44" s="379">
        <f t="shared" si="4"/>
        <v>0</v>
      </c>
      <c r="M44" s="379">
        <f t="shared" si="4"/>
        <v>0</v>
      </c>
      <c r="N44" s="379">
        <f t="shared" si="4"/>
        <v>0</v>
      </c>
      <c r="O44" s="379">
        <f t="shared" ref="O44" si="5">SUM(O23:O43)</f>
        <v>0</v>
      </c>
    </row>
    <row r="45" spans="2:25" ht="13.5">
      <c r="B45" s="158" t="s">
        <v>76</v>
      </c>
      <c r="C45" s="152" t="str">
        <f>VLOOKUP($C$2,countries!C:F,4,0)</f>
        <v>MYR</v>
      </c>
      <c r="D45" s="152"/>
      <c r="E45" s="377">
        <v>0</v>
      </c>
      <c r="F45" s="377">
        <v>0</v>
      </c>
      <c r="G45" s="377">
        <v>0</v>
      </c>
      <c r="H45" s="377">
        <v>0</v>
      </c>
      <c r="I45" s="377">
        <v>0</v>
      </c>
      <c r="J45" s="377">
        <v>0</v>
      </c>
      <c r="K45" s="377">
        <v>0</v>
      </c>
      <c r="L45" s="377">
        <v>0</v>
      </c>
      <c r="M45" s="377">
        <v>0</v>
      </c>
      <c r="N45" s="377">
        <v>0</v>
      </c>
      <c r="O45" s="377">
        <v>0</v>
      </c>
    </row>
    <row r="46" spans="2:25" ht="13.5">
      <c r="B46" s="162" t="s">
        <v>77</v>
      </c>
      <c r="C46" s="163" t="str">
        <f>VLOOKUP($C$2,countries!C:F,4,0)</f>
        <v>MYR</v>
      </c>
      <c r="D46" s="163"/>
      <c r="E46" s="379">
        <f>+E45+E44</f>
        <v>-400000</v>
      </c>
      <c r="F46" s="379">
        <f t="shared" ref="F46:N46" si="6">SUM(F44:F45)</f>
        <v>5637883.5017999997</v>
      </c>
      <c r="G46" s="379">
        <f t="shared" si="6"/>
        <v>5324918.0904000001</v>
      </c>
      <c r="H46" s="379">
        <f t="shared" si="6"/>
        <v>5134417.4051999999</v>
      </c>
      <c r="I46" s="379">
        <f t="shared" si="6"/>
        <v>4998345.4872000003</v>
      </c>
      <c r="J46" s="379">
        <f t="shared" si="6"/>
        <v>4889487.9528000001</v>
      </c>
      <c r="K46" s="379">
        <f t="shared" si="6"/>
        <v>0</v>
      </c>
      <c r="L46" s="379">
        <f t="shared" si="6"/>
        <v>0</v>
      </c>
      <c r="M46" s="379">
        <f t="shared" si="6"/>
        <v>0</v>
      </c>
      <c r="N46" s="379">
        <f t="shared" si="6"/>
        <v>0</v>
      </c>
      <c r="O46" s="379">
        <f t="shared" ref="O46" si="7">SUM(O44:O45)</f>
        <v>0</v>
      </c>
    </row>
    <row r="47" spans="2:25" ht="13.5">
      <c r="B47" s="158" t="s">
        <v>0</v>
      </c>
      <c r="C47" s="152" t="str">
        <f>VLOOKUP($C$2,countries!C:F,4,0)</f>
        <v>MYR</v>
      </c>
      <c r="D47" s="152"/>
      <c r="E47" s="380">
        <f t="shared" ref="E47:N47" si="8">-E15*(E46+E57)</f>
        <v>96000</v>
      </c>
      <c r="F47" s="380">
        <f t="shared" si="8"/>
        <v>-1353092.0404319998</v>
      </c>
      <c r="G47" s="380">
        <f t="shared" si="8"/>
        <v>-1277980.341696</v>
      </c>
      <c r="H47" s="380">
        <f t="shared" si="8"/>
        <v>-1232260.1772479999</v>
      </c>
      <c r="I47" s="380">
        <f t="shared" si="8"/>
        <v>-1199602.916928</v>
      </c>
      <c r="J47" s="380">
        <f t="shared" si="8"/>
        <v>-1173477.108672</v>
      </c>
      <c r="K47" s="380">
        <f t="shared" si="8"/>
        <v>0</v>
      </c>
      <c r="L47" s="380">
        <f t="shared" si="8"/>
        <v>0</v>
      </c>
      <c r="M47" s="380">
        <f t="shared" si="8"/>
        <v>0</v>
      </c>
      <c r="N47" s="380">
        <f t="shared" si="8"/>
        <v>0</v>
      </c>
      <c r="O47" s="380">
        <f t="shared" ref="O47" si="9">-O15*(O46+O57)</f>
        <v>0</v>
      </c>
    </row>
    <row r="48" spans="2:25" ht="13.5">
      <c r="B48" s="162" t="s">
        <v>78</v>
      </c>
      <c r="C48" s="163" t="str">
        <f>VLOOKUP($C$2,countries!C:F,4,0)</f>
        <v>MYR</v>
      </c>
      <c r="D48" s="163"/>
      <c r="E48" s="379">
        <f>+E47+E46</f>
        <v>-304000</v>
      </c>
      <c r="F48" s="379">
        <f t="shared" ref="F48:N48" si="10">SUM(F46:F47)</f>
        <v>4284791.4613680001</v>
      </c>
      <c r="G48" s="379">
        <f t="shared" si="10"/>
        <v>4046937.7487040004</v>
      </c>
      <c r="H48" s="379">
        <f t="shared" si="10"/>
        <v>3902157.2279519998</v>
      </c>
      <c r="I48" s="379">
        <f t="shared" si="10"/>
        <v>3798742.5702720005</v>
      </c>
      <c r="J48" s="379">
        <f t="shared" si="10"/>
        <v>3716010.8441280001</v>
      </c>
      <c r="K48" s="379">
        <f t="shared" si="10"/>
        <v>0</v>
      </c>
      <c r="L48" s="379">
        <f t="shared" si="10"/>
        <v>0</v>
      </c>
      <c r="M48" s="379">
        <f t="shared" si="10"/>
        <v>0</v>
      </c>
      <c r="N48" s="379">
        <f t="shared" si="10"/>
        <v>0</v>
      </c>
      <c r="O48" s="379">
        <f t="shared" ref="O48" si="11">SUM(O46:O47)</f>
        <v>0</v>
      </c>
    </row>
    <row r="49" spans="2:16" ht="13.5">
      <c r="B49" s="151" t="s">
        <v>1</v>
      </c>
      <c r="C49" s="152"/>
      <c r="D49" s="152"/>
      <c r="E49" s="380"/>
      <c r="F49" s="380"/>
      <c r="G49" s="380"/>
      <c r="H49" s="380"/>
      <c r="I49" s="380"/>
      <c r="J49" s="380"/>
      <c r="K49" s="380"/>
      <c r="L49" s="380"/>
      <c r="M49" s="380"/>
      <c r="N49" s="380"/>
      <c r="O49" s="380"/>
    </row>
    <row r="50" spans="2:16" ht="13.5">
      <c r="B50" s="158" t="s">
        <v>79</v>
      </c>
      <c r="C50" s="152" t="str">
        <f>VLOOKUP($C$2,countries!C:F,4,0)</f>
        <v>MYR</v>
      </c>
      <c r="D50" s="152"/>
      <c r="E50" s="380">
        <f t="shared" ref="E50:I50" si="12">E46</f>
        <v>-400000</v>
      </c>
      <c r="F50" s="380">
        <f t="shared" si="12"/>
        <v>5637883.5017999997</v>
      </c>
      <c r="G50" s="380">
        <f t="shared" si="12"/>
        <v>5324918.0904000001</v>
      </c>
      <c r="H50" s="380">
        <f t="shared" si="12"/>
        <v>5134417.4051999999</v>
      </c>
      <c r="I50" s="380">
        <f t="shared" si="12"/>
        <v>4998345.4872000003</v>
      </c>
      <c r="J50" s="380">
        <f>J46</f>
        <v>4889487.9528000001</v>
      </c>
      <c r="K50" s="380">
        <f>K46</f>
        <v>0</v>
      </c>
      <c r="L50" s="380">
        <f>L46</f>
        <v>0</v>
      </c>
      <c r="M50" s="380">
        <f>M46</f>
        <v>0</v>
      </c>
      <c r="N50" s="380">
        <f>N46</f>
        <v>0</v>
      </c>
      <c r="O50" s="380">
        <f t="shared" ref="O50" si="13">O46</f>
        <v>0</v>
      </c>
    </row>
    <row r="51" spans="2:16" ht="13.5">
      <c r="B51" s="158" t="s">
        <v>80</v>
      </c>
      <c r="C51" s="152" t="str">
        <f>VLOOKUP($C$2,countries!C:F,4,0)</f>
        <v>MYR</v>
      </c>
      <c r="D51" s="152"/>
      <c r="E51" s="380">
        <f>-E40-E41</f>
        <v>0</v>
      </c>
      <c r="F51" s="380">
        <f t="shared" ref="F51:N51" si="14">-F40-F41</f>
        <v>498960</v>
      </c>
      <c r="G51" s="380">
        <f t="shared" si="14"/>
        <v>498960</v>
      </c>
      <c r="H51" s="380">
        <f t="shared" si="14"/>
        <v>498960</v>
      </c>
      <c r="I51" s="380">
        <f t="shared" si="14"/>
        <v>498960</v>
      </c>
      <c r="J51" s="380">
        <f t="shared" si="14"/>
        <v>498960</v>
      </c>
      <c r="K51" s="380">
        <f t="shared" si="14"/>
        <v>0</v>
      </c>
      <c r="L51" s="380">
        <f t="shared" si="14"/>
        <v>0</v>
      </c>
      <c r="M51" s="380">
        <f t="shared" si="14"/>
        <v>0</v>
      </c>
      <c r="N51" s="380">
        <f t="shared" si="14"/>
        <v>0</v>
      </c>
      <c r="O51" s="380">
        <f t="shared" ref="O51" si="15">-O40-O41</f>
        <v>0</v>
      </c>
    </row>
    <row r="52" spans="2:16" ht="13.5">
      <c r="B52" s="158" t="s">
        <v>81</v>
      </c>
      <c r="C52" s="152" t="str">
        <f>VLOOKUP($C$2,countries!C:F,4,0)</f>
        <v>MYR</v>
      </c>
      <c r="D52" s="152"/>
      <c r="E52" s="380">
        <f>E47</f>
        <v>96000</v>
      </c>
      <c r="F52" s="380">
        <f t="shared" ref="F52:N52" si="16">F47</f>
        <v>-1353092.0404319998</v>
      </c>
      <c r="G52" s="380">
        <f t="shared" si="16"/>
        <v>-1277980.341696</v>
      </c>
      <c r="H52" s="380">
        <f t="shared" si="16"/>
        <v>-1232260.1772479999</v>
      </c>
      <c r="I52" s="380">
        <f t="shared" si="16"/>
        <v>-1199602.916928</v>
      </c>
      <c r="J52" s="380">
        <f t="shared" si="16"/>
        <v>-1173477.108672</v>
      </c>
      <c r="K52" s="380">
        <f t="shared" si="16"/>
        <v>0</v>
      </c>
      <c r="L52" s="380">
        <f t="shared" si="16"/>
        <v>0</v>
      </c>
      <c r="M52" s="380">
        <f t="shared" si="16"/>
        <v>0</v>
      </c>
      <c r="N52" s="380">
        <f t="shared" si="16"/>
        <v>0</v>
      </c>
      <c r="O52" s="380">
        <f t="shared" ref="O52" si="17">O47</f>
        <v>0</v>
      </c>
      <c r="P52" s="161"/>
    </row>
    <row r="53" spans="2:16" ht="13.5">
      <c r="B53" s="158" t="s">
        <v>39</v>
      </c>
      <c r="C53" s="152" t="str">
        <f>VLOOKUP($C$2,countries!C:F,4,0)</f>
        <v>MYR</v>
      </c>
      <c r="D53" s="225" t="s">
        <v>429</v>
      </c>
      <c r="E53" s="373">
        <f>SUM('Capex&amp;Depr'!F38:F47)</f>
        <v>-2494800</v>
      </c>
      <c r="F53" s="373">
        <f>SUM('Capex&amp;Depr'!G38:G47)</f>
        <v>0</v>
      </c>
      <c r="G53" s="373">
        <f>SUM('Capex&amp;Depr'!H38:H47)</f>
        <v>0</v>
      </c>
      <c r="H53" s="373">
        <f>SUM('Capex&amp;Depr'!I38:I47)</f>
        <v>0</v>
      </c>
      <c r="I53" s="373">
        <f>SUM('Capex&amp;Depr'!J38:J47)</f>
        <v>0</v>
      </c>
      <c r="J53" s="373">
        <f>SUM('Capex&amp;Depr'!K38:K47)</f>
        <v>0</v>
      </c>
      <c r="K53" s="373">
        <f>SUM('Capex&amp;Depr'!L38:L47)</f>
        <v>0</v>
      </c>
      <c r="L53" s="373">
        <f>SUM('Capex&amp;Depr'!M38:M47)</f>
        <v>0</v>
      </c>
      <c r="M53" s="373">
        <f>SUM('Capex&amp;Depr'!N38:N47)</f>
        <v>0</v>
      </c>
      <c r="N53" s="373">
        <f>SUM('Capex&amp;Depr'!O38:O47)</f>
        <v>0</v>
      </c>
      <c r="O53" s="373">
        <f>SUM('Capex&amp;Depr'!P38:P47)</f>
        <v>0</v>
      </c>
    </row>
    <row r="54" spans="2:16" ht="13.5">
      <c r="B54" s="158" t="s">
        <v>620</v>
      </c>
      <c r="C54" s="152" t="str">
        <f>VLOOKUP($C$2,countries!C:F,4,0)</f>
        <v>MYR</v>
      </c>
      <c r="D54" s="198"/>
      <c r="E54" s="377">
        <f>-0.37*SUM(E50:E53)</f>
        <v>1035556</v>
      </c>
      <c r="F54" s="377">
        <f t="shared" ref="F54:O54" si="18">-0.37*SUM(F50:F53)</f>
        <v>-1769988.04070616</v>
      </c>
      <c r="G54" s="377">
        <f t="shared" si="18"/>
        <v>-1681982.1670204801</v>
      </c>
      <c r="H54" s="377">
        <f t="shared" si="18"/>
        <v>-1628413.3743422399</v>
      </c>
      <c r="I54" s="377">
        <f t="shared" si="18"/>
        <v>-1590149.9510006402</v>
      </c>
      <c r="J54" s="377">
        <f t="shared" si="18"/>
        <v>-1559539.2123273599</v>
      </c>
      <c r="K54" s="377">
        <f t="shared" si="18"/>
        <v>0</v>
      </c>
      <c r="L54" s="377">
        <f t="shared" si="18"/>
        <v>0</v>
      </c>
      <c r="M54" s="377">
        <f t="shared" si="18"/>
        <v>0</v>
      </c>
      <c r="N54" s="377">
        <f t="shared" si="18"/>
        <v>0</v>
      </c>
      <c r="O54" s="377">
        <f t="shared" si="18"/>
        <v>0</v>
      </c>
    </row>
    <row r="55" spans="2:16" ht="13.5">
      <c r="B55" s="158" t="s">
        <v>610</v>
      </c>
      <c r="C55" s="152" t="str">
        <f>VLOOKUP($C$2,countries!C:F,4,0)</f>
        <v>MYR</v>
      </c>
      <c r="D55" s="198"/>
      <c r="E55" s="377"/>
      <c r="F55" s="377"/>
      <c r="G55" s="377"/>
      <c r="H55" s="377"/>
      <c r="I55" s="377"/>
      <c r="J55" s="377"/>
      <c r="K55" s="377"/>
      <c r="L55" s="377"/>
      <c r="M55" s="377"/>
      <c r="N55" s="377"/>
      <c r="O55" s="377"/>
    </row>
    <row r="56" spans="2:16" ht="13.5">
      <c r="B56" s="158" t="s">
        <v>476</v>
      </c>
      <c r="C56" s="152" t="str">
        <f>VLOOKUP($C$2,countries!C:F,4,0)</f>
        <v>MYR</v>
      </c>
      <c r="D56" s="198"/>
      <c r="E56" s="373">
        <f>IF($D56="",'NPV PT'!D56,'NPV PT'!D56*(1+$D56))</f>
        <v>0</v>
      </c>
      <c r="F56" s="373">
        <f>IF($D56="",'NPV PT'!E56,'NPV PT'!E56*(1+$D56))</f>
        <v>0</v>
      </c>
      <c r="G56" s="373">
        <f>IF($D56="",'NPV PT'!F56,'NPV PT'!F56*(1+$D56))</f>
        <v>0</v>
      </c>
      <c r="H56" s="373">
        <f>IF($D56="",'NPV PT'!G56,'NPV PT'!G56*(1+$D56))</f>
        <v>0</v>
      </c>
      <c r="I56" s="373">
        <f>IF($D56="",'NPV PT'!H56,'NPV PT'!H56*(1+$D56))</f>
        <v>0</v>
      </c>
      <c r="J56" s="373">
        <f>IF($D56="",'NPV PT'!I56,'NPV PT'!I56*(1+$D56))</f>
        <v>0</v>
      </c>
      <c r="K56" s="373">
        <f>IF($D56="",'NPV PT'!J56,'NPV PT'!J56*(1+$D56))</f>
        <v>0</v>
      </c>
      <c r="L56" s="373">
        <f>IF($D56="",'NPV PT'!K56,'NPV PT'!K56*(1+$D56))</f>
        <v>0</v>
      </c>
      <c r="M56" s="373">
        <f>IF($D56="",'NPV PT'!L56,'NPV PT'!L56*(1+$D56))</f>
        <v>0</v>
      </c>
      <c r="N56" s="373">
        <f>IF($D56="",'NPV PT'!M56,'NPV PT'!M56*(1+$D56))</f>
        <v>0</v>
      </c>
      <c r="O56" s="373">
        <f>IF($D56="",'NPV PT'!N56,'NPV PT'!N56*(1+$D56))</f>
        <v>0</v>
      </c>
    </row>
    <row r="57" spans="2:16" ht="13.5">
      <c r="B57" s="158" t="s">
        <v>82</v>
      </c>
      <c r="C57" s="152" t="str">
        <f>VLOOKUP($C$2,countries!C:F,4,0)</f>
        <v>MYR</v>
      </c>
      <c r="D57" s="152"/>
      <c r="E57" s="377"/>
      <c r="F57" s="377"/>
      <c r="G57" s="377"/>
      <c r="H57" s="377"/>
      <c r="I57" s="377"/>
      <c r="J57" s="377"/>
      <c r="K57" s="377"/>
      <c r="L57" s="377"/>
      <c r="M57" s="377"/>
      <c r="N57" s="377"/>
      <c r="O57" s="377"/>
    </row>
    <row r="58" spans="2:16" ht="13.5">
      <c r="B58" s="164" t="s">
        <v>83</v>
      </c>
      <c r="C58" s="165" t="str">
        <f>VLOOKUP($C$2,countries!C:F,4,0)</f>
        <v>MYR</v>
      </c>
      <c r="D58" s="165"/>
      <c r="E58" s="373">
        <f>IF($D58="",'NPV PT'!D58,'NPV PT'!D58*(1+$D58))</f>
        <v>0</v>
      </c>
      <c r="F58" s="373">
        <f>IF($D58="",'NPV PT'!E58,'NPV PT'!E58*(1+$D58))</f>
        <v>0</v>
      </c>
      <c r="G58" s="373">
        <f>IF($D58="",'NPV PT'!F58,'NPV PT'!F58*(1+$D58))</f>
        <v>0</v>
      </c>
      <c r="H58" s="373">
        <f>IF($D58="",'NPV PT'!G58,'NPV PT'!G58*(1+$D58))</f>
        <v>0</v>
      </c>
      <c r="I58" s="373">
        <f>IF($D58="",'NPV PT'!H58,'NPV PT'!H58*(1+$D58))</f>
        <v>0</v>
      </c>
      <c r="J58" s="373">
        <f>IF($D58="",'NPV PT'!I58,'NPV PT'!I58*(1+$D58))</f>
        <v>0</v>
      </c>
      <c r="K58" s="373">
        <f>IF($D58="",'NPV PT'!J58,'NPV PT'!J58*(1+$D58))</f>
        <v>0</v>
      </c>
      <c r="L58" s="373">
        <f>IF($D58="",'NPV PT'!K58,'NPV PT'!K58*(1+$D58))</f>
        <v>0</v>
      </c>
      <c r="M58" s="373">
        <f>IF($D58="",'NPV PT'!L58,'NPV PT'!L58*(1+$D58))</f>
        <v>0</v>
      </c>
      <c r="N58" s="373">
        <f>IF($D58="",'NPV PT'!M58,'NPV PT'!M58*(1+$D58))</f>
        <v>0</v>
      </c>
      <c r="O58" s="373">
        <f>IF($D58="",'NPV PT'!N58,'NPV PT'!N58*(1+$D58))</f>
        <v>0</v>
      </c>
    </row>
    <row r="59" spans="2:16" ht="13.5">
      <c r="B59" s="164" t="s">
        <v>241</v>
      </c>
      <c r="C59" s="165" t="str">
        <f>VLOOKUP($C$2,countries!C:F,4,0)</f>
        <v>MYR</v>
      </c>
      <c r="D59" s="165"/>
      <c r="E59" s="373">
        <f>IF($D59="",'NPV PT'!D59,'NPV PT'!D59*(1+$D59))</f>
        <v>0</v>
      </c>
      <c r="F59" s="373">
        <f>IF($D59="",'NPV PT'!E59,'NPV PT'!E59*(1+$D59))</f>
        <v>0</v>
      </c>
      <c r="G59" s="373">
        <f>IF($D59="",'NPV PT'!F59,'NPV PT'!F59*(1+$D59))</f>
        <v>0</v>
      </c>
      <c r="H59" s="373">
        <f>IF($D59="",'NPV PT'!G59,'NPV PT'!G59*(1+$D59))</f>
        <v>0</v>
      </c>
      <c r="I59" s="373">
        <f>IF($D59="",'NPV PT'!H59,'NPV PT'!H59*(1+$D59))</f>
        <v>0</v>
      </c>
      <c r="J59" s="373">
        <f>IF($D59="",'NPV PT'!I59,'NPV PT'!I59*(1+$D59))</f>
        <v>0</v>
      </c>
      <c r="K59" s="373">
        <f>IF($D59="",'NPV PT'!J59,'NPV PT'!J59*(1+$D59))</f>
        <v>0</v>
      </c>
      <c r="L59" s="373">
        <f>IF($D59="",'NPV PT'!K59,'NPV PT'!K59*(1+$D59))</f>
        <v>0</v>
      </c>
      <c r="M59" s="373">
        <f>IF($D59="",'NPV PT'!L59,'NPV PT'!L59*(1+$D59))</f>
        <v>0</v>
      </c>
      <c r="N59" s="373">
        <f>IF($D59="",'NPV PT'!M59,'NPV PT'!M59*(1+$D59))</f>
        <v>0</v>
      </c>
      <c r="O59" s="373">
        <f>IF($D59="",'NPV PT'!N59,'NPV PT'!N59*(1+$D59))</f>
        <v>0</v>
      </c>
    </row>
    <row r="60" spans="2:16" ht="13.5">
      <c r="B60" s="164" t="s">
        <v>242</v>
      </c>
      <c r="C60" s="165" t="str">
        <f>VLOOKUP($C$2,countries!C:F,4,0)</f>
        <v>MYR</v>
      </c>
      <c r="D60" s="165"/>
      <c r="E60" s="373">
        <f>IF($D60="",'NPV PT'!D60,'NPV PT'!D60*(1+$D60))</f>
        <v>0</v>
      </c>
      <c r="F60" s="373">
        <f>IF($D60="",'NPV PT'!E60,'NPV PT'!E60*(1+$D60))</f>
        <v>0</v>
      </c>
      <c r="G60" s="373">
        <f>IF($D60="",'NPV PT'!F60,'NPV PT'!F60*(1+$D60))</f>
        <v>0</v>
      </c>
      <c r="H60" s="373">
        <f>IF($D60="",'NPV PT'!G60,'NPV PT'!G60*(1+$D60))</f>
        <v>0</v>
      </c>
      <c r="I60" s="373">
        <f>IF($D60="",'NPV PT'!H60,'NPV PT'!H60*(1+$D60))</f>
        <v>0</v>
      </c>
      <c r="J60" s="373">
        <f>IF($D60="",'NPV PT'!I60,'NPV PT'!I60*(1+$D60))</f>
        <v>0</v>
      </c>
      <c r="K60" s="373">
        <f>IF($D60="",'NPV PT'!J60,'NPV PT'!J60*(1+$D60))</f>
        <v>0</v>
      </c>
      <c r="L60" s="373">
        <f>IF($D60="",'NPV PT'!K60,'NPV PT'!K60*(1+$D60))</f>
        <v>0</v>
      </c>
      <c r="M60" s="373">
        <f>IF($D60="",'NPV PT'!L60,'NPV PT'!L60*(1+$D60))</f>
        <v>0</v>
      </c>
      <c r="N60" s="373">
        <f>IF($D60="",'NPV PT'!M60,'NPV PT'!M60*(1+$D60))</f>
        <v>0</v>
      </c>
      <c r="O60" s="373">
        <f>IF($D60="",'NPV PT'!N60,'NPV PT'!N60*(1+$D60))</f>
        <v>0</v>
      </c>
    </row>
    <row r="61" spans="2:16" ht="13.5">
      <c r="B61" s="164" t="s">
        <v>84</v>
      </c>
      <c r="C61" s="165" t="str">
        <f>VLOOKUP($C$2,countries!C:F,4,0)</f>
        <v>MYR</v>
      </c>
      <c r="D61" s="165"/>
      <c r="E61" s="373">
        <f>IF($D61="",'NPV PT'!D61,'NPV PT'!D61*(1+$D61))</f>
        <v>0</v>
      </c>
      <c r="F61" s="373">
        <f>IF($D61="",'NPV PT'!E61,'NPV PT'!E61*(1+$D61))</f>
        <v>0</v>
      </c>
      <c r="G61" s="373">
        <f>IF($D61="",'NPV PT'!F61,'NPV PT'!F61*(1+$D61))</f>
        <v>0</v>
      </c>
      <c r="H61" s="373">
        <f>IF($D61="",'NPV PT'!G61,'NPV PT'!G61*(1+$D61))</f>
        <v>0</v>
      </c>
      <c r="I61" s="373">
        <f>IF($D61="",'NPV PT'!H61,'NPV PT'!H61*(1+$D61))</f>
        <v>0</v>
      </c>
      <c r="J61" s="373">
        <f>IF($D61="",'NPV PT'!I61,'NPV PT'!I61*(1+$D61))</f>
        <v>0</v>
      </c>
      <c r="K61" s="373">
        <f>IF($D61="",'NPV PT'!J61,'NPV PT'!J61*(1+$D61))</f>
        <v>0</v>
      </c>
      <c r="L61" s="373">
        <f>IF($D61="",'NPV PT'!K61,'NPV PT'!K61*(1+$D61))</f>
        <v>0</v>
      </c>
      <c r="M61" s="373">
        <f>IF($D61="",'NPV PT'!L61,'NPV PT'!L61*(1+$D61))</f>
        <v>0</v>
      </c>
      <c r="N61" s="373">
        <f>IF($D61="",'NPV PT'!M61,'NPV PT'!M61*(1+$D61))</f>
        <v>0</v>
      </c>
      <c r="O61" s="373">
        <f>IF($D61="",'NPV PT'!N61,'NPV PT'!N61*(1+$D61))</f>
        <v>0</v>
      </c>
    </row>
    <row r="62" spans="2:16" ht="13.5">
      <c r="B62" s="164" t="s">
        <v>85</v>
      </c>
      <c r="C62" s="165" t="str">
        <f>VLOOKUP($C$2,countries!C:F,4,0)</f>
        <v>MYR</v>
      </c>
      <c r="D62" s="165"/>
      <c r="E62" s="373">
        <f>IF($D62="",'NPV PT'!D62,'NPV PT'!D62*(1+$D62))</f>
        <v>0</v>
      </c>
      <c r="F62" s="373">
        <f>IF($D62="",'NPV PT'!E62,'NPV PT'!E62*(1+$D62))</f>
        <v>0</v>
      </c>
      <c r="G62" s="373">
        <f>IF($D62="",'NPV PT'!F62,'NPV PT'!F62*(1+$D62))</f>
        <v>0</v>
      </c>
      <c r="H62" s="373">
        <f>IF($D62="",'NPV PT'!G62,'NPV PT'!G62*(1+$D62))</f>
        <v>0</v>
      </c>
      <c r="I62" s="373">
        <f>IF($D62="",'NPV PT'!H62,'NPV PT'!H62*(1+$D62))</f>
        <v>0</v>
      </c>
      <c r="J62" s="373">
        <f>IF($D62="",'NPV PT'!I62,'NPV PT'!I62*(1+$D62))</f>
        <v>0</v>
      </c>
      <c r="K62" s="373">
        <f>IF($D62="",'NPV PT'!J62,'NPV PT'!J62*(1+$D62))</f>
        <v>0</v>
      </c>
      <c r="L62" s="373">
        <f>IF($D62="",'NPV PT'!K62,'NPV PT'!K62*(1+$D62))</f>
        <v>0</v>
      </c>
      <c r="M62" s="373">
        <f>IF($D62="",'NPV PT'!L62,'NPV PT'!L62*(1+$D62))</f>
        <v>0</v>
      </c>
      <c r="N62" s="373">
        <f>IF($D62="",'NPV PT'!M62,'NPV PT'!M62*(1+$D62))</f>
        <v>0</v>
      </c>
      <c r="O62" s="373">
        <f>IF($D62="",'NPV PT'!N62,'NPV PT'!N62*(1+$D62))</f>
        <v>0</v>
      </c>
    </row>
    <row r="63" spans="2:16" ht="13.5">
      <c r="B63" s="164" t="s">
        <v>86</v>
      </c>
      <c r="C63" s="165" t="str">
        <f>VLOOKUP($C$2,countries!C:F,4,0)</f>
        <v>MYR</v>
      </c>
      <c r="D63" s="165"/>
      <c r="E63" s="373">
        <f>IF($D63="",'NPV PT'!D63,'NPV PT'!D63*(1+$D63))</f>
        <v>0</v>
      </c>
      <c r="F63" s="373">
        <f>IF($D63="",'NPV PT'!E63,'NPV PT'!E63*(1+$D63))</f>
        <v>0</v>
      </c>
      <c r="G63" s="373">
        <f>IF($D63="",'NPV PT'!F63,'NPV PT'!F63*(1+$D63))</f>
        <v>0</v>
      </c>
      <c r="H63" s="373">
        <f>IF($D63="",'NPV PT'!G63,'NPV PT'!G63*(1+$D63))</f>
        <v>0</v>
      </c>
      <c r="I63" s="373">
        <f>IF($D63="",'NPV PT'!H63,'NPV PT'!H63*(1+$D63))</f>
        <v>0</v>
      </c>
      <c r="J63" s="373">
        <f>IF($D63="",'NPV PT'!I63,'NPV PT'!I63*(1+$D63))</f>
        <v>0</v>
      </c>
      <c r="K63" s="373">
        <f>IF($D63="",'NPV PT'!J63,'NPV PT'!J63*(1+$D63))</f>
        <v>0</v>
      </c>
      <c r="L63" s="373">
        <f>IF($D63="",'NPV PT'!K63,'NPV PT'!K63*(1+$D63))</f>
        <v>0</v>
      </c>
      <c r="M63" s="373">
        <f>IF($D63="",'NPV PT'!L63,'NPV PT'!L63*(1+$D63))</f>
        <v>0</v>
      </c>
      <c r="N63" s="373">
        <f>IF($D63="",'NPV PT'!M63,'NPV PT'!M63*(1+$D63))</f>
        <v>0</v>
      </c>
      <c r="O63" s="373">
        <f>IF($D63="",'NPV PT'!N63,'NPV PT'!N63*(1+$D63))</f>
        <v>0</v>
      </c>
    </row>
    <row r="64" spans="2:16" ht="13.5">
      <c r="B64" s="166" t="s">
        <v>87</v>
      </c>
      <c r="C64" s="167" t="str">
        <f>VLOOKUP($C$2,countries!C:F,4,0)</f>
        <v>MYR</v>
      </c>
      <c r="D64" s="167"/>
      <c r="E64" s="379">
        <f t="shared" ref="E64:N64" si="19">SUM(E50:E63)</f>
        <v>-1763244</v>
      </c>
      <c r="F64" s="379">
        <f t="shared" si="19"/>
        <v>3013763.4206618401</v>
      </c>
      <c r="G64" s="379">
        <f t="shared" si="19"/>
        <v>2863915.5816835202</v>
      </c>
      <c r="H64" s="379">
        <f t="shared" si="19"/>
        <v>2772703.8536097598</v>
      </c>
      <c r="I64" s="379">
        <f t="shared" si="19"/>
        <v>2707552.6192713603</v>
      </c>
      <c r="J64" s="379">
        <f t="shared" si="19"/>
        <v>2655431.6318006394</v>
      </c>
      <c r="K64" s="379">
        <f t="shared" si="19"/>
        <v>0</v>
      </c>
      <c r="L64" s="379">
        <f t="shared" si="19"/>
        <v>0</v>
      </c>
      <c r="M64" s="379">
        <f t="shared" si="19"/>
        <v>0</v>
      </c>
      <c r="N64" s="379">
        <f t="shared" si="19"/>
        <v>0</v>
      </c>
      <c r="O64" s="379">
        <f t="shared" ref="O64" si="20">SUM(O50:O63)</f>
        <v>0</v>
      </c>
    </row>
    <row r="65" spans="2:16" ht="13.5">
      <c r="B65" s="166" t="s">
        <v>87</v>
      </c>
      <c r="C65" s="167" t="str">
        <f>CONCATENATE(VLOOKUP($C$2,countries!C:F,4,0),"m")</f>
        <v>MYRm</v>
      </c>
      <c r="D65" s="167"/>
      <c r="E65" s="386">
        <f t="shared" ref="E65:I65" si="21">+E64/1000000</f>
        <v>-1.763244</v>
      </c>
      <c r="F65" s="386">
        <f t="shared" si="21"/>
        <v>3.01376342066184</v>
      </c>
      <c r="G65" s="386">
        <f t="shared" si="21"/>
        <v>2.86391558168352</v>
      </c>
      <c r="H65" s="386">
        <f t="shared" si="21"/>
        <v>2.7727038536097597</v>
      </c>
      <c r="I65" s="386">
        <f t="shared" si="21"/>
        <v>2.7075526192713602</v>
      </c>
      <c r="J65" s="386">
        <f>+J64/1000000</f>
        <v>2.6554316318006395</v>
      </c>
      <c r="K65" s="386">
        <f>+K64/1000000</f>
        <v>0</v>
      </c>
      <c r="L65" s="386">
        <f>+L64/1000000</f>
        <v>0</v>
      </c>
      <c r="M65" s="386">
        <f>+M64/1000000</f>
        <v>0</v>
      </c>
      <c r="N65" s="386">
        <f>+N64/1000000</f>
        <v>0</v>
      </c>
      <c r="O65" s="386">
        <f t="shared" ref="O65" si="22">+O64/1000000</f>
        <v>0</v>
      </c>
    </row>
    <row r="66" spans="2:16" ht="13.5">
      <c r="B66" s="166" t="s">
        <v>87</v>
      </c>
      <c r="C66" s="167" t="s">
        <v>88</v>
      </c>
      <c r="D66" s="167"/>
      <c r="E66" s="386">
        <f>+E65/E12</f>
        <v>-0.37436178343949045</v>
      </c>
      <c r="F66" s="386">
        <f t="shared" ref="F66:N66" si="23">+F65/F12</f>
        <v>0.66824022631082924</v>
      </c>
      <c r="G66" s="386">
        <f t="shared" si="23"/>
        <v>0.66913915459895323</v>
      </c>
      <c r="H66" s="386">
        <f t="shared" si="23"/>
        <v>0.66973523034052174</v>
      </c>
      <c r="I66" s="386">
        <f t="shared" si="23"/>
        <v>0.67018629189885148</v>
      </c>
      <c r="J66" s="386">
        <f t="shared" si="23"/>
        <v>0.67056354338399982</v>
      </c>
      <c r="K66" s="386">
        <f t="shared" si="23"/>
        <v>0</v>
      </c>
      <c r="L66" s="386">
        <f t="shared" si="23"/>
        <v>0</v>
      </c>
      <c r="M66" s="386">
        <f t="shared" si="23"/>
        <v>0</v>
      </c>
      <c r="N66" s="386">
        <f t="shared" si="23"/>
        <v>0</v>
      </c>
      <c r="O66" s="386">
        <f t="shared" ref="O66" si="24">+O65/O12</f>
        <v>0</v>
      </c>
    </row>
    <row r="67" spans="2:16" ht="13.5">
      <c r="B67" s="169" t="s">
        <v>89</v>
      </c>
      <c r="C67" s="170" t="s">
        <v>88</v>
      </c>
      <c r="D67" s="170"/>
      <c r="E67" s="387">
        <f t="shared" ref="E67:I67" si="25">+E73*E66</f>
        <v>-0.36190919615516604</v>
      </c>
      <c r="F67" s="387">
        <f t="shared" si="25"/>
        <v>0.60374972918019687</v>
      </c>
      <c r="G67" s="387">
        <f t="shared" si="25"/>
        <v>0.56501112498906059</v>
      </c>
      <c r="H67" s="387">
        <f t="shared" si="25"/>
        <v>0.52851817052102223</v>
      </c>
      <c r="I67" s="387">
        <f t="shared" si="25"/>
        <v>0.49427488174672407</v>
      </c>
      <c r="J67" s="387">
        <f>+J73*J66</f>
        <v>0.46219916985844639</v>
      </c>
      <c r="K67" s="387">
        <f>+K73*K66</f>
        <v>0</v>
      </c>
      <c r="L67" s="387">
        <f>+L73*L66</f>
        <v>0</v>
      </c>
      <c r="M67" s="387">
        <f>+M73*M66</f>
        <v>0</v>
      </c>
      <c r="N67" s="387">
        <f>+N73*N66</f>
        <v>0</v>
      </c>
      <c r="O67" s="387">
        <f t="shared" ref="O67" si="26">+O73*O66</f>
        <v>0</v>
      </c>
    </row>
    <row r="68" spans="2:16" ht="13.5">
      <c r="B68" s="166" t="s">
        <v>90</v>
      </c>
      <c r="C68" s="167" t="s">
        <v>88</v>
      </c>
      <c r="D68" s="167"/>
      <c r="E68" s="386">
        <f>+E67</f>
        <v>-0.36190919615516604</v>
      </c>
      <c r="F68" s="386">
        <f>+E68+F67</f>
        <v>0.24184053302503083</v>
      </c>
      <c r="G68" s="386">
        <f>+F68+G67</f>
        <v>0.80685165801409142</v>
      </c>
      <c r="H68" s="386">
        <f t="shared" ref="H68:N68" si="27">+G68+H67</f>
        <v>1.3353698285351137</v>
      </c>
      <c r="I68" s="386">
        <f t="shared" si="27"/>
        <v>1.8296447102818378</v>
      </c>
      <c r="J68" s="386">
        <f t="shared" si="27"/>
        <v>2.2918438801402843</v>
      </c>
      <c r="K68" s="386">
        <f t="shared" si="27"/>
        <v>2.2918438801402843</v>
      </c>
      <c r="L68" s="386">
        <f t="shared" si="27"/>
        <v>2.2918438801402843</v>
      </c>
      <c r="M68" s="386">
        <f t="shared" si="27"/>
        <v>2.2918438801402843</v>
      </c>
      <c r="N68" s="386">
        <f t="shared" si="27"/>
        <v>2.2918438801402843</v>
      </c>
      <c r="O68" s="386">
        <f t="shared" ref="O68" si="28">+N68+O67</f>
        <v>2.2918438801402843</v>
      </c>
    </row>
    <row r="69" spans="2:16" ht="13.5">
      <c r="B69" s="166" t="s">
        <v>91</v>
      </c>
      <c r="C69" s="167" t="s">
        <v>92</v>
      </c>
      <c r="D69" s="167"/>
      <c r="E69" s="386" t="str">
        <f>IF(AND(E68&gt;0,C68&lt;0)=TRUE,E8-C68/(E68-C68),"")</f>
        <v/>
      </c>
      <c r="F69" s="386">
        <f t="shared" ref="F69:N69" si="29">IF(AND(F68&gt;0,E68&lt;0)=TRUE,F8-E68/(F68-E68),"")</f>
        <v>1.5994357904666647</v>
      </c>
      <c r="G69" s="386" t="str">
        <f t="shared" si="29"/>
        <v/>
      </c>
      <c r="H69" s="386" t="str">
        <f t="shared" si="29"/>
        <v/>
      </c>
      <c r="I69" s="386" t="str">
        <f t="shared" si="29"/>
        <v/>
      </c>
      <c r="J69" s="386" t="str">
        <f t="shared" si="29"/>
        <v/>
      </c>
      <c r="K69" s="386" t="str">
        <f t="shared" si="29"/>
        <v/>
      </c>
      <c r="L69" s="386" t="str">
        <f t="shared" si="29"/>
        <v/>
      </c>
      <c r="M69" s="386" t="str">
        <f t="shared" si="29"/>
        <v/>
      </c>
      <c r="N69" s="386" t="str">
        <f t="shared" si="29"/>
        <v/>
      </c>
      <c r="O69" s="386" t="str">
        <f t="shared" ref="O69" si="30">IF(AND(O68&gt;0,N68&lt;0)=TRUE,O8-N68/(O68-N68),"")</f>
        <v/>
      </c>
    </row>
    <row r="70" spans="2:16" ht="13.5">
      <c r="B70" s="172"/>
      <c r="C70" s="173"/>
      <c r="D70" s="196"/>
      <c r="E70" s="275"/>
      <c r="F70" s="275">
        <f t="shared" ref="F70:N70" si="31">IF(F68&lt;0,"n/m",ABS(E68)/F65)</f>
        <v>0.12008546977310139</v>
      </c>
      <c r="G70" s="276">
        <f t="shared" si="31"/>
        <v>8.4444015938091185E-2</v>
      </c>
      <c r="H70" s="277">
        <f t="shared" si="31"/>
        <v>0.29099813777935862</v>
      </c>
      <c r="I70" s="277">
        <f t="shared" si="31"/>
        <v>0.49320180115076773</v>
      </c>
      <c r="J70" s="277">
        <f t="shared" si="31"/>
        <v>0.6890197014943148</v>
      </c>
      <c r="K70" s="277" t="e">
        <f t="shared" si="31"/>
        <v>#DIV/0!</v>
      </c>
      <c r="L70" s="277" t="e">
        <f t="shared" si="31"/>
        <v>#DIV/0!</v>
      </c>
      <c r="M70" s="277" t="e">
        <f t="shared" si="31"/>
        <v>#DIV/0!</v>
      </c>
      <c r="N70" s="277" t="e">
        <f t="shared" si="31"/>
        <v>#DIV/0!</v>
      </c>
      <c r="O70" s="277" t="e">
        <f t="shared" ref="O70" si="32">IF(O68&lt;0,"n/m",ABS(N68)/O65)</f>
        <v>#DIV/0!</v>
      </c>
    </row>
    <row r="71" spans="2:16" ht="13.5">
      <c r="B71" s="172"/>
      <c r="C71" s="173"/>
      <c r="D71" s="196"/>
      <c r="E71" s="278"/>
      <c r="F71" s="278"/>
      <c r="G71" s="278"/>
      <c r="H71" s="278"/>
      <c r="I71" s="278"/>
      <c r="J71" s="278"/>
      <c r="K71" s="278"/>
      <c r="L71" s="278"/>
      <c r="M71" s="278"/>
      <c r="N71" s="278"/>
      <c r="O71" s="278"/>
    </row>
    <row r="72" spans="2:16" ht="13.5">
      <c r="B72" s="148" t="s">
        <v>93</v>
      </c>
      <c r="C72" s="148"/>
      <c r="D72" s="148"/>
      <c r="E72" s="174">
        <v>0.5</v>
      </c>
      <c r="F72" s="174">
        <v>1.5</v>
      </c>
      <c r="G72" s="174">
        <v>2.5</v>
      </c>
      <c r="H72" s="174">
        <v>3.5</v>
      </c>
      <c r="I72" s="174">
        <v>4.5</v>
      </c>
      <c r="J72" s="174">
        <v>5.5</v>
      </c>
      <c r="K72" s="174">
        <v>6.5</v>
      </c>
      <c r="L72" s="174">
        <v>7.5</v>
      </c>
      <c r="M72" s="174">
        <v>8.5</v>
      </c>
      <c r="N72" s="174">
        <v>9.5</v>
      </c>
      <c r="O72" s="174">
        <v>10.5</v>
      </c>
    </row>
    <row r="73" spans="2:16" ht="13.5">
      <c r="B73" s="148" t="s">
        <v>94</v>
      </c>
      <c r="C73" s="175">
        <v>7.0000000000000007E-2</v>
      </c>
      <c r="D73" s="175"/>
      <c r="E73" s="176">
        <f t="shared" ref="E73:N73" si="33">1/((1+$C$73)^E72)</f>
        <v>0.96673648904566356</v>
      </c>
      <c r="F73" s="177">
        <f t="shared" si="33"/>
        <v>0.90349204583706866</v>
      </c>
      <c r="G73" s="177">
        <f t="shared" si="33"/>
        <v>0.84438508956735392</v>
      </c>
      <c r="H73" s="177">
        <f t="shared" si="33"/>
        <v>0.78914494352089137</v>
      </c>
      <c r="I73" s="177">
        <f t="shared" si="33"/>
        <v>0.73751863880457136</v>
      </c>
      <c r="J73" s="177">
        <f t="shared" si="33"/>
        <v>0.68926975589212269</v>
      </c>
      <c r="K73" s="177">
        <f t="shared" si="33"/>
        <v>0.64417734195525478</v>
      </c>
      <c r="L73" s="177">
        <f t="shared" si="33"/>
        <v>0.60203489902360263</v>
      </c>
      <c r="M73" s="177">
        <f t="shared" si="33"/>
        <v>0.56264943833981551</v>
      </c>
      <c r="N73" s="177">
        <f t="shared" si="33"/>
        <v>0.52584059657926685</v>
      </c>
      <c r="O73" s="177">
        <f t="shared" ref="O73" si="34">1/((1+$C$73)^O72)</f>
        <v>0.49143980988716524</v>
      </c>
    </row>
    <row r="74" spans="2:16" ht="14.25" thickBot="1">
      <c r="B74" s="172"/>
      <c r="C74" s="172"/>
      <c r="D74" s="172"/>
      <c r="E74" s="178"/>
      <c r="F74" s="179"/>
      <c r="G74" s="179"/>
      <c r="H74" s="179"/>
      <c r="I74" s="179"/>
      <c r="J74" s="179"/>
      <c r="K74" s="179"/>
      <c r="L74" s="179"/>
      <c r="M74" s="179"/>
      <c r="N74" s="179"/>
      <c r="O74" s="179"/>
    </row>
    <row r="75" spans="2:16" ht="16.5">
      <c r="B75" s="215" t="s">
        <v>95</v>
      </c>
      <c r="C75" s="232">
        <f>SUM(E67:O67)</f>
        <v>2.2918438801402843</v>
      </c>
      <c r="D75" s="269"/>
      <c r="E75" s="261"/>
      <c r="F75" s="262"/>
      <c r="G75" s="262"/>
      <c r="H75" s="262"/>
      <c r="I75" s="262"/>
      <c r="J75" s="262"/>
      <c r="K75" s="262"/>
      <c r="L75" s="262"/>
      <c r="M75" s="262"/>
      <c r="N75" s="262"/>
      <c r="O75" s="262"/>
    </row>
    <row r="76" spans="2:16" ht="16.5">
      <c r="B76" s="216" t="s">
        <v>96</v>
      </c>
      <c r="C76" s="217">
        <f>IRR(E66:O66,0.1)</f>
        <v>1.7752774836547234</v>
      </c>
      <c r="D76" s="270"/>
      <c r="E76" s="261"/>
      <c r="F76" s="263"/>
      <c r="G76" s="263"/>
      <c r="H76" s="263"/>
      <c r="I76" s="263"/>
      <c r="J76" s="263"/>
      <c r="K76" s="263"/>
      <c r="L76" s="263"/>
      <c r="M76" s="263"/>
      <c r="N76" s="263"/>
      <c r="O76" s="263"/>
    </row>
    <row r="77" spans="2:16" ht="16.5">
      <c r="B77" s="216" t="s">
        <v>97</v>
      </c>
      <c r="C77" s="218">
        <f>+F77</f>
        <v>1.5994357904666647</v>
      </c>
      <c r="D77" s="271"/>
      <c r="E77" s="272">
        <f>IF(F70&lt;0,"never",COUNTIF(F68:O68,"&lt;0"))</f>
        <v>0</v>
      </c>
      <c r="F77" s="273">
        <f>IF(SUM(E69:O69)&gt;0,SUM(E69:O69),"10+")</f>
        <v>1.5994357904666647</v>
      </c>
      <c r="G77" s="266"/>
      <c r="H77" s="261"/>
      <c r="I77" s="261"/>
      <c r="J77" s="261"/>
      <c r="K77" s="261"/>
      <c r="L77" s="261"/>
      <c r="M77" s="261"/>
      <c r="N77" s="261"/>
      <c r="O77" s="261"/>
    </row>
    <row r="78" spans="2:16" ht="17.25" thickBot="1">
      <c r="B78" s="219" t="s">
        <v>98</v>
      </c>
      <c r="C78" s="220">
        <f>-SUM(E83:O83)/SUM(E81:O81)</f>
        <v>2.2334566521446986</v>
      </c>
      <c r="D78" s="269"/>
      <c r="E78" s="274">
        <f>INDEX(F70:O70,,COUNTIF(F68:O68,"&lt;0")+1)</f>
        <v>0.12008546977310139</v>
      </c>
      <c r="F78" s="268"/>
      <c r="G78" s="268"/>
      <c r="H78" s="261"/>
      <c r="I78" s="261"/>
      <c r="J78" s="261"/>
      <c r="K78" s="261"/>
      <c r="L78" s="261"/>
      <c r="M78" s="261"/>
      <c r="N78" s="261"/>
      <c r="O78" s="261"/>
    </row>
    <row r="79" spans="2:16">
      <c r="B79" s="180"/>
      <c r="C79" s="180"/>
      <c r="D79" s="181"/>
      <c r="E79" s="181"/>
      <c r="F79" s="181"/>
      <c r="G79" s="181"/>
      <c r="H79" s="181"/>
      <c r="I79" s="181"/>
      <c r="J79" s="181"/>
      <c r="K79" s="181"/>
      <c r="L79" s="181"/>
      <c r="M79" s="181"/>
      <c r="N79" s="181"/>
      <c r="O79" s="181"/>
      <c r="P79" s="180"/>
    </row>
    <row r="80" spans="2:16" hidden="1">
      <c r="B80" s="182" t="s">
        <v>99</v>
      </c>
      <c r="C80" s="182"/>
      <c r="D80" s="183"/>
      <c r="E80" s="183">
        <f t="shared" ref="E80:M80" si="35">(E54+E53+E39+E43+E42)/E12</f>
        <v>-309818.25902335456</v>
      </c>
      <c r="F80" s="183">
        <f t="shared" si="35"/>
        <v>-392458.54561112198</v>
      </c>
      <c r="G80" s="183">
        <f t="shared" si="35"/>
        <v>-392986.48762160749</v>
      </c>
      <c r="H80" s="183">
        <f t="shared" si="35"/>
        <v>-393336.56385078264</v>
      </c>
      <c r="I80" s="183">
        <f t="shared" si="35"/>
        <v>-393601.47301996045</v>
      </c>
      <c r="J80" s="183">
        <f t="shared" si="35"/>
        <v>-393823.03341599996</v>
      </c>
      <c r="K80" s="183">
        <f t="shared" si="35"/>
        <v>0</v>
      </c>
      <c r="L80" s="183">
        <f t="shared" si="35"/>
        <v>0</v>
      </c>
      <c r="M80" s="183">
        <f t="shared" si="35"/>
        <v>0</v>
      </c>
      <c r="N80" s="183">
        <f t="shared" ref="N80:O80" si="36">(N54+N53+N39+N43+N42)/N12</f>
        <v>0</v>
      </c>
      <c r="O80" s="183">
        <f t="shared" si="36"/>
        <v>0</v>
      </c>
    </row>
    <row r="81" spans="2:16" hidden="1">
      <c r="B81" s="182" t="s">
        <v>100</v>
      </c>
      <c r="C81" s="182"/>
      <c r="D81" s="183"/>
      <c r="E81" s="183">
        <f t="shared" ref="E81:M81" si="37">E80*E73</f>
        <v>-299512.61597047775</v>
      </c>
      <c r="F81" s="183">
        <f t="shared" si="37"/>
        <v>-354583.1742804331</v>
      </c>
      <c r="G81" s="183">
        <f t="shared" si="37"/>
        <v>-331831.93054913089</v>
      </c>
      <c r="H81" s="183">
        <f t="shared" si="37"/>
        <v>-310399.56046472734</v>
      </c>
      <c r="I81" s="183">
        <f t="shared" si="37"/>
        <v>-290288.42261315545</v>
      </c>
      <c r="J81" s="183">
        <f t="shared" si="37"/>
        <v>-271450.30610734154</v>
      </c>
      <c r="K81" s="183">
        <f t="shared" si="37"/>
        <v>0</v>
      </c>
      <c r="L81" s="183">
        <f t="shared" si="37"/>
        <v>0</v>
      </c>
      <c r="M81" s="183">
        <f t="shared" si="37"/>
        <v>0</v>
      </c>
      <c r="N81" s="183">
        <f t="shared" ref="N81:O81" si="38">N80*N73</f>
        <v>0</v>
      </c>
      <c r="O81" s="183">
        <f t="shared" si="38"/>
        <v>0</v>
      </c>
    </row>
    <row r="82" spans="2:16" hidden="1">
      <c r="B82" s="182" t="s">
        <v>101</v>
      </c>
      <c r="C82" s="182"/>
      <c r="D82" s="183"/>
      <c r="E82" s="183">
        <f t="shared" ref="E82:M82" si="39">E64*E73/E12</f>
        <v>-361909.19615516602</v>
      </c>
      <c r="F82" s="183">
        <f t="shared" si="39"/>
        <v>603749.729180197</v>
      </c>
      <c r="G82" s="183">
        <f t="shared" si="39"/>
        <v>565011.12498906069</v>
      </c>
      <c r="H82" s="183">
        <f t="shared" si="39"/>
        <v>528518.17052102217</v>
      </c>
      <c r="I82" s="183">
        <f t="shared" si="39"/>
        <v>494274.88174672413</v>
      </c>
      <c r="J82" s="183">
        <f t="shared" si="39"/>
        <v>462199.1698584464</v>
      </c>
      <c r="K82" s="183">
        <f t="shared" si="39"/>
        <v>0</v>
      </c>
      <c r="L82" s="183">
        <f t="shared" si="39"/>
        <v>0</v>
      </c>
      <c r="M82" s="183">
        <f t="shared" si="39"/>
        <v>0</v>
      </c>
      <c r="N82" s="183">
        <f t="shared" ref="N82:O82" si="40">N64*N73/N12</f>
        <v>0</v>
      </c>
      <c r="O82" s="183">
        <f t="shared" si="40"/>
        <v>0</v>
      </c>
    </row>
    <row r="83" spans="2:16" hidden="1">
      <c r="B83" s="182" t="s">
        <v>102</v>
      </c>
      <c r="C83" s="182"/>
      <c r="D83" s="183"/>
      <c r="E83" s="183">
        <f>E82-E81</f>
        <v>-62396.580184688268</v>
      </c>
      <c r="F83" s="183">
        <f t="shared" ref="F83:M83" si="41">F82-F81</f>
        <v>958332.9034606301</v>
      </c>
      <c r="G83" s="183">
        <f t="shared" si="41"/>
        <v>896843.05553819158</v>
      </c>
      <c r="H83" s="183">
        <f t="shared" si="41"/>
        <v>838917.73098574951</v>
      </c>
      <c r="I83" s="183">
        <f t="shared" si="41"/>
        <v>784563.30435987958</v>
      </c>
      <c r="J83" s="183">
        <f t="shared" si="41"/>
        <v>733649.47596578789</v>
      </c>
      <c r="K83" s="183">
        <f t="shared" si="41"/>
        <v>0</v>
      </c>
      <c r="L83" s="183">
        <f t="shared" si="41"/>
        <v>0</v>
      </c>
      <c r="M83" s="183">
        <f t="shared" si="41"/>
        <v>0</v>
      </c>
      <c r="N83" s="183">
        <f t="shared" ref="N83:O83" si="42">N82-N81</f>
        <v>0</v>
      </c>
      <c r="O83" s="183">
        <f t="shared" si="42"/>
        <v>0</v>
      </c>
    </row>
    <row r="84" spans="2:16" hidden="1"/>
    <row r="91" spans="2:16">
      <c r="B91" s="184" t="s">
        <v>103</v>
      </c>
      <c r="C91" s="185"/>
      <c r="E91" s="186">
        <f t="shared" ref="E91:O91" si="43">E10</f>
        <v>2025</v>
      </c>
      <c r="F91" s="186">
        <f t="shared" si="43"/>
        <v>2026</v>
      </c>
      <c r="G91" s="186">
        <f t="shared" si="43"/>
        <v>2027</v>
      </c>
      <c r="H91" s="186">
        <f t="shared" si="43"/>
        <v>2028</v>
      </c>
      <c r="I91" s="186">
        <f t="shared" si="43"/>
        <v>2029</v>
      </c>
      <c r="J91" s="186">
        <f t="shared" si="43"/>
        <v>2030</v>
      </c>
      <c r="K91" s="186">
        <f t="shared" si="43"/>
        <v>2031</v>
      </c>
      <c r="L91" s="186">
        <f t="shared" si="43"/>
        <v>2032</v>
      </c>
      <c r="M91" s="186">
        <f t="shared" si="43"/>
        <v>2033</v>
      </c>
      <c r="N91" s="186">
        <f t="shared" si="43"/>
        <v>2034</v>
      </c>
      <c r="O91" s="186">
        <f t="shared" si="43"/>
        <v>2035</v>
      </c>
      <c r="P91" s="186" t="s">
        <v>104</v>
      </c>
    </row>
    <row r="92" spans="2:16">
      <c r="B92" s="185" t="s">
        <v>105</v>
      </c>
      <c r="C92" s="187"/>
      <c r="E92" s="188">
        <f>E53/E12+E54/E12</f>
        <v>-309818.25902335451</v>
      </c>
      <c r="F92" s="188">
        <f>F53/F12</f>
        <v>0</v>
      </c>
      <c r="G92" s="188">
        <f t="shared" ref="G92:O92" si="44">G53/G12</f>
        <v>0</v>
      </c>
      <c r="H92" s="188">
        <f t="shared" si="44"/>
        <v>0</v>
      </c>
      <c r="I92" s="188">
        <f t="shared" si="44"/>
        <v>0</v>
      </c>
      <c r="J92" s="188">
        <f t="shared" si="44"/>
        <v>0</v>
      </c>
      <c r="K92" s="188">
        <f t="shared" si="44"/>
        <v>0</v>
      </c>
      <c r="L92" s="188">
        <f t="shared" si="44"/>
        <v>0</v>
      </c>
      <c r="M92" s="188">
        <f t="shared" si="44"/>
        <v>0</v>
      </c>
      <c r="N92" s="188">
        <f t="shared" si="44"/>
        <v>0</v>
      </c>
      <c r="O92" s="188">
        <f t="shared" si="44"/>
        <v>0</v>
      </c>
      <c r="P92" s="189">
        <f t="shared" ref="P92:P101" si="45">SUM(E92:O92)</f>
        <v>-309818.25902335451</v>
      </c>
    </row>
    <row r="93" spans="2:16">
      <c r="B93" s="185" t="s">
        <v>106</v>
      </c>
      <c r="C93" s="187"/>
      <c r="E93" s="188">
        <f>E39/E12</f>
        <v>0</v>
      </c>
      <c r="F93" s="188">
        <f t="shared" ref="F93:N93" si="46">F39/F12</f>
        <v>0</v>
      </c>
      <c r="G93" s="188">
        <f t="shared" si="46"/>
        <v>0</v>
      </c>
      <c r="H93" s="188">
        <f t="shared" si="46"/>
        <v>0</v>
      </c>
      <c r="I93" s="188">
        <f t="shared" si="46"/>
        <v>0</v>
      </c>
      <c r="J93" s="188">
        <f t="shared" si="46"/>
        <v>0</v>
      </c>
      <c r="K93" s="188">
        <f t="shared" si="46"/>
        <v>0</v>
      </c>
      <c r="L93" s="188">
        <f t="shared" si="46"/>
        <v>0</v>
      </c>
      <c r="M93" s="188">
        <f t="shared" si="46"/>
        <v>0</v>
      </c>
      <c r="N93" s="188">
        <f t="shared" si="46"/>
        <v>0</v>
      </c>
      <c r="O93" s="188">
        <f t="shared" ref="O93" si="47">O39/O12</f>
        <v>0</v>
      </c>
      <c r="P93" s="189">
        <f t="shared" si="45"/>
        <v>0</v>
      </c>
    </row>
    <row r="94" spans="2:16">
      <c r="B94" s="185" t="s">
        <v>197</v>
      </c>
      <c r="C94" s="187"/>
      <c r="E94" s="188">
        <f>E42/E12</f>
        <v>0</v>
      </c>
      <c r="F94" s="188">
        <f t="shared" ref="F94:N94" si="48">F42/F12</f>
        <v>0</v>
      </c>
      <c r="G94" s="188">
        <f t="shared" si="48"/>
        <v>0</v>
      </c>
      <c r="H94" s="188">
        <f t="shared" si="48"/>
        <v>0</v>
      </c>
      <c r="I94" s="188">
        <f t="shared" si="48"/>
        <v>0</v>
      </c>
      <c r="J94" s="188">
        <f t="shared" si="48"/>
        <v>0</v>
      </c>
      <c r="K94" s="188">
        <f t="shared" si="48"/>
        <v>0</v>
      </c>
      <c r="L94" s="188">
        <f t="shared" si="48"/>
        <v>0</v>
      </c>
      <c r="M94" s="188">
        <f t="shared" si="48"/>
        <v>0</v>
      </c>
      <c r="N94" s="188">
        <f t="shared" si="48"/>
        <v>0</v>
      </c>
      <c r="O94" s="188">
        <f t="shared" ref="O94" si="49">O42/O12</f>
        <v>0</v>
      </c>
      <c r="P94" s="189">
        <f t="shared" si="45"/>
        <v>0</v>
      </c>
    </row>
    <row r="95" spans="2:16">
      <c r="B95" s="185" t="s">
        <v>41</v>
      </c>
      <c r="C95" s="187"/>
      <c r="E95" s="188">
        <f>E43/E12</f>
        <v>0</v>
      </c>
      <c r="F95" s="188">
        <f t="shared" ref="F95:N95" si="50">F43/F12</f>
        <v>0</v>
      </c>
      <c r="G95" s="188">
        <f t="shared" si="50"/>
        <v>0</v>
      </c>
      <c r="H95" s="188">
        <f t="shared" si="50"/>
        <v>0</v>
      </c>
      <c r="I95" s="188">
        <f t="shared" si="50"/>
        <v>0</v>
      </c>
      <c r="J95" s="188">
        <f t="shared" si="50"/>
        <v>0</v>
      </c>
      <c r="K95" s="188">
        <f t="shared" si="50"/>
        <v>0</v>
      </c>
      <c r="L95" s="188">
        <f t="shared" si="50"/>
        <v>0</v>
      </c>
      <c r="M95" s="188">
        <f t="shared" si="50"/>
        <v>0</v>
      </c>
      <c r="N95" s="188">
        <f t="shared" si="50"/>
        <v>0</v>
      </c>
      <c r="O95" s="188">
        <f t="shared" ref="O95" si="51">O43/O12</f>
        <v>0</v>
      </c>
      <c r="P95" s="189">
        <f t="shared" si="45"/>
        <v>0</v>
      </c>
    </row>
    <row r="96" spans="2:16">
      <c r="B96" s="185" t="s">
        <v>200</v>
      </c>
      <c r="C96" s="187"/>
      <c r="E96" s="188">
        <f>E41/E12</f>
        <v>0</v>
      </c>
      <c r="F96" s="188">
        <f t="shared" ref="F96:N96" si="52">F41/F12</f>
        <v>0</v>
      </c>
      <c r="G96" s="188">
        <f t="shared" si="52"/>
        <v>0</v>
      </c>
      <c r="H96" s="188">
        <f t="shared" si="52"/>
        <v>0</v>
      </c>
      <c r="I96" s="188">
        <f t="shared" si="52"/>
        <v>0</v>
      </c>
      <c r="J96" s="188">
        <f t="shared" si="52"/>
        <v>0</v>
      </c>
      <c r="K96" s="188">
        <f t="shared" si="52"/>
        <v>0</v>
      </c>
      <c r="L96" s="188">
        <f t="shared" si="52"/>
        <v>0</v>
      </c>
      <c r="M96" s="188">
        <f t="shared" si="52"/>
        <v>0</v>
      </c>
      <c r="N96" s="188">
        <f t="shared" si="52"/>
        <v>0</v>
      </c>
      <c r="O96" s="188">
        <f t="shared" ref="O96" si="53">O41/O12</f>
        <v>0</v>
      </c>
      <c r="P96" s="189">
        <f t="shared" si="45"/>
        <v>0</v>
      </c>
    </row>
    <row r="97" spans="2:16" s="185" customFormat="1">
      <c r="B97" s="185" t="s">
        <v>198</v>
      </c>
      <c r="C97" s="187"/>
      <c r="D97" s="137"/>
      <c r="E97" s="188">
        <f>(E24+E32+E35+E36+E30+E31)/E12</f>
        <v>0</v>
      </c>
      <c r="F97" s="188">
        <f>(F24+F32+F35+F36+F30+F31)/F12*(1-37%)</f>
        <v>857253.0834</v>
      </c>
      <c r="G97" s="188">
        <f t="shared" ref="G97:O97" si="54">(G24+G32+G35+G36+G30+G31)/G12*(1-37%)</f>
        <v>857253.0834</v>
      </c>
      <c r="H97" s="188">
        <f t="shared" si="54"/>
        <v>857253.08340000012</v>
      </c>
      <c r="I97" s="188">
        <f t="shared" si="54"/>
        <v>857253.08340000012</v>
      </c>
      <c r="J97" s="188">
        <f t="shared" si="54"/>
        <v>857253.0834</v>
      </c>
      <c r="K97" s="188">
        <f t="shared" si="54"/>
        <v>0</v>
      </c>
      <c r="L97" s="188">
        <f t="shared" si="54"/>
        <v>0</v>
      </c>
      <c r="M97" s="188">
        <f t="shared" si="54"/>
        <v>0</v>
      </c>
      <c r="N97" s="188">
        <f t="shared" si="54"/>
        <v>0</v>
      </c>
      <c r="O97" s="188">
        <f t="shared" si="54"/>
        <v>0</v>
      </c>
      <c r="P97" s="189">
        <f t="shared" si="45"/>
        <v>4286265.4170000004</v>
      </c>
    </row>
    <row r="98" spans="2:16">
      <c r="B98" s="185" t="s">
        <v>199</v>
      </c>
      <c r="C98" s="187"/>
      <c r="E98" s="188">
        <f>(E26+E33+E34+E37+E38+E25+E27+E28+E29)/E12*(1-37%)</f>
        <v>-53503.184713375798</v>
      </c>
      <c r="F98" s="188">
        <f t="shared" ref="F98:O98" si="55">(F26+F33+F34+F37+F38+F25+F27+F28+F29)/F12*(1-37%)</f>
        <v>0</v>
      </c>
      <c r="G98" s="188">
        <f t="shared" si="55"/>
        <v>0</v>
      </c>
      <c r="H98" s="188">
        <f t="shared" si="55"/>
        <v>0</v>
      </c>
      <c r="I98" s="188">
        <f t="shared" si="55"/>
        <v>0</v>
      </c>
      <c r="J98" s="188">
        <f t="shared" si="55"/>
        <v>0</v>
      </c>
      <c r="K98" s="188">
        <f t="shared" si="55"/>
        <v>0</v>
      </c>
      <c r="L98" s="188">
        <f t="shared" si="55"/>
        <v>0</v>
      </c>
      <c r="M98" s="188">
        <f t="shared" si="55"/>
        <v>0</v>
      </c>
      <c r="N98" s="188">
        <f t="shared" si="55"/>
        <v>0</v>
      </c>
      <c r="O98" s="188">
        <f t="shared" si="55"/>
        <v>0</v>
      </c>
      <c r="P98" s="189">
        <f t="shared" si="45"/>
        <v>-53503.184713375798</v>
      </c>
    </row>
    <row r="99" spans="2:16">
      <c r="B99" s="185" t="s">
        <v>107</v>
      </c>
      <c r="C99" s="187"/>
      <c r="E99" s="188">
        <f>E64/E12</f>
        <v>-374361.78343949042</v>
      </c>
      <c r="F99" s="188">
        <f t="shared" ref="F99:N99" si="56">F64/F12</f>
        <v>668240.22631082928</v>
      </c>
      <c r="G99" s="188">
        <f t="shared" si="56"/>
        <v>669139.15459895332</v>
      </c>
      <c r="H99" s="188">
        <f t="shared" si="56"/>
        <v>669735.23034052178</v>
      </c>
      <c r="I99" s="188">
        <f t="shared" si="56"/>
        <v>670186.29189885152</v>
      </c>
      <c r="J99" s="188">
        <f t="shared" si="56"/>
        <v>670563.54338399984</v>
      </c>
      <c r="K99" s="188">
        <f t="shared" si="56"/>
        <v>0</v>
      </c>
      <c r="L99" s="188">
        <f t="shared" si="56"/>
        <v>0</v>
      </c>
      <c r="M99" s="188">
        <f t="shared" si="56"/>
        <v>0</v>
      </c>
      <c r="N99" s="188">
        <f t="shared" si="56"/>
        <v>0</v>
      </c>
      <c r="O99" s="188">
        <f t="shared" ref="O99" si="57">O64/O12</f>
        <v>0</v>
      </c>
      <c r="P99" s="189">
        <f t="shared" si="45"/>
        <v>2973502.6630936651</v>
      </c>
    </row>
    <row r="100" spans="2:16">
      <c r="B100" s="185" t="s">
        <v>108</v>
      </c>
      <c r="C100" s="187"/>
      <c r="E100" s="188">
        <f>E46/E12*(1-37%)</f>
        <v>-53503.184713375798</v>
      </c>
      <c r="F100" s="188">
        <f t="shared" ref="F100:O100" si="58">F46/F12*(1-37%)</f>
        <v>787553.57120487804</v>
      </c>
      <c r="G100" s="188">
        <f t="shared" si="58"/>
        <v>783808.03667102801</v>
      </c>
      <c r="H100" s="188">
        <f t="shared" si="58"/>
        <v>781324.38774782617</v>
      </c>
      <c r="I100" s="188">
        <f t="shared" si="58"/>
        <v>779444.96458811883</v>
      </c>
      <c r="J100" s="188">
        <f t="shared" si="58"/>
        <v>777873.0834</v>
      </c>
      <c r="K100" s="188">
        <f t="shared" si="58"/>
        <v>0</v>
      </c>
      <c r="L100" s="188">
        <f t="shared" si="58"/>
        <v>0</v>
      </c>
      <c r="M100" s="188">
        <f t="shared" si="58"/>
        <v>0</v>
      </c>
      <c r="N100" s="188">
        <f t="shared" si="58"/>
        <v>0</v>
      </c>
      <c r="O100" s="188">
        <f t="shared" si="58"/>
        <v>0</v>
      </c>
      <c r="P100" s="189">
        <f t="shared" si="45"/>
        <v>3856500.8588984748</v>
      </c>
    </row>
    <row r="101" spans="2:16">
      <c r="B101" s="185" t="s">
        <v>109</v>
      </c>
      <c r="C101" s="187"/>
      <c r="E101" s="188">
        <f>E100-E95-E94-E96</f>
        <v>-53503.184713375798</v>
      </c>
      <c r="F101" s="188">
        <f t="shared" ref="F101:N101" si="59">F100-F95-F94-F96</f>
        <v>787553.57120487804</v>
      </c>
      <c r="G101" s="188">
        <f t="shared" si="59"/>
        <v>783808.03667102801</v>
      </c>
      <c r="H101" s="188">
        <f t="shared" si="59"/>
        <v>781324.38774782617</v>
      </c>
      <c r="I101" s="188">
        <f t="shared" si="59"/>
        <v>779444.96458811883</v>
      </c>
      <c r="J101" s="188">
        <f t="shared" si="59"/>
        <v>777873.0834</v>
      </c>
      <c r="K101" s="188">
        <f t="shared" si="59"/>
        <v>0</v>
      </c>
      <c r="L101" s="188">
        <f t="shared" si="59"/>
        <v>0</v>
      </c>
      <c r="M101" s="188">
        <f t="shared" si="59"/>
        <v>0</v>
      </c>
      <c r="N101" s="188">
        <f t="shared" si="59"/>
        <v>0</v>
      </c>
      <c r="O101" s="188">
        <f t="shared" ref="O101" si="60">O100-O95-O94-O96</f>
        <v>0</v>
      </c>
      <c r="P101" s="189">
        <f t="shared" si="45"/>
        <v>3856500.8588984748</v>
      </c>
    </row>
  </sheetData>
  <sheetProtection algorithmName="SHA-512" hashValue="PV3KdiUD61PBIX3cKTWyCYptG38+rjHomcmZfNDxDMLbsq7pZzR/flMbt/n+hqxbNggEu+2yGL2ejG1oJddyCA==" saltValue="W+CHqk9nDBRyls/+nYIEeQ==" spinCount="100000" sheet="1" formatCells="0" formatColumns="0" formatRows="0" insertColumns="0" insertRows="0" insertHyperlinks="0" deleteColumns="0" deleteRows="0" selectLockedCells="1" sort="0" autoFilter="0" pivotTables="0"/>
  <mergeCells count="3">
    <mergeCell ref="G3:O6"/>
    <mergeCell ref="B9:C10"/>
    <mergeCell ref="D9:D10"/>
  </mergeCells>
  <phoneticPr fontId="54" type="noConversion"/>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15E69ED-4357-4B94-BC15-CC3B4303E7C6}">
          <x14:formula1>
            <xm:f>countries!$C$2:$C$75</xm:f>
          </x14:formula1>
          <xm:sqref>C2:D2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FFFF00"/>
  </sheetPr>
  <dimension ref="A1:X52"/>
  <sheetViews>
    <sheetView showGridLines="0" zoomScaleNormal="100" workbookViewId="0"/>
  </sheetViews>
  <sheetFormatPr defaultRowHeight="12.75"/>
  <cols>
    <col min="1" max="1" width="18.7109375" customWidth="1"/>
    <col min="6" max="11" width="9.140625" customWidth="1"/>
    <col min="13" max="16" width="9.140625" hidden="1" customWidth="1"/>
    <col min="17" max="17" width="5.140625" hidden="1" customWidth="1"/>
  </cols>
  <sheetData>
    <row r="1" spans="1:24" ht="18.75" thickBot="1">
      <c r="A1" s="10" t="s">
        <v>25</v>
      </c>
      <c r="H1" s="1" t="s">
        <v>23</v>
      </c>
    </row>
    <row r="2" spans="1:24" ht="13.5" thickTop="1"/>
    <row r="3" spans="1:24" ht="15.75" thickBot="1">
      <c r="A3" s="1" t="s">
        <v>7</v>
      </c>
      <c r="B3" s="40" t="s">
        <v>32</v>
      </c>
      <c r="C3" s="9"/>
      <c r="Q3" s="46"/>
    </row>
    <row r="5" spans="1:24">
      <c r="A5" t="s">
        <v>27</v>
      </c>
      <c r="B5" s="7" t="s">
        <v>31</v>
      </c>
    </row>
    <row r="7" spans="1:24" ht="15">
      <c r="A7" s="41" t="s">
        <v>10</v>
      </c>
      <c r="B7" s="56" t="s">
        <v>38</v>
      </c>
    </row>
    <row r="8" spans="1:24">
      <c r="A8" s="33" t="s">
        <v>35</v>
      </c>
      <c r="B8" s="34">
        <f>'NPV PT'!D10</f>
        <v>2025</v>
      </c>
      <c r="C8" s="35">
        <f t="shared" ref="C8" si="0">B8+1</f>
        <v>2026</v>
      </c>
      <c r="D8" s="35">
        <f t="shared" ref="D8" si="1">C8+1</f>
        <v>2027</v>
      </c>
      <c r="E8" s="35">
        <f t="shared" ref="E8" si="2">D8+1</f>
        <v>2028</v>
      </c>
      <c r="F8" s="35">
        <f t="shared" ref="F8" si="3">E8+1</f>
        <v>2029</v>
      </c>
      <c r="G8" s="35">
        <f t="shared" ref="G8" si="4">F8+1</f>
        <v>2030</v>
      </c>
      <c r="H8" s="35">
        <f t="shared" ref="H8" si="5">G8+1</f>
        <v>2031</v>
      </c>
      <c r="I8" s="35">
        <f t="shared" ref="I8" si="6">H8+1</f>
        <v>2032</v>
      </c>
      <c r="J8" s="35">
        <f t="shared" ref="J8" si="7">I8+1</f>
        <v>2033</v>
      </c>
      <c r="K8" s="35">
        <f t="shared" ref="K8" si="8">J8+1</f>
        <v>2034</v>
      </c>
      <c r="L8" s="35">
        <f t="shared" ref="L8" si="9">K8+1</f>
        <v>2035</v>
      </c>
      <c r="M8" s="35">
        <f t="shared" ref="M8:Q8" si="10">L8+1</f>
        <v>2036</v>
      </c>
      <c r="N8" s="35">
        <f t="shared" si="10"/>
        <v>2037</v>
      </c>
      <c r="O8" s="35">
        <f t="shared" si="10"/>
        <v>2038</v>
      </c>
      <c r="P8" s="35">
        <f t="shared" si="10"/>
        <v>2039</v>
      </c>
      <c r="Q8" s="35">
        <f t="shared" si="10"/>
        <v>2040</v>
      </c>
    </row>
    <row r="9" spans="1:24">
      <c r="A9" s="36" t="s">
        <v>105</v>
      </c>
      <c r="B9" s="67">
        <f>'NPV PT'!D92/1000000</f>
        <v>-0.29745902335456476</v>
      </c>
      <c r="C9" s="67">
        <f>'NPV PT'!E92/1000000</f>
        <v>0</v>
      </c>
      <c r="D9" s="67">
        <f>'NPV PT'!F92/1000000</f>
        <v>0</v>
      </c>
      <c r="E9" s="67">
        <f>'NPV PT'!G92/1000000</f>
        <v>0</v>
      </c>
      <c r="F9" s="67">
        <f>'NPV PT'!H92/1000000</f>
        <v>0</v>
      </c>
      <c r="G9" s="67">
        <f>'NPV PT'!I92/1000000</f>
        <v>0</v>
      </c>
      <c r="H9" s="67">
        <f>'NPV PT'!J92/1000000</f>
        <v>0</v>
      </c>
      <c r="I9" s="67">
        <f>'NPV PT'!K92/1000000</f>
        <v>0</v>
      </c>
      <c r="J9" s="67">
        <f>'NPV PT'!L92/1000000</f>
        <v>0</v>
      </c>
      <c r="K9" s="67">
        <f>'NPV PT'!M92/1000000</f>
        <v>0</v>
      </c>
      <c r="L9" s="67">
        <f>'NPV PT'!N92/1000000</f>
        <v>0</v>
      </c>
      <c r="M9" s="65">
        <f>[64]NPV!O59</f>
        <v>0</v>
      </c>
      <c r="N9" s="65">
        <f>[64]NPV!P59</f>
        <v>0</v>
      </c>
      <c r="O9" s="65">
        <f>[64]NPV!Q59</f>
        <v>0</v>
      </c>
      <c r="P9" s="65">
        <f>[64]NPV!R59</f>
        <v>0</v>
      </c>
      <c r="Q9" s="65">
        <f>[64]NPV!S59</f>
        <v>0</v>
      </c>
      <c r="S9" t="s">
        <v>4</v>
      </c>
    </row>
    <row r="10" spans="1:24">
      <c r="A10" s="36" t="s">
        <v>41</v>
      </c>
      <c r="B10" s="67">
        <f>'NPV PT'!D95/1000000</f>
        <v>0</v>
      </c>
      <c r="C10" s="67">
        <f>'NPV PT'!E95/1000000</f>
        <v>0</v>
      </c>
      <c r="D10" s="67">
        <f>'NPV PT'!F95/1000000</f>
        <v>0</v>
      </c>
      <c r="E10" s="67">
        <f>'NPV PT'!G95/1000000</f>
        <v>0</v>
      </c>
      <c r="F10" s="67">
        <f>'NPV PT'!H95/1000000</f>
        <v>0</v>
      </c>
      <c r="G10" s="67">
        <f>'NPV PT'!I95/1000000</f>
        <v>0</v>
      </c>
      <c r="H10" s="67">
        <f>'NPV PT'!J95/1000000</f>
        <v>0</v>
      </c>
      <c r="I10" s="67">
        <f>'NPV PT'!K95/1000000</f>
        <v>0</v>
      </c>
      <c r="J10" s="67">
        <f>'NPV PT'!L95/1000000</f>
        <v>0</v>
      </c>
      <c r="K10" s="67">
        <f>'NPV PT'!M95/1000000</f>
        <v>0</v>
      </c>
      <c r="L10" s="67">
        <f>'NPV PT'!N95/1000000</f>
        <v>0</v>
      </c>
      <c r="M10" s="65">
        <f>[64]NPV!O60</f>
        <v>0</v>
      </c>
      <c r="N10" s="65">
        <f>[64]NPV!P60</f>
        <v>0</v>
      </c>
      <c r="O10" s="65">
        <f>[64]NPV!Q60</f>
        <v>0</v>
      </c>
      <c r="P10" s="65">
        <f>[64]NPV!R60</f>
        <v>0</v>
      </c>
      <c r="Q10" s="65">
        <f>[64]NPV!S60</f>
        <v>0</v>
      </c>
      <c r="S10" t="s">
        <v>40</v>
      </c>
    </row>
    <row r="11" spans="1:24">
      <c r="A11" s="36" t="s">
        <v>43</v>
      </c>
      <c r="B11" s="67">
        <f>('NPV PT'!D94+'NPV PT'!D93)/1000000</f>
        <v>0</v>
      </c>
      <c r="C11" s="67">
        <f>('NPV PT'!E94+'NPV PT'!E93)/1000000</f>
        <v>0</v>
      </c>
      <c r="D11" s="67">
        <f>('NPV PT'!F94+'NPV PT'!F93)/1000000</f>
        <v>0</v>
      </c>
      <c r="E11" s="67">
        <f>('NPV PT'!G94+'NPV PT'!G93)/1000000</f>
        <v>0</v>
      </c>
      <c r="F11" s="67">
        <f>('NPV PT'!H94+'NPV PT'!H93)/1000000</f>
        <v>0</v>
      </c>
      <c r="G11" s="67">
        <f>('NPV PT'!I94+'NPV PT'!I93)/1000000</f>
        <v>0</v>
      </c>
      <c r="H11" s="67">
        <f>('NPV PT'!J94+'NPV PT'!J93)/1000000</f>
        <v>0</v>
      </c>
      <c r="I11" s="67">
        <f>('NPV PT'!K94+'NPV PT'!K93)/1000000</f>
        <v>0</v>
      </c>
      <c r="J11" s="67">
        <f>('NPV PT'!L94+'NPV PT'!L93)/1000000</f>
        <v>0</v>
      </c>
      <c r="K11" s="67">
        <f>('NPV PT'!M94+'NPV PT'!M93)/1000000</f>
        <v>0</v>
      </c>
      <c r="L11" s="67">
        <f>('NPV PT'!N94+'NPV PT'!N93)/1000000</f>
        <v>0</v>
      </c>
      <c r="M11" s="65">
        <f>[64]NPV!O61</f>
        <v>0</v>
      </c>
      <c r="N11" s="65">
        <f>[64]NPV!P61</f>
        <v>0</v>
      </c>
      <c r="O11" s="65">
        <f>[64]NPV!Q61</f>
        <v>0</v>
      </c>
      <c r="P11" s="65">
        <f>[64]NPV!R61</f>
        <v>0</v>
      </c>
      <c r="Q11" s="65">
        <f>[64]NPV!S61</f>
        <v>0</v>
      </c>
      <c r="S11" t="s">
        <v>41</v>
      </c>
    </row>
    <row r="12" spans="1:24">
      <c r="A12" s="36" t="s">
        <v>611</v>
      </c>
      <c r="B12" s="67">
        <f>'NPV PT'!D97/1000000+'NPV PT'!D98/1000000</f>
        <v>-5.3503184713375798E-2</v>
      </c>
      <c r="C12" s="67">
        <f>'NPV PT'!E97/1000000+'NPV PT'!E98/1000000</f>
        <v>0.85725308339999995</v>
      </c>
      <c r="D12" s="67">
        <f>'NPV PT'!F97/1000000+'NPV PT'!F98/1000000</f>
        <v>0.85725308339999995</v>
      </c>
      <c r="E12" s="67">
        <f>'NPV PT'!G97/1000000+'NPV PT'!G98/1000000</f>
        <v>0.85725308340000017</v>
      </c>
      <c r="F12" s="67">
        <f>'NPV PT'!H97/1000000+'NPV PT'!H98/1000000</f>
        <v>0.85725308340000017</v>
      </c>
      <c r="G12" s="67">
        <f>'NPV PT'!I97/1000000+'NPV PT'!I98/1000000</f>
        <v>0.85725308339999995</v>
      </c>
      <c r="H12" s="67">
        <f>'NPV PT'!J97/1000000+'NPV PT'!J98/1000000</f>
        <v>0</v>
      </c>
      <c r="I12" s="67">
        <f>'NPV PT'!K97/1000000+'NPV PT'!K98/1000000</f>
        <v>0</v>
      </c>
      <c r="J12" s="67">
        <f>'NPV PT'!L97/1000000+'NPV PT'!L98/1000000</f>
        <v>0</v>
      </c>
      <c r="K12" s="67">
        <f>'NPV PT'!M97/1000000+'NPV PT'!M98/1000000</f>
        <v>0</v>
      </c>
      <c r="L12" s="67">
        <f>'NPV PT'!N97/1000000+'NPV PT'!N98/1000000</f>
        <v>0</v>
      </c>
      <c r="M12" s="65">
        <f>[64]NPV!O62</f>
        <v>0</v>
      </c>
      <c r="N12" s="65">
        <f>[64]NPV!P62</f>
        <v>0</v>
      </c>
      <c r="O12" s="65">
        <f>[64]NPV!Q62</f>
        <v>0</v>
      </c>
      <c r="P12" s="65">
        <f>[64]NPV!R62</f>
        <v>0</v>
      </c>
      <c r="Q12" s="65">
        <f>[64]NPV!S62</f>
        <v>0</v>
      </c>
      <c r="S12" t="s">
        <v>42</v>
      </c>
    </row>
    <row r="13" spans="1:24">
      <c r="A13" s="36" t="s">
        <v>0</v>
      </c>
      <c r="B13" s="67">
        <f>('NPV PT'!D47/'NPV PT'!D12+'NPV PT'!D55/'NPV PT'!D12)/1000000</f>
        <v>2.0382165605095544E-2</v>
      </c>
      <c r="C13" s="67">
        <f>('NPV PT'!E47/'NPV PT'!E12+'NPV PT'!E55/'NPV PT'!E12)/1000000</f>
        <v>-0.30100382271219511</v>
      </c>
      <c r="D13" s="67">
        <f>('NPV PT'!F47/'NPV PT'!F12+'NPV PT'!F55/'NPV PT'!F12)/1000000</f>
        <v>-0.29962979946168222</v>
      </c>
      <c r="E13" s="67">
        <f>('NPV PT'!G47/'NPV PT'!G12+'NPV PT'!G55/'NPV PT'!G12)/1000000</f>
        <v>-0.29871869015652175</v>
      </c>
      <c r="F13" s="67">
        <f>('NPV PT'!H47/'NPV PT'!H12+'NPV PT'!H55/'NPV PT'!H12)/1000000</f>
        <v>-0.29802923686336635</v>
      </c>
      <c r="G13" s="67">
        <f>('NPV PT'!I47/'NPV PT'!I12+'NPV PT'!I55/'NPV PT'!I12)/1000000</f>
        <v>-0.2974526032</v>
      </c>
      <c r="H13" s="67">
        <f>('NPV PT'!J47/'NPV PT'!J12+'NPV PT'!J55/'NPV PT'!J12)/1000000</f>
        <v>0</v>
      </c>
      <c r="I13" s="67">
        <f>('NPV PT'!K47/'NPV PT'!K12+'NPV PT'!K55/'NPV PT'!K12)/1000000</f>
        <v>0</v>
      </c>
      <c r="J13" s="67">
        <f>('NPV PT'!L47/'NPV PT'!L12+'NPV PT'!L55/'NPV PT'!L12)/1000000</f>
        <v>0</v>
      </c>
      <c r="K13" s="67">
        <f>('NPV PT'!M47/'NPV PT'!M12+'NPV PT'!M55/'NPV PT'!M12)/1000000</f>
        <v>0</v>
      </c>
      <c r="L13" s="67">
        <f>('NPV PT'!N47/'NPV PT'!N12+'NPV PT'!N55/'NPV PT'!N12)/1000000</f>
        <v>0</v>
      </c>
      <c r="M13" s="65">
        <f>[64]NPV!O63</f>
        <v>0</v>
      </c>
      <c r="N13" s="65">
        <f>[64]NPV!P63</f>
        <v>0</v>
      </c>
      <c r="O13" s="65">
        <f>[64]NPV!Q63</f>
        <v>0</v>
      </c>
      <c r="P13" s="65">
        <f>[64]NPV!R63</f>
        <v>0</v>
      </c>
      <c r="Q13" s="65">
        <f>[64]NPV!S63</f>
        <v>0</v>
      </c>
      <c r="S13" t="s">
        <v>43</v>
      </c>
    </row>
    <row r="14" spans="1:24">
      <c r="A14" s="36" t="s">
        <v>37</v>
      </c>
      <c r="B14" s="67">
        <f>(SUM('NPV PT'!D57:D63)/'NPV PT'!D12)/1000000</f>
        <v>0</v>
      </c>
      <c r="C14" s="67">
        <f>(SUM('NPV PT'!E57:E63)/'NPV PT'!E12)/1000000</f>
        <v>0</v>
      </c>
      <c r="D14" s="67">
        <f>(SUM('NPV PT'!F57:F63)/'NPV PT'!F12)/1000000</f>
        <v>0</v>
      </c>
      <c r="E14" s="67">
        <f>(SUM('NPV PT'!G57:G63)/'NPV PT'!G12)/1000000</f>
        <v>0</v>
      </c>
      <c r="F14" s="67">
        <f>(SUM('NPV PT'!H57:H63)/'NPV PT'!H12)/1000000</f>
        <v>0</v>
      </c>
      <c r="G14" s="67">
        <f>(SUM('NPV PT'!I57:I63)/'NPV PT'!I12)/1000000</f>
        <v>0</v>
      </c>
      <c r="H14" s="67">
        <f>(SUM('NPV PT'!J57:J63)/'NPV PT'!J12)/1000000</f>
        <v>0</v>
      </c>
      <c r="I14" s="67">
        <f>(SUM('NPV PT'!K57:K63)/'NPV PT'!K12)/1000000</f>
        <v>0</v>
      </c>
      <c r="J14" s="67">
        <f>(SUM('NPV PT'!L57:L63)/'NPV PT'!L12)/1000000</f>
        <v>0</v>
      </c>
      <c r="K14" s="67">
        <f>(SUM('NPV PT'!M57:M63)/'NPV PT'!M12)/1000000</f>
        <v>0</v>
      </c>
      <c r="L14" s="67">
        <f>(SUM('NPV PT'!N57:N63)/'NPV PT'!N12)/1000000</f>
        <v>0</v>
      </c>
      <c r="M14" s="32">
        <v>-1.8009260115017138</v>
      </c>
      <c r="N14" s="32">
        <v>-1.8474207688366504</v>
      </c>
      <c r="O14" s="32">
        <v>-1.8945360723040405</v>
      </c>
      <c r="P14" s="32">
        <v>-6.797657268704123</v>
      </c>
      <c r="Q14" s="32">
        <f>('[65]FM-usd'!U39)/1000000</f>
        <v>0</v>
      </c>
      <c r="S14" t="s">
        <v>0</v>
      </c>
    </row>
    <row r="15" spans="1:24">
      <c r="A15" s="36" t="s">
        <v>612</v>
      </c>
      <c r="B15" s="66">
        <f>B16-SUM(B9:B14)</f>
        <v>-3.1422505307855675E-2</v>
      </c>
      <c r="C15" s="66">
        <f t="shared" ref="C15:L15" si="11">C16-SUM(C9:C14)</f>
        <v>0.11137141440351206</v>
      </c>
      <c r="D15" s="66">
        <f t="shared" si="11"/>
        <v>0.11086302580082252</v>
      </c>
      <c r="E15" s="66">
        <f t="shared" si="11"/>
        <v>0.11052591535791301</v>
      </c>
      <c r="F15" s="66">
        <f t="shared" si="11"/>
        <v>0.11027081763944546</v>
      </c>
      <c r="G15" s="66">
        <f t="shared" si="11"/>
        <v>0.11005746318400011</v>
      </c>
      <c r="H15" s="66">
        <f t="shared" si="11"/>
        <v>0</v>
      </c>
      <c r="I15" s="66">
        <f t="shared" si="11"/>
        <v>0</v>
      </c>
      <c r="J15" s="66">
        <f t="shared" si="11"/>
        <v>0</v>
      </c>
      <c r="K15" s="66">
        <f t="shared" si="11"/>
        <v>0</v>
      </c>
      <c r="L15" s="66">
        <f t="shared" si="11"/>
        <v>0</v>
      </c>
      <c r="M15" s="65">
        <f>[64]NPV!O65</f>
        <v>0</v>
      </c>
      <c r="N15" s="65">
        <f>[64]NPV!P65</f>
        <v>0</v>
      </c>
      <c r="O15" s="65">
        <f>[64]NPV!Q65</f>
        <v>0</v>
      </c>
      <c r="P15" s="65">
        <f>[64]NPV!R65</f>
        <v>0</v>
      </c>
      <c r="Q15" s="65">
        <f>[64]NPV!S65</f>
        <v>0</v>
      </c>
      <c r="S15" t="s">
        <v>37</v>
      </c>
    </row>
    <row r="16" spans="1:24">
      <c r="A16" s="37" t="s">
        <v>1</v>
      </c>
      <c r="B16" s="67">
        <f>'NPV PT'!D66</f>
        <v>-0.36200254777070068</v>
      </c>
      <c r="C16" s="67">
        <f>'NPV PT'!E66</f>
        <v>0.66762067509131695</v>
      </c>
      <c r="D16" s="67">
        <f>'NPV PT'!F66</f>
        <v>0.66848630973914025</v>
      </c>
      <c r="E16" s="67">
        <f>'NPV PT'!G66</f>
        <v>0.66906030860139143</v>
      </c>
      <c r="F16" s="67">
        <f>'NPV PT'!H66</f>
        <v>0.66949466417607928</v>
      </c>
      <c r="G16" s="67">
        <f>'NPV PT'!I66</f>
        <v>0.66985794338400007</v>
      </c>
      <c r="H16" s="67">
        <f>'NPV PT'!J66</f>
        <v>0</v>
      </c>
      <c r="I16" s="67">
        <f>'NPV PT'!K66</f>
        <v>0</v>
      </c>
      <c r="J16" s="67">
        <f>'NPV PT'!L66</f>
        <v>0</v>
      </c>
      <c r="K16" s="67">
        <f>'NPV PT'!M66</f>
        <v>0</v>
      </c>
      <c r="L16" s="67">
        <f>'NPV PT'!N66</f>
        <v>0</v>
      </c>
      <c r="M16" s="65">
        <f>[64]NPV!O66</f>
        <v>0</v>
      </c>
      <c r="N16" s="65">
        <f>[64]NPV!P66</f>
        <v>0</v>
      </c>
      <c r="O16" s="65">
        <f>[64]NPV!Q66</f>
        <v>0</v>
      </c>
      <c r="P16" s="65">
        <f>[64]NPV!R66</f>
        <v>0</v>
      </c>
      <c r="Q16" s="65">
        <f>[64]NPV!S66</f>
        <v>0</v>
      </c>
      <c r="X16" s="64"/>
    </row>
    <row r="17" spans="1:17">
      <c r="A17" s="37" t="s">
        <v>9</v>
      </c>
      <c r="B17" s="67">
        <f>'NPV PT'!D67</f>
        <v>-0.34996107205743227</v>
      </c>
      <c r="C17" s="67">
        <f>'NPV PT'!E67</f>
        <v>0.60318996958137883</v>
      </c>
      <c r="D17" s="67">
        <f>'NPV PT'!F67</f>
        <v>0.56445987252363383</v>
      </c>
      <c r="E17" s="67">
        <f>'NPV PT'!G67</f>
        <v>0.52798555944331516</v>
      </c>
      <c r="F17" s="67">
        <f>'NPV PT'!H67</f>
        <v>0.49376479341006563</v>
      </c>
      <c r="G17" s="67">
        <f>'NPV PT'!I67</f>
        <v>0.46171282111868905</v>
      </c>
      <c r="H17" s="67">
        <f>'NPV PT'!J67</f>
        <v>0</v>
      </c>
      <c r="I17" s="67">
        <f>'NPV PT'!K67</f>
        <v>0</v>
      </c>
      <c r="J17" s="67">
        <f>'NPV PT'!L67</f>
        <v>0</v>
      </c>
      <c r="K17" s="67">
        <f>'NPV PT'!M67</f>
        <v>0</v>
      </c>
      <c r="L17" s="67">
        <f>'NPV PT'!N67</f>
        <v>0</v>
      </c>
      <c r="M17" s="65">
        <f>[64]NPV!O67</f>
        <v>0</v>
      </c>
      <c r="N17" s="65">
        <f>[64]NPV!P67</f>
        <v>0</v>
      </c>
      <c r="O17" s="65">
        <f>[64]NPV!Q67</f>
        <v>0</v>
      </c>
      <c r="P17" s="65">
        <f>[64]NPV!R67</f>
        <v>0</v>
      </c>
      <c r="Q17" s="65">
        <f>[64]NPV!S67</f>
        <v>0</v>
      </c>
    </row>
    <row r="18" spans="1:17">
      <c r="A18" s="37" t="s">
        <v>30</v>
      </c>
      <c r="B18" s="101">
        <f>B17</f>
        <v>-0.34996107205743227</v>
      </c>
      <c r="C18" s="101">
        <f>B18+C17</f>
        <v>0.25322889752394656</v>
      </c>
      <c r="D18" s="101">
        <f t="shared" ref="D18:J18" si="12">C18+D17</f>
        <v>0.81768877004758034</v>
      </c>
      <c r="E18" s="101">
        <f t="shared" si="12"/>
        <v>1.3456743294908955</v>
      </c>
      <c r="F18" s="101">
        <f t="shared" si="12"/>
        <v>1.839439122900961</v>
      </c>
      <c r="G18" s="101">
        <f t="shared" si="12"/>
        <v>2.30115194401965</v>
      </c>
      <c r="H18" s="101">
        <f t="shared" si="12"/>
        <v>2.30115194401965</v>
      </c>
      <c r="I18" s="101">
        <f t="shared" si="12"/>
        <v>2.30115194401965</v>
      </c>
      <c r="J18" s="101">
        <f t="shared" si="12"/>
        <v>2.30115194401965</v>
      </c>
      <c r="K18" s="101">
        <f t="shared" ref="K18" si="13">J18+K17</f>
        <v>2.30115194401965</v>
      </c>
      <c r="L18" s="101">
        <f t="shared" ref="L18" si="14">K18+L17</f>
        <v>2.30115194401965</v>
      </c>
      <c r="M18" s="43">
        <v>23.272072791466801</v>
      </c>
      <c r="N18" s="43">
        <v>25.110376544232533</v>
      </c>
      <c r="O18" s="43">
        <v>26.978580184667653</v>
      </c>
      <c r="P18" s="43">
        <v>26.64338546617277</v>
      </c>
      <c r="Q18" s="43">
        <f t="shared" ref="Q18:Q19" si="15">Q16+P18</f>
        <v>26.64338546617277</v>
      </c>
    </row>
    <row r="19" spans="1:17">
      <c r="A19" s="44" t="s">
        <v>2</v>
      </c>
      <c r="B19" s="102">
        <f>B18</f>
        <v>-0.34996107205743227</v>
      </c>
      <c r="C19" s="102">
        <f>C18</f>
        <v>0.25322889752394656</v>
      </c>
      <c r="D19" s="102">
        <f t="shared" ref="D19:J19" si="16">D18</f>
        <v>0.81768877004758034</v>
      </c>
      <c r="E19" s="102">
        <f t="shared" si="16"/>
        <v>1.3456743294908955</v>
      </c>
      <c r="F19" s="102">
        <f>F18</f>
        <v>1.839439122900961</v>
      </c>
      <c r="G19" s="102">
        <f t="shared" si="16"/>
        <v>2.30115194401965</v>
      </c>
      <c r="H19" s="102">
        <f t="shared" si="16"/>
        <v>2.30115194401965</v>
      </c>
      <c r="I19" s="102">
        <f t="shared" si="16"/>
        <v>2.30115194401965</v>
      </c>
      <c r="J19" s="102">
        <f t="shared" si="16"/>
        <v>2.30115194401965</v>
      </c>
      <c r="K19" s="102">
        <f t="shared" ref="K19:L19" si="17">K18</f>
        <v>2.30115194401965</v>
      </c>
      <c r="L19" s="102">
        <f t="shared" si="17"/>
        <v>2.30115194401965</v>
      </c>
      <c r="M19" s="45">
        <v>14.252951355497876</v>
      </c>
      <c r="N19" s="45">
        <v>14.955409302654834</v>
      </c>
      <c r="O19" s="45">
        <v>15.61641243109583</v>
      </c>
      <c r="P19" s="45">
        <v>15.506599695022592</v>
      </c>
      <c r="Q19" s="45">
        <f t="shared" si="15"/>
        <v>15.506599695022592</v>
      </c>
    </row>
    <row r="21" spans="1:17" ht="15.75" thickBot="1">
      <c r="A21" s="1" t="s">
        <v>21</v>
      </c>
    </row>
    <row r="51" spans="3:17">
      <c r="C51" s="57"/>
      <c r="D51" s="57"/>
      <c r="E51" s="57"/>
      <c r="F51" s="57"/>
      <c r="G51" s="57"/>
      <c r="H51" s="57"/>
      <c r="I51" s="57"/>
      <c r="J51" s="57"/>
      <c r="K51" s="57"/>
      <c r="L51" s="57"/>
      <c r="M51" s="57"/>
      <c r="N51" s="57"/>
      <c r="O51" s="57"/>
      <c r="P51" s="57"/>
      <c r="Q51" s="57"/>
    </row>
    <row r="52" spans="3:17">
      <c r="C52" s="57"/>
      <c r="D52" s="57"/>
      <c r="E52" s="57"/>
      <c r="F52" s="57"/>
      <c r="G52" s="57"/>
      <c r="H52" s="57"/>
      <c r="I52" s="57"/>
      <c r="J52" s="57"/>
      <c r="K52" s="57"/>
      <c r="L52" s="57"/>
      <c r="M52" s="57"/>
      <c r="N52" s="57"/>
      <c r="O52" s="57"/>
      <c r="P52" s="57"/>
      <c r="Q52" s="57"/>
    </row>
  </sheetData>
  <sheetProtection formatCells="0" formatColumns="0"/>
  <hyperlinks>
    <hyperlink ref="A1" location="Contents!A1" tooltip="Go to Index. Click once to follow. Click and hold to select this cell." display="GIAAP Finance Charts Template" xr:uid="{00000000-0004-0000-0100-000000000000}"/>
  </hyperlinks>
  <pageMargins left="0.7" right="0.7" top="0.75" bottom="0.75" header="0.3" footer="0.3"/>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FFFF00"/>
    <outlinePr summaryBelow="0" summaryRight="0"/>
  </sheetPr>
  <dimension ref="A1:Y19"/>
  <sheetViews>
    <sheetView showGridLines="0" tabSelected="1" topLeftCell="A3" zoomScale="120" zoomScaleNormal="120" workbookViewId="0">
      <selection activeCell="C9" sqref="C9"/>
    </sheetView>
  </sheetViews>
  <sheetFormatPr defaultRowHeight="12.75"/>
  <cols>
    <col min="1" max="1" width="22.140625" customWidth="1"/>
    <col min="2" max="2" width="10.140625" bestFit="1" customWidth="1"/>
    <col min="4" max="4" width="9.42578125" customWidth="1"/>
    <col min="5" max="5" width="9.7109375" customWidth="1"/>
    <col min="6" max="25" width="9.140625" customWidth="1"/>
  </cols>
  <sheetData>
    <row r="1" spans="1:25" ht="18.75" thickBot="1">
      <c r="A1" s="10" t="s">
        <v>25</v>
      </c>
      <c r="H1" s="1" t="s">
        <v>23</v>
      </c>
      <c r="O1" s="1" t="s">
        <v>24</v>
      </c>
    </row>
    <row r="2" spans="1:25" ht="13.5" thickTop="1"/>
    <row r="3" spans="1:25" ht="15.75" thickBot="1">
      <c r="A3" s="1" t="s">
        <v>8</v>
      </c>
      <c r="B3" s="40" t="s">
        <v>3</v>
      </c>
      <c r="C3" s="9"/>
      <c r="O3" s="15" t="str">
        <f>"Central Case   NPV "&amp;TEXT(B7,"$#")&amp;"m, IRR "&amp;TEXT(D7,"#%")</f>
        <v>Central Case   NPV $1m, IRR 31%</v>
      </c>
      <c r="P3" s="15"/>
      <c r="Q3" s="15"/>
    </row>
    <row r="5" spans="1:25" ht="15">
      <c r="A5" s="41" t="s">
        <v>10</v>
      </c>
    </row>
    <row r="6" spans="1:25">
      <c r="A6" s="42" t="s">
        <v>34</v>
      </c>
      <c r="B6" s="8" t="s">
        <v>20</v>
      </c>
      <c r="C6" s="16"/>
      <c r="D6" s="18" t="s">
        <v>33</v>
      </c>
      <c r="E6" s="16"/>
    </row>
    <row r="7" spans="1:25">
      <c r="A7" s="27" t="s">
        <v>29</v>
      </c>
      <c r="B7" s="63">
        <v>0.71</v>
      </c>
      <c r="C7" s="25"/>
      <c r="D7" s="19">
        <v>0.31</v>
      </c>
      <c r="E7" s="17"/>
      <c r="O7" s="2" t="s">
        <v>18</v>
      </c>
      <c r="P7" s="3"/>
      <c r="Q7" s="3"/>
      <c r="R7" s="3"/>
      <c r="S7" s="3"/>
      <c r="T7" s="3"/>
      <c r="U7" s="3"/>
      <c r="V7" s="2" t="s">
        <v>17</v>
      </c>
      <c r="W7" s="3"/>
      <c r="X7" s="3"/>
      <c r="Y7" s="4"/>
    </row>
    <row r="8" spans="1:25">
      <c r="A8" s="26" t="s">
        <v>28</v>
      </c>
      <c r="B8" s="23" t="s">
        <v>6</v>
      </c>
      <c r="C8" s="24" t="s">
        <v>5</v>
      </c>
      <c r="D8" s="23" t="s">
        <v>6</v>
      </c>
      <c r="E8" s="21" t="s">
        <v>5</v>
      </c>
      <c r="F8" s="15" t="s">
        <v>22</v>
      </c>
      <c r="O8" s="47" t="s">
        <v>19</v>
      </c>
      <c r="P8" s="13" t="s">
        <v>11</v>
      </c>
      <c r="Q8" s="13" t="s">
        <v>12</v>
      </c>
      <c r="R8" s="13" t="s">
        <v>13</v>
      </c>
      <c r="S8" s="13" t="s">
        <v>16</v>
      </c>
      <c r="T8" s="13" t="s">
        <v>14</v>
      </c>
      <c r="U8" s="50" t="s">
        <v>15</v>
      </c>
      <c r="V8" s="53" t="s">
        <v>13</v>
      </c>
      <c r="W8" s="13" t="s">
        <v>16</v>
      </c>
      <c r="X8" s="13" t="s">
        <v>14</v>
      </c>
      <c r="Y8" s="14" t="s">
        <v>15</v>
      </c>
    </row>
    <row r="9" spans="1:25">
      <c r="A9" s="69" t="s">
        <v>670</v>
      </c>
      <c r="B9" s="70"/>
      <c r="C9" s="71"/>
      <c r="D9" s="19"/>
      <c r="E9" s="20"/>
      <c r="F9" s="22" t="str">
        <f t="array" ref="F9">IF(AND(ISNUMBER(B9:C9)),IF(OR($B$7&lt;C9,$D$7&lt;E9),"Downside must be &lt; Central",IF(OR($B$7&gt;B9,$D$7&gt;D9),"Upside must be &gt; Central","OK")),"Enter numeric data")</f>
        <v>Enter numeric data</v>
      </c>
      <c r="O9" s="48" t="str">
        <f t="shared" ref="O9:O17" si="0">A9</f>
        <v>Volume growth @ 70%</v>
      </c>
      <c r="P9" s="11">
        <f t="shared" ref="P9:P17" si="1">MAX(MIN(B9:C9),0)</f>
        <v>0</v>
      </c>
      <c r="Q9" s="11">
        <f t="shared" ref="Q9:Q17" si="2">MIN(MAX(B9:C9),0)</f>
        <v>0</v>
      </c>
      <c r="R9" s="11">
        <f>IF(C9,IF($B$7&lt;0,,MIN($B$7-C9,$B$7)),)</f>
        <v>0</v>
      </c>
      <c r="S9" s="11">
        <f t="shared" ref="S9:S17" si="3">IF(B9,IF($B$7&gt;0,,MAX($B$7-B9,$B$7)),)</f>
        <v>0</v>
      </c>
      <c r="T9" s="11">
        <f t="shared" ref="T9:T13" si="4">IF(C9,C9-$B$7+R9,)</f>
        <v>0</v>
      </c>
      <c r="U9" s="51">
        <f t="shared" ref="U9:U15" si="5">IF(B9,B9-$B$7+S9,)</f>
        <v>0</v>
      </c>
      <c r="V9" s="54">
        <f t="shared" ref="V9:V17" si="6">IF(T9,,IF(R9,TEXT(C9,"#")&amp;IF(ISNUMBER(E9),TEXT(E9,", #%"),", "&amp;E9),))</f>
        <v>0</v>
      </c>
      <c r="W9" s="29">
        <f t="shared" ref="W9:W15" si="7">IF(U9,,IF(S9,TEXT(B9,"#")&amp;TEXT(D9,", #%"),))</f>
        <v>0</v>
      </c>
      <c r="X9" s="29">
        <f>IF(T9,TEXT(C9,"#")&amp;IF(ISNUMBER(E9),TEXT(E9,", #%"),", "&amp;E9),)</f>
        <v>0</v>
      </c>
      <c r="Y9" s="30">
        <f>IF(U9,TEXT(B9,"#")&amp;TEXT(D9,", #%"),)</f>
        <v>0</v>
      </c>
    </row>
    <row r="10" spans="1:25">
      <c r="A10" s="55"/>
      <c r="B10" s="63"/>
      <c r="C10" s="68">
        <v>8</v>
      </c>
      <c r="D10" s="19"/>
      <c r="E10" s="20"/>
      <c r="F10" s="22" t="str">
        <f t="array" ref="F10">IF(AND(ISNUMBER(B10:C10)),IF(OR($B$7&lt;C10,$D$7&lt;E10),"Downside must be &lt; Central",IF(OR($B$7&gt;B10,$D$7&gt;D10),"Upside must be &gt; Central","OK")),"Enter numeric data")</f>
        <v>Enter numeric data</v>
      </c>
      <c r="O10" s="48">
        <f t="shared" si="0"/>
        <v>0</v>
      </c>
      <c r="P10" s="11">
        <f t="shared" si="1"/>
        <v>8</v>
      </c>
      <c r="Q10" s="11">
        <f t="shared" si="2"/>
        <v>0</v>
      </c>
      <c r="R10" s="11">
        <f t="shared" ref="R10:R17" si="8">IF(C10,IF($B$7&lt;0,,MIN($B$7-C10,$B$7)),)</f>
        <v>-7.29</v>
      </c>
      <c r="S10" s="11">
        <f t="shared" si="3"/>
        <v>0</v>
      </c>
      <c r="T10" s="11">
        <f t="shared" si="4"/>
        <v>0</v>
      </c>
      <c r="U10" s="51">
        <f t="shared" si="5"/>
        <v>0</v>
      </c>
      <c r="V10" s="54" t="str">
        <f t="shared" si="6"/>
        <v xml:space="preserve">8, </v>
      </c>
      <c r="W10" s="29">
        <f t="shared" si="7"/>
        <v>0</v>
      </c>
      <c r="X10" s="29">
        <f>IF(T10,TEXT(C10,"#")&amp;IF(ISNUMBER(E10),TEXT(E10,", #%"),", "&amp;E10),)</f>
        <v>0</v>
      </c>
      <c r="Y10" s="30">
        <f t="shared" ref="Y10:Y17" si="9">IF(U10,TEXT(B10,"#")&amp;TEXT(D10,", #%"),)</f>
        <v>0</v>
      </c>
    </row>
    <row r="11" spans="1:25">
      <c r="A11" s="55"/>
      <c r="B11" s="63"/>
      <c r="C11" s="68">
        <v>7</v>
      </c>
      <c r="D11" s="19"/>
      <c r="E11" s="20"/>
      <c r="F11" s="22" t="str">
        <f t="array" ref="F11">IF(AND(ISNUMBER(B11:C11)),IF(OR($B$7&lt;C11,$D$7&lt;E11),"Downside must be &lt; Central",IF(OR($B$7&gt;B11,$D$7&gt;D11),"Upside must be &gt; Central","OK")),"Enter numeric data")</f>
        <v>Enter numeric data</v>
      </c>
      <c r="O11" s="48">
        <f t="shared" si="0"/>
        <v>0</v>
      </c>
      <c r="P11" s="11">
        <f t="shared" si="1"/>
        <v>7</v>
      </c>
      <c r="Q11" s="11">
        <f t="shared" si="2"/>
        <v>0</v>
      </c>
      <c r="R11" s="11">
        <f t="shared" si="8"/>
        <v>-6.29</v>
      </c>
      <c r="S11" s="11">
        <f t="shared" si="3"/>
        <v>0</v>
      </c>
      <c r="T11" s="11">
        <f t="shared" si="4"/>
        <v>0</v>
      </c>
      <c r="U11" s="51">
        <f t="shared" si="5"/>
        <v>0</v>
      </c>
      <c r="V11" s="54" t="str">
        <f t="shared" si="6"/>
        <v xml:space="preserve">7, </v>
      </c>
      <c r="W11" s="29">
        <f t="shared" si="7"/>
        <v>0</v>
      </c>
      <c r="X11" s="29">
        <f t="shared" ref="X11:X17" si="10">IF(T11,TEXT(C11,"#")&amp;IF(ISNUMBER(E11),TEXT(E11,", #%"),", "&amp;E11),)</f>
        <v>0</v>
      </c>
      <c r="Y11" s="30">
        <f t="shared" si="9"/>
        <v>0</v>
      </c>
    </row>
    <row r="12" spans="1:25">
      <c r="A12" s="55"/>
      <c r="B12" s="63"/>
      <c r="C12" s="68">
        <v>6</v>
      </c>
      <c r="D12" s="19"/>
      <c r="E12" s="20"/>
      <c r="F12" s="22" t="str">
        <f t="array" ref="F12">IF(AND(ISNUMBER(B12:C12)),IF(OR($B$7&lt;C12,$D$7&lt;E12),"Downside must be &lt; Central",IF(OR($B$7&gt;B12,$D$7&gt;D12),"Upside must be &gt; Central","OK")),"Enter numeric data")</f>
        <v>Enter numeric data</v>
      </c>
      <c r="O12" s="48">
        <f t="shared" si="0"/>
        <v>0</v>
      </c>
      <c r="P12" s="11">
        <f t="shared" si="1"/>
        <v>6</v>
      </c>
      <c r="Q12" s="11">
        <f t="shared" si="2"/>
        <v>0</v>
      </c>
      <c r="R12" s="11">
        <f t="shared" si="8"/>
        <v>-5.29</v>
      </c>
      <c r="S12" s="11">
        <f t="shared" si="3"/>
        <v>0</v>
      </c>
      <c r="T12" s="11">
        <f t="shared" si="4"/>
        <v>0</v>
      </c>
      <c r="U12" s="51">
        <f t="shared" si="5"/>
        <v>0</v>
      </c>
      <c r="V12" s="54" t="str">
        <f t="shared" si="6"/>
        <v xml:space="preserve">6, </v>
      </c>
      <c r="W12" s="29">
        <f t="shared" si="7"/>
        <v>0</v>
      </c>
      <c r="X12" s="29">
        <f t="shared" si="10"/>
        <v>0</v>
      </c>
      <c r="Y12" s="30">
        <f t="shared" si="9"/>
        <v>0</v>
      </c>
    </row>
    <row r="13" spans="1:25">
      <c r="A13" s="55"/>
      <c r="B13" s="63"/>
      <c r="C13" s="68">
        <v>7</v>
      </c>
      <c r="D13" s="19"/>
      <c r="E13" s="20"/>
      <c r="F13" s="22" t="str">
        <f t="array" ref="F13">IF(AND(ISNUMBER(B13:C13)),IF(OR($B$7&lt;C13,$D$7&lt;E13),"Downside must be &lt; Central",IF(OR($B$7&gt;B13,$D$7&gt;D13),"Upside must be &gt; Central","OK")),"Enter numeric data")</f>
        <v>Enter numeric data</v>
      </c>
      <c r="O13" s="48">
        <f t="shared" si="0"/>
        <v>0</v>
      </c>
      <c r="P13" s="11">
        <f t="shared" si="1"/>
        <v>7</v>
      </c>
      <c r="Q13" s="11">
        <f t="shared" si="2"/>
        <v>0</v>
      </c>
      <c r="R13" s="11">
        <f t="shared" si="8"/>
        <v>-6.29</v>
      </c>
      <c r="S13" s="11">
        <f t="shared" si="3"/>
        <v>0</v>
      </c>
      <c r="T13" s="11">
        <f t="shared" si="4"/>
        <v>0</v>
      </c>
      <c r="U13" s="51">
        <f t="shared" si="5"/>
        <v>0</v>
      </c>
      <c r="V13" s="54" t="str">
        <f t="shared" si="6"/>
        <v xml:space="preserve">7, </v>
      </c>
      <c r="W13" s="29">
        <f t="shared" si="7"/>
        <v>0</v>
      </c>
      <c r="X13" s="29">
        <f t="shared" si="10"/>
        <v>0</v>
      </c>
      <c r="Y13" s="30">
        <f t="shared" si="9"/>
        <v>0</v>
      </c>
    </row>
    <row r="14" spans="1:25">
      <c r="A14" s="55"/>
      <c r="B14" s="63"/>
      <c r="C14" s="68">
        <v>8</v>
      </c>
      <c r="D14" s="19"/>
      <c r="E14" s="20"/>
      <c r="F14" s="22" t="str">
        <f t="array" ref="F14">IF(AND(ISNUMBER(B14:C14)),IF(OR($B$7&lt;C14,$D$7&lt;E14),"Downside must be &lt; Central",IF(OR($B$7&gt;B14,$D$7&gt;D14),"Upside must be &gt; Central","OK")),"Enter numeric data")</f>
        <v>Enter numeric data</v>
      </c>
      <c r="O14" s="48">
        <f t="shared" si="0"/>
        <v>0</v>
      </c>
      <c r="P14" s="11">
        <f t="shared" si="1"/>
        <v>8</v>
      </c>
      <c r="Q14" s="11">
        <f t="shared" si="2"/>
        <v>0</v>
      </c>
      <c r="R14" s="11">
        <f t="shared" si="8"/>
        <v>-7.29</v>
      </c>
      <c r="S14" s="11">
        <f t="shared" si="3"/>
        <v>0</v>
      </c>
      <c r="T14" s="11">
        <f>IF(C14,C14-$B$7+R14,)</f>
        <v>0</v>
      </c>
      <c r="U14" s="51">
        <f t="shared" si="5"/>
        <v>0</v>
      </c>
      <c r="V14" s="54" t="str">
        <f t="shared" si="6"/>
        <v xml:space="preserve">8, </v>
      </c>
      <c r="W14" s="29">
        <f t="shared" si="7"/>
        <v>0</v>
      </c>
      <c r="X14" s="29">
        <f t="shared" si="10"/>
        <v>0</v>
      </c>
      <c r="Y14" s="30">
        <f t="shared" si="9"/>
        <v>0</v>
      </c>
    </row>
    <row r="15" spans="1:25">
      <c r="A15" s="55"/>
      <c r="B15" s="63"/>
      <c r="C15" s="68">
        <v>9</v>
      </c>
      <c r="D15" s="19"/>
      <c r="E15" s="20"/>
      <c r="F15" s="22" t="str">
        <f t="array" ref="F15">IF(AND(ISNUMBER(B15:C15)),IF(OR($B$7&lt;C15,$D$7&lt;E15),"Downside must be &lt; Central",IF(OR($B$7&gt;B15,$D$7&gt;D15),"Upside must be &gt; Central","OK")),"Enter numeric data")</f>
        <v>Enter numeric data</v>
      </c>
      <c r="O15" s="48">
        <f t="shared" si="0"/>
        <v>0</v>
      </c>
      <c r="P15" s="11">
        <f t="shared" si="1"/>
        <v>9</v>
      </c>
      <c r="Q15" s="11">
        <f t="shared" si="2"/>
        <v>0</v>
      </c>
      <c r="R15" s="11">
        <f t="shared" si="8"/>
        <v>-8.2899999999999991</v>
      </c>
      <c r="S15" s="11">
        <f t="shared" si="3"/>
        <v>0</v>
      </c>
      <c r="T15" s="11">
        <f t="shared" ref="T15:T17" si="11">IF(C15,C15-$B$7+R15,)</f>
        <v>0</v>
      </c>
      <c r="U15" s="51">
        <f t="shared" si="5"/>
        <v>0</v>
      </c>
      <c r="V15" s="54" t="str">
        <f t="shared" si="6"/>
        <v xml:space="preserve">9, </v>
      </c>
      <c r="W15" s="29">
        <f t="shared" si="7"/>
        <v>0</v>
      </c>
      <c r="X15" s="29">
        <f t="shared" si="10"/>
        <v>0</v>
      </c>
      <c r="Y15" s="30">
        <f t="shared" si="9"/>
        <v>0</v>
      </c>
    </row>
    <row r="16" spans="1:25" ht="25.5" hidden="1">
      <c r="A16" s="55" t="s">
        <v>36</v>
      </c>
      <c r="B16" s="38"/>
      <c r="C16" s="39"/>
      <c r="D16" s="19"/>
      <c r="E16" s="20"/>
      <c r="F16" s="22" t="str">
        <f t="array" ref="F16">IF(AND(ISNUMBER(B16:C16)),IF(OR($B$7&lt;C16,$D$7&lt;E16),"Downside must be &lt; Central",IF(OR($B$7&gt;B16,$D$7&gt;D16),"Upside must be &gt; Central","OK")),"Enter numeric data")</f>
        <v>Enter numeric data</v>
      </c>
      <c r="O16" s="48" t="str">
        <f t="shared" si="0"/>
        <v>Other
down, up (units)</v>
      </c>
      <c r="P16" s="11">
        <f t="shared" si="1"/>
        <v>0</v>
      </c>
      <c r="Q16" s="11">
        <f t="shared" si="2"/>
        <v>0</v>
      </c>
      <c r="R16" s="11">
        <f t="shared" si="8"/>
        <v>0</v>
      </c>
      <c r="S16" s="11">
        <f t="shared" si="3"/>
        <v>0</v>
      </c>
      <c r="T16" s="11">
        <f t="shared" si="11"/>
        <v>0</v>
      </c>
      <c r="U16" s="51">
        <f>IF(B16,B16-$B$7+S16,)</f>
        <v>0</v>
      </c>
      <c r="V16" s="54">
        <f t="shared" si="6"/>
        <v>0</v>
      </c>
      <c r="W16" s="29">
        <f>IF(U16,,IF(S16,TEXT(B16,"#")&amp;TEXT(D16,", #%"),))</f>
        <v>0</v>
      </c>
      <c r="X16" s="29">
        <f t="shared" si="10"/>
        <v>0</v>
      </c>
      <c r="Y16" s="30">
        <f t="shared" si="9"/>
        <v>0</v>
      </c>
    </row>
    <row r="17" spans="1:25" ht="25.5" hidden="1">
      <c r="A17" s="58" t="s">
        <v>36</v>
      </c>
      <c r="B17" s="61">
        <f>B7</f>
        <v>0.71</v>
      </c>
      <c r="C17" s="62">
        <f>B7-0.721</f>
        <v>-1.100000000000001E-2</v>
      </c>
      <c r="D17" s="59">
        <f>D7</f>
        <v>0.31</v>
      </c>
      <c r="E17" s="60">
        <f>D7-23.6%</f>
        <v>7.3999999999999982E-2</v>
      </c>
      <c r="F17" s="22" t="str">
        <f t="array" ref="F17">IF(AND(ISNUMBER(B17:C17)),IF(OR($B$7&lt;C17,$D$7&lt;E17),"Downside must be &lt; Central",IF(OR($B$7&gt;B17,$D$7&gt;D17),"Upside must be &gt; Central","OK")),"Enter numeric data")</f>
        <v>OK</v>
      </c>
      <c r="O17" s="49" t="str">
        <f t="shared" si="0"/>
        <v>Other
down, up (units)</v>
      </c>
      <c r="P17" s="12">
        <f t="shared" si="1"/>
        <v>0</v>
      </c>
      <c r="Q17" s="12">
        <f t="shared" si="2"/>
        <v>0</v>
      </c>
      <c r="R17" s="12">
        <f t="shared" si="8"/>
        <v>0.71</v>
      </c>
      <c r="S17" s="12">
        <f t="shared" si="3"/>
        <v>0</v>
      </c>
      <c r="T17" s="12">
        <f t="shared" si="11"/>
        <v>-1.100000000000001E-2</v>
      </c>
      <c r="U17" s="52">
        <f>IF(B17,B17-$B$7+S17,)</f>
        <v>0</v>
      </c>
      <c r="V17" s="54">
        <f t="shared" si="6"/>
        <v>0</v>
      </c>
      <c r="W17" s="28">
        <f t="shared" ref="W17" si="12">IF(U17,,IF(S17,TEXT(B17,"#")&amp;TEXT(D17,", #%"),))</f>
        <v>0</v>
      </c>
      <c r="X17" s="29" t="str">
        <f t="shared" si="10"/>
        <v>, 7%</v>
      </c>
      <c r="Y17" s="31">
        <f t="shared" si="9"/>
        <v>0</v>
      </c>
    </row>
    <row r="19" spans="1:25" ht="15.75" thickBot="1">
      <c r="A19" s="1" t="s">
        <v>21</v>
      </c>
    </row>
  </sheetData>
  <sheetProtection formatCells="0" formatRows="0"/>
  <conditionalFormatting sqref="B7">
    <cfRule type="expression" dxfId="9" priority="47">
      <formula>NOT(ISNUMBER(B7))</formula>
    </cfRule>
    <cfRule type="expression" dxfId="8" priority="48">
      <formula>B7&lt;$B$7</formula>
    </cfRule>
  </conditionalFormatting>
  <conditionalFormatting sqref="B9:B17">
    <cfRule type="expression" dxfId="7" priority="8">
      <formula>B9&lt;$B$7</formula>
    </cfRule>
  </conditionalFormatting>
  <conditionalFormatting sqref="B9:E17">
    <cfRule type="expression" dxfId="6" priority="1">
      <formula>NOT(ISNUMBER(B9))</formula>
    </cfRule>
  </conditionalFormatting>
  <conditionalFormatting sqref="C9:C17">
    <cfRule type="expression" dxfId="5" priority="6">
      <formula>$B$7&lt;C9</formula>
    </cfRule>
  </conditionalFormatting>
  <conditionalFormatting sqref="D7">
    <cfRule type="expression" dxfId="4" priority="45">
      <formula>NOT(ISNUMBER(D7))</formula>
    </cfRule>
    <cfRule type="expression" dxfId="3" priority="46">
      <formula>D7&lt;E7</formula>
    </cfRule>
  </conditionalFormatting>
  <conditionalFormatting sqref="D9:D17">
    <cfRule type="expression" dxfId="2" priority="4">
      <formula>D9&lt;$D$7</formula>
    </cfRule>
  </conditionalFormatting>
  <conditionalFormatting sqref="E9:E17">
    <cfRule type="expression" dxfId="1" priority="2">
      <formula>E9&gt;$D$7</formula>
    </cfRule>
  </conditionalFormatting>
  <conditionalFormatting sqref="F9:F17">
    <cfRule type="cellIs" dxfId="0" priority="57" operator="notEqual">
      <formula>"OK"</formula>
    </cfRule>
  </conditionalFormatting>
  <hyperlinks>
    <hyperlink ref="A1" location="Contents!A1" tooltip="Go to Index. Click once to follow. Click and hold to select this cell." display="GIAAP Finance Charts Template" xr:uid="{00000000-0004-0000-0200-000000000000}"/>
  </hyperlinks>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3BFF9-BF8A-4871-AD44-10F93EC3EAE9}">
  <dimension ref="B2:AE86"/>
  <sheetViews>
    <sheetView zoomScale="90" zoomScaleNormal="90" workbookViewId="0">
      <selection activeCell="E53" sqref="E53"/>
    </sheetView>
  </sheetViews>
  <sheetFormatPr defaultColWidth="8.42578125" defaultRowHeight="14.25"/>
  <cols>
    <col min="1" max="1" width="8.42578125" style="77"/>
    <col min="2" max="2" width="33.7109375" style="77" bestFit="1" customWidth="1"/>
    <col min="3" max="31" width="8.42578125" style="76"/>
    <col min="32" max="16384" width="8.42578125" style="77"/>
  </cols>
  <sheetData>
    <row r="2" spans="2:31" ht="18">
      <c r="B2" s="75" t="s">
        <v>114</v>
      </c>
    </row>
    <row r="3" spans="2:31">
      <c r="B3" s="78" t="s">
        <v>607</v>
      </c>
    </row>
    <row r="4" spans="2:31" ht="15" thickBot="1">
      <c r="B4" s="79"/>
      <c r="C4" s="80"/>
      <c r="D4" s="80"/>
      <c r="E4" s="80"/>
      <c r="F4" s="80"/>
      <c r="G4" s="80"/>
      <c r="H4" s="80"/>
      <c r="I4" s="80"/>
      <c r="J4" s="80"/>
      <c r="K4" s="80"/>
      <c r="L4" s="80"/>
      <c r="M4" s="80"/>
      <c r="N4" s="80"/>
      <c r="O4" s="80"/>
      <c r="P4" s="80"/>
      <c r="Q4" s="80"/>
      <c r="R4" s="80"/>
      <c r="S4" s="80"/>
      <c r="T4" s="80"/>
      <c r="U4" s="80"/>
      <c r="V4" s="80"/>
      <c r="W4" s="80"/>
      <c r="X4" s="80"/>
      <c r="Y4" s="80"/>
      <c r="Z4" s="80"/>
      <c r="AA4" s="80"/>
      <c r="AB4" s="80"/>
      <c r="AC4" s="80"/>
      <c r="AD4" s="80"/>
      <c r="AE4" s="80"/>
    </row>
    <row r="5" spans="2:31">
      <c r="B5" s="81"/>
    </row>
    <row r="6" spans="2:31" ht="15">
      <c r="B6" s="81" t="s">
        <v>115</v>
      </c>
      <c r="C6" s="82">
        <v>2022</v>
      </c>
      <c r="D6" s="83">
        <v>2023</v>
      </c>
      <c r="E6" s="83">
        <v>2024</v>
      </c>
      <c r="F6" s="83">
        <v>2025</v>
      </c>
      <c r="G6" s="83">
        <v>2026</v>
      </c>
      <c r="H6" s="83">
        <v>2027</v>
      </c>
      <c r="I6" s="83">
        <v>2028</v>
      </c>
      <c r="J6" s="83">
        <v>2029</v>
      </c>
      <c r="K6" s="83">
        <v>2030</v>
      </c>
      <c r="L6" s="83">
        <v>2031</v>
      </c>
      <c r="M6" s="83">
        <v>2032</v>
      </c>
      <c r="N6" s="83">
        <v>2033</v>
      </c>
      <c r="O6" s="83">
        <v>2034</v>
      </c>
      <c r="P6" s="83">
        <v>2035</v>
      </c>
      <c r="Q6" s="83">
        <v>2036</v>
      </c>
      <c r="R6" s="83">
        <v>2037</v>
      </c>
      <c r="S6" s="83">
        <v>2038</v>
      </c>
      <c r="T6" s="83">
        <v>2039</v>
      </c>
      <c r="U6" s="83">
        <v>2040</v>
      </c>
      <c r="V6" s="83">
        <v>2041</v>
      </c>
      <c r="W6" s="83">
        <v>2042</v>
      </c>
      <c r="X6" s="83">
        <v>2043</v>
      </c>
      <c r="Y6" s="83">
        <v>2044</v>
      </c>
      <c r="Z6" s="83">
        <v>2045</v>
      </c>
      <c r="AA6" s="83">
        <v>2046</v>
      </c>
      <c r="AB6" s="83">
        <v>2047</v>
      </c>
      <c r="AC6" s="83">
        <v>2048</v>
      </c>
      <c r="AD6" s="83">
        <v>2049</v>
      </c>
      <c r="AE6" s="83">
        <v>2050</v>
      </c>
    </row>
    <row r="7" spans="2:31">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row>
    <row r="8" spans="2:31">
      <c r="B8" s="85" t="s">
        <v>116</v>
      </c>
      <c r="C8" s="86">
        <v>9.27</v>
      </c>
      <c r="D8" s="87">
        <v>9.3000000000000007</v>
      </c>
      <c r="E8" s="87">
        <v>6.02</v>
      </c>
      <c r="F8" s="87">
        <v>5</v>
      </c>
      <c r="G8" s="87">
        <v>4.25</v>
      </c>
      <c r="H8" s="87">
        <v>4.18</v>
      </c>
      <c r="I8" s="87">
        <v>3.97</v>
      </c>
      <c r="J8" s="87">
        <v>3.81</v>
      </c>
      <c r="K8" s="87">
        <v>3.74</v>
      </c>
      <c r="L8" s="87">
        <v>3.78</v>
      </c>
      <c r="M8" s="87">
        <v>3.81</v>
      </c>
      <c r="N8" s="87">
        <v>3.8</v>
      </c>
      <c r="O8" s="87">
        <v>3.78</v>
      </c>
      <c r="P8" s="87">
        <v>3.73</v>
      </c>
      <c r="Q8" s="87">
        <v>3.69</v>
      </c>
      <c r="R8" s="87">
        <v>3.66</v>
      </c>
      <c r="S8" s="87">
        <v>3.62</v>
      </c>
      <c r="T8" s="87">
        <v>3.57</v>
      </c>
      <c r="U8" s="87">
        <v>3.53</v>
      </c>
      <c r="V8" s="87">
        <v>3.52</v>
      </c>
      <c r="W8" s="87">
        <v>3.5</v>
      </c>
      <c r="X8" s="87">
        <v>3.49</v>
      </c>
      <c r="Y8" s="87">
        <v>3.5</v>
      </c>
      <c r="Z8" s="87">
        <v>3.5</v>
      </c>
      <c r="AA8" s="87">
        <v>3.54</v>
      </c>
      <c r="AB8" s="87">
        <v>3.57</v>
      </c>
      <c r="AC8" s="87">
        <v>3.58</v>
      </c>
      <c r="AD8" s="87">
        <v>3.56</v>
      </c>
      <c r="AE8" s="87">
        <v>3.54</v>
      </c>
    </row>
    <row r="9" spans="2:31">
      <c r="B9" s="85" t="s">
        <v>117</v>
      </c>
      <c r="C9" s="86">
        <v>21.74</v>
      </c>
      <c r="D9" s="87">
        <v>14.4</v>
      </c>
      <c r="E9" s="87">
        <v>18.84</v>
      </c>
      <c r="F9" s="87">
        <v>10.654999999999999</v>
      </c>
      <c r="G9" s="87">
        <v>8.92</v>
      </c>
      <c r="H9" s="87">
        <v>8.1999999999999993</v>
      </c>
      <c r="I9" s="87">
        <v>8.3099999999999987</v>
      </c>
      <c r="J9" s="87">
        <v>8.0250000000000004</v>
      </c>
      <c r="K9" s="87">
        <v>7.53</v>
      </c>
      <c r="L9" s="87">
        <v>6.79</v>
      </c>
      <c r="M9" s="87">
        <v>6.9450000000000003</v>
      </c>
      <c r="N9" s="87">
        <v>6.9550000000000001</v>
      </c>
      <c r="O9" s="87">
        <v>7.2050000000000001</v>
      </c>
      <c r="P9" s="87">
        <v>7.38</v>
      </c>
      <c r="Q9" s="87">
        <v>7.415</v>
      </c>
      <c r="R9" s="87">
        <v>7.2799999999999994</v>
      </c>
      <c r="S9" s="87">
        <v>7.1099999999999994</v>
      </c>
      <c r="T9" s="87">
        <v>7.04</v>
      </c>
      <c r="U9" s="87">
        <v>6.9950000000000001</v>
      </c>
      <c r="V9" s="87">
        <v>7.05</v>
      </c>
      <c r="W9" s="87">
        <v>7.165</v>
      </c>
      <c r="X9" s="87">
        <v>7.2450000000000001</v>
      </c>
      <c r="Y9" s="87">
        <v>7.2850000000000001</v>
      </c>
      <c r="Z9" s="87">
        <v>7.3</v>
      </c>
      <c r="AA9" s="87">
        <v>7.2750000000000004</v>
      </c>
      <c r="AB9" s="87">
        <v>7.2850000000000001</v>
      </c>
      <c r="AC9" s="87">
        <v>7.3550000000000004</v>
      </c>
      <c r="AD9" s="87">
        <v>7.4049999999999994</v>
      </c>
      <c r="AE9" s="87">
        <v>7.4399999999999995</v>
      </c>
    </row>
    <row r="10" spans="2:31">
      <c r="B10" s="85" t="s">
        <v>118</v>
      </c>
      <c r="C10" s="86">
        <v>73.13</v>
      </c>
      <c r="D10" s="87">
        <v>134.04</v>
      </c>
      <c r="E10" s="87">
        <v>295.04000000000002</v>
      </c>
      <c r="F10" s="87">
        <v>60.81</v>
      </c>
      <c r="G10" s="87">
        <v>20.22</v>
      </c>
      <c r="H10" s="87">
        <v>10.35</v>
      </c>
      <c r="I10" s="87">
        <v>2.23</v>
      </c>
      <c r="J10" s="87">
        <v>0.56000000000000005</v>
      </c>
      <c r="K10" s="87">
        <v>0.22</v>
      </c>
      <c r="L10" s="87">
        <v>0.38</v>
      </c>
      <c r="M10" s="87">
        <v>0.56000000000000005</v>
      </c>
      <c r="N10" s="87">
        <v>0.75</v>
      </c>
      <c r="O10" s="87">
        <v>0.73</v>
      </c>
      <c r="P10" s="87">
        <v>0.55000000000000004</v>
      </c>
      <c r="Q10" s="87">
        <v>0.4</v>
      </c>
      <c r="R10" s="87">
        <v>0.27</v>
      </c>
      <c r="S10" s="87">
        <v>0.24</v>
      </c>
      <c r="T10" s="87">
        <v>0.28999999999999998</v>
      </c>
      <c r="U10" s="87">
        <v>0.45</v>
      </c>
      <c r="V10" s="87">
        <v>0.66</v>
      </c>
      <c r="W10" s="87">
        <v>0.93</v>
      </c>
      <c r="X10" s="87">
        <v>1.23</v>
      </c>
      <c r="Y10" s="87">
        <v>1.53</v>
      </c>
      <c r="Z10" s="87">
        <v>1.83</v>
      </c>
      <c r="AA10" s="87">
        <v>2.12</v>
      </c>
      <c r="AB10" s="87">
        <v>2.4500000000000002</v>
      </c>
      <c r="AC10" s="87">
        <v>2.81</v>
      </c>
      <c r="AD10" s="87">
        <v>3.19</v>
      </c>
      <c r="AE10" s="87">
        <v>3.5</v>
      </c>
    </row>
    <row r="11" spans="2:31">
      <c r="B11" s="85" t="s">
        <v>119</v>
      </c>
      <c r="C11" s="86">
        <v>6.61</v>
      </c>
      <c r="D11" s="87">
        <v>5.59</v>
      </c>
      <c r="E11" s="87">
        <v>3.26</v>
      </c>
      <c r="F11" s="87">
        <v>2.8200000000000003</v>
      </c>
      <c r="G11" s="87">
        <v>2.5299999999999998</v>
      </c>
      <c r="H11" s="87">
        <v>2.605</v>
      </c>
      <c r="I11" s="87">
        <v>2.5149999999999997</v>
      </c>
      <c r="J11" s="87">
        <v>2.5149999999999997</v>
      </c>
      <c r="K11" s="87">
        <v>2.5049999999999999</v>
      </c>
      <c r="L11" s="87">
        <v>2.4850000000000003</v>
      </c>
      <c r="M11" s="87">
        <v>2.4500000000000002</v>
      </c>
      <c r="N11" s="87">
        <v>2.4450000000000003</v>
      </c>
      <c r="O11" s="87">
        <v>2.4450000000000003</v>
      </c>
      <c r="P11" s="87">
        <v>2.4249999999999998</v>
      </c>
      <c r="Q11" s="87">
        <v>2.4050000000000002</v>
      </c>
      <c r="R11" s="87">
        <v>2.395</v>
      </c>
      <c r="S11" s="87">
        <v>2.3899999999999997</v>
      </c>
      <c r="T11" s="87">
        <v>2.3899999999999997</v>
      </c>
      <c r="U11" s="87">
        <v>2.3849999999999998</v>
      </c>
      <c r="V11" s="87">
        <v>2.37</v>
      </c>
      <c r="W11" s="87">
        <v>2.3650000000000002</v>
      </c>
      <c r="X11" s="87">
        <v>2.355</v>
      </c>
      <c r="Y11" s="87">
        <v>2.35</v>
      </c>
      <c r="Z11" s="87">
        <v>2.355</v>
      </c>
      <c r="AA11" s="87">
        <v>2.3600000000000003</v>
      </c>
      <c r="AB11" s="87">
        <v>2.3600000000000003</v>
      </c>
      <c r="AC11" s="87">
        <v>2.355</v>
      </c>
      <c r="AD11" s="87">
        <v>2.35</v>
      </c>
      <c r="AE11" s="87">
        <v>2.3449999999999998</v>
      </c>
    </row>
    <row r="12" spans="2:31">
      <c r="B12" s="85" t="s">
        <v>120</v>
      </c>
      <c r="C12" s="86">
        <v>13.85</v>
      </c>
      <c r="D12" s="87">
        <v>10.440000000000001</v>
      </c>
      <c r="E12" s="87">
        <v>3.16</v>
      </c>
      <c r="F12" s="87">
        <v>6.5</v>
      </c>
      <c r="G12" s="87">
        <v>5.5949999999999998</v>
      </c>
      <c r="H12" s="87">
        <v>5.65</v>
      </c>
      <c r="I12" s="87">
        <v>5.43</v>
      </c>
      <c r="J12" s="87">
        <v>5.32</v>
      </c>
      <c r="K12" s="87">
        <v>5.2</v>
      </c>
      <c r="L12" s="87">
        <v>5.085</v>
      </c>
      <c r="M12" s="87">
        <v>4.99</v>
      </c>
      <c r="N12" s="87">
        <v>4.8949999999999996</v>
      </c>
      <c r="O12" s="87">
        <v>4.8049999999999997</v>
      </c>
      <c r="P12" s="87">
        <v>4.7300000000000004</v>
      </c>
      <c r="Q12" s="87">
        <v>4.6550000000000002</v>
      </c>
      <c r="R12" s="87">
        <v>4.59</v>
      </c>
      <c r="S12" s="87">
        <v>4.5200000000000005</v>
      </c>
      <c r="T12" s="87">
        <v>4.4649999999999999</v>
      </c>
      <c r="U12" s="87">
        <v>4.4049999999999994</v>
      </c>
      <c r="V12" s="87">
        <v>4.3549999999999995</v>
      </c>
      <c r="W12" s="87">
        <v>4.3049999999999997</v>
      </c>
      <c r="X12" s="87">
        <v>4.2549999999999999</v>
      </c>
      <c r="Y12" s="87">
        <v>4.2149999999999999</v>
      </c>
      <c r="Z12" s="87">
        <v>4.17</v>
      </c>
      <c r="AA12" s="87">
        <v>4.13</v>
      </c>
      <c r="AB12" s="87">
        <v>4.09</v>
      </c>
      <c r="AC12" s="87">
        <v>4.0599999999999996</v>
      </c>
      <c r="AD12" s="87">
        <v>4.0199999999999996</v>
      </c>
      <c r="AE12" s="87">
        <v>3.99</v>
      </c>
    </row>
    <row r="13" spans="2:31">
      <c r="B13" s="85" t="s">
        <v>121</v>
      </c>
      <c r="C13" s="86">
        <v>7.7</v>
      </c>
      <c r="D13" s="87">
        <v>9.8550000000000004</v>
      </c>
      <c r="E13" s="87">
        <v>7.5600000000000005</v>
      </c>
      <c r="F13" s="87">
        <v>6.0049999999999999</v>
      </c>
      <c r="G13" s="87">
        <v>6.0049999999999999</v>
      </c>
      <c r="H13" s="87">
        <v>5.5250000000000004</v>
      </c>
      <c r="I13" s="87">
        <v>5.4749999999999996</v>
      </c>
      <c r="J13" s="87">
        <v>5.5250000000000004</v>
      </c>
      <c r="K13" s="87">
        <v>5.5449999999999999</v>
      </c>
      <c r="L13" s="87">
        <v>5.55</v>
      </c>
      <c r="M13" s="87">
        <v>5.5449999999999999</v>
      </c>
      <c r="N13" s="87">
        <v>5.54</v>
      </c>
      <c r="O13" s="87">
        <v>5.5250000000000004</v>
      </c>
      <c r="P13" s="87">
        <v>5.5049999999999999</v>
      </c>
      <c r="Q13" s="87">
        <v>5.48</v>
      </c>
      <c r="R13" s="87">
        <v>5.46</v>
      </c>
      <c r="S13" s="87">
        <v>5.4450000000000003</v>
      </c>
      <c r="T13" s="87">
        <v>5.4350000000000005</v>
      </c>
      <c r="U13" s="87">
        <v>5.4249999999999998</v>
      </c>
      <c r="V13" s="87">
        <v>5.415</v>
      </c>
      <c r="W13" s="87">
        <v>5.4049999999999994</v>
      </c>
      <c r="X13" s="87">
        <v>5.3900000000000006</v>
      </c>
      <c r="Y13" s="87">
        <v>5.38</v>
      </c>
      <c r="Z13" s="87">
        <v>5.37</v>
      </c>
      <c r="AA13" s="87">
        <v>5.3599999999999994</v>
      </c>
      <c r="AB13" s="87">
        <v>5.3450000000000006</v>
      </c>
      <c r="AC13" s="87">
        <v>5.335</v>
      </c>
      <c r="AD13" s="87">
        <v>5.32</v>
      </c>
      <c r="AE13" s="87">
        <v>5.3100000000000005</v>
      </c>
    </row>
    <row r="14" spans="2:31">
      <c r="B14" s="85" t="s">
        <v>122</v>
      </c>
      <c r="C14" s="86">
        <v>9.2799999999999994</v>
      </c>
      <c r="D14" s="87">
        <v>4.59</v>
      </c>
      <c r="E14" s="87">
        <v>4.03</v>
      </c>
      <c r="F14" s="87">
        <v>3.415</v>
      </c>
      <c r="G14" s="87">
        <v>3.3499999999999996</v>
      </c>
      <c r="H14" s="87">
        <v>3.19</v>
      </c>
      <c r="I14" s="87">
        <v>3.17</v>
      </c>
      <c r="J14" s="87">
        <v>3.1749999999999998</v>
      </c>
      <c r="K14" s="87">
        <v>3.1799999999999997</v>
      </c>
      <c r="L14" s="87">
        <v>3.1799999999999997</v>
      </c>
      <c r="M14" s="87">
        <v>3.19</v>
      </c>
      <c r="N14" s="87">
        <v>3.2050000000000001</v>
      </c>
      <c r="O14" s="87">
        <v>3.1749999999999998</v>
      </c>
      <c r="P14" s="87">
        <v>3.1749999999999998</v>
      </c>
      <c r="Q14" s="87">
        <v>3.1550000000000002</v>
      </c>
      <c r="R14" s="87">
        <v>3.16</v>
      </c>
      <c r="S14" s="87">
        <v>3.1550000000000002</v>
      </c>
      <c r="T14" s="87">
        <v>3.1399999999999997</v>
      </c>
      <c r="U14" s="87">
        <v>3.1399999999999997</v>
      </c>
      <c r="V14" s="87">
        <v>3.13</v>
      </c>
      <c r="W14" s="87">
        <v>3.1150000000000002</v>
      </c>
      <c r="X14" s="87">
        <v>3.1100000000000003</v>
      </c>
      <c r="Y14" s="87">
        <v>3.1</v>
      </c>
      <c r="Z14" s="87">
        <v>3.105</v>
      </c>
      <c r="AA14" s="87">
        <v>3.1100000000000003</v>
      </c>
      <c r="AB14" s="87">
        <v>3.1150000000000002</v>
      </c>
      <c r="AC14" s="87">
        <v>3.105</v>
      </c>
      <c r="AD14" s="87">
        <v>3.1100000000000003</v>
      </c>
      <c r="AE14" s="87">
        <v>3.12</v>
      </c>
    </row>
    <row r="15" spans="2:31">
      <c r="B15" s="85" t="s">
        <v>123</v>
      </c>
      <c r="C15" s="86">
        <v>6.8</v>
      </c>
      <c r="D15" s="87">
        <v>3.88</v>
      </c>
      <c r="E15" s="87">
        <v>2.5449999999999999</v>
      </c>
      <c r="F15" s="87">
        <v>2.0599999999999996</v>
      </c>
      <c r="G15" s="87">
        <v>2.08</v>
      </c>
      <c r="H15" s="87">
        <v>2.12</v>
      </c>
      <c r="I15" s="87">
        <v>2.08</v>
      </c>
      <c r="J15" s="87">
        <v>2.0549999999999997</v>
      </c>
      <c r="K15" s="87">
        <v>2.04</v>
      </c>
      <c r="L15" s="87">
        <v>1.9849999999999999</v>
      </c>
      <c r="M15" s="87">
        <v>1.9949999999999999</v>
      </c>
      <c r="N15" s="87">
        <v>1.97</v>
      </c>
      <c r="O15" s="87">
        <v>1.9949999999999999</v>
      </c>
      <c r="P15" s="87">
        <v>1.9949999999999999</v>
      </c>
      <c r="Q15" s="87">
        <v>1.9849999999999999</v>
      </c>
      <c r="R15" s="87">
        <v>1.97</v>
      </c>
      <c r="S15" s="87">
        <v>1.9750000000000001</v>
      </c>
      <c r="T15" s="87">
        <v>1.9750000000000001</v>
      </c>
      <c r="U15" s="87">
        <v>2</v>
      </c>
      <c r="V15" s="87">
        <v>1.9949999999999999</v>
      </c>
      <c r="W15" s="87">
        <v>1.98</v>
      </c>
      <c r="X15" s="87">
        <v>1.99</v>
      </c>
      <c r="Y15" s="87">
        <v>2.0049999999999999</v>
      </c>
      <c r="Z15" s="87">
        <v>1.9950000000000001</v>
      </c>
      <c r="AA15" s="87">
        <v>1.9750000000000001</v>
      </c>
      <c r="AB15" s="87">
        <v>1.99</v>
      </c>
      <c r="AC15" s="87">
        <v>1.99</v>
      </c>
      <c r="AD15" s="87">
        <v>1.99</v>
      </c>
      <c r="AE15" s="87">
        <v>2</v>
      </c>
    </row>
    <row r="16" spans="2:31">
      <c r="B16" s="85" t="s">
        <v>124</v>
      </c>
      <c r="C16" s="86">
        <v>1.96</v>
      </c>
      <c r="D16" s="87">
        <v>0.24</v>
      </c>
      <c r="E16" s="87">
        <v>0.67999999999999994</v>
      </c>
      <c r="F16" s="87">
        <v>1.6850000000000001</v>
      </c>
      <c r="G16" s="87">
        <v>2.04</v>
      </c>
      <c r="H16" s="87">
        <v>2.2450000000000001</v>
      </c>
      <c r="I16" s="87">
        <v>2.2149999999999999</v>
      </c>
      <c r="J16" s="87">
        <v>2.16</v>
      </c>
      <c r="K16" s="87">
        <v>2.19</v>
      </c>
      <c r="L16" s="87">
        <v>2.21</v>
      </c>
      <c r="M16" s="87">
        <v>2.2249999999999996</v>
      </c>
      <c r="N16" s="87">
        <v>2.2349999999999999</v>
      </c>
      <c r="O16" s="87">
        <v>2.25</v>
      </c>
      <c r="P16" s="87">
        <v>2.2549999999999999</v>
      </c>
      <c r="Q16" s="87">
        <v>2.2549999999999999</v>
      </c>
      <c r="R16" s="87">
        <v>2.2549999999999999</v>
      </c>
      <c r="S16" s="87">
        <v>2.2649999999999997</v>
      </c>
      <c r="T16" s="87">
        <v>2.2799999999999998</v>
      </c>
      <c r="U16" s="87">
        <v>2.2799999999999998</v>
      </c>
      <c r="V16" s="87">
        <v>2.2799999999999998</v>
      </c>
      <c r="W16" s="87">
        <v>2.2799999999999998</v>
      </c>
      <c r="X16" s="87">
        <v>2.2850000000000001</v>
      </c>
      <c r="Y16" s="87">
        <v>2.2999999999999998</v>
      </c>
      <c r="Z16" s="87">
        <v>2.2999999999999998</v>
      </c>
      <c r="AA16" s="87">
        <v>2.2949999999999999</v>
      </c>
      <c r="AB16" s="87">
        <v>2.2999999999999998</v>
      </c>
      <c r="AC16" s="87">
        <v>2.2999999999999998</v>
      </c>
      <c r="AD16" s="87">
        <v>2.2999999999999998</v>
      </c>
      <c r="AE16" s="87">
        <v>2.2999999999999998</v>
      </c>
    </row>
    <row r="17" spans="2:31">
      <c r="B17" s="85" t="s">
        <v>125</v>
      </c>
      <c r="C17" s="86">
        <v>10.18</v>
      </c>
      <c r="D17" s="87">
        <v>11.74</v>
      </c>
      <c r="E17" s="87">
        <v>6.7050000000000001</v>
      </c>
      <c r="F17" s="87">
        <v>4</v>
      </c>
      <c r="G17" s="87">
        <v>3.1100000000000003</v>
      </c>
      <c r="H17" s="87">
        <v>3.17</v>
      </c>
      <c r="I17" s="87">
        <v>3.2800000000000002</v>
      </c>
      <c r="J17" s="87">
        <v>3.1550000000000002</v>
      </c>
      <c r="K17" s="87">
        <v>3.0649999999999999</v>
      </c>
      <c r="L17" s="87">
        <v>3.0149999999999997</v>
      </c>
      <c r="M17" s="87">
        <v>2.9699999999999998</v>
      </c>
      <c r="N17" s="87">
        <v>2.9350000000000001</v>
      </c>
      <c r="O17" s="87">
        <v>2.91</v>
      </c>
      <c r="P17" s="87">
        <v>2.88</v>
      </c>
      <c r="Q17" s="87">
        <v>2.855</v>
      </c>
      <c r="R17" s="87">
        <v>2.83</v>
      </c>
      <c r="S17" s="87">
        <v>2.81</v>
      </c>
      <c r="T17" s="87">
        <v>2.7949999999999999</v>
      </c>
      <c r="U17" s="87">
        <v>2.7749999999999999</v>
      </c>
      <c r="V17" s="87">
        <v>2.77</v>
      </c>
      <c r="W17" s="87">
        <v>2.7649999999999997</v>
      </c>
      <c r="X17" s="87">
        <v>2.76</v>
      </c>
      <c r="Y17" s="87">
        <v>2.75</v>
      </c>
      <c r="Z17" s="87">
        <v>2.74</v>
      </c>
      <c r="AA17" s="87">
        <v>2.74</v>
      </c>
      <c r="AB17" s="87">
        <v>2.7350000000000003</v>
      </c>
      <c r="AC17" s="87">
        <v>2.73</v>
      </c>
      <c r="AD17" s="87">
        <v>2.73</v>
      </c>
      <c r="AE17" s="87">
        <v>2.7250000000000001</v>
      </c>
    </row>
    <row r="18" spans="2:31">
      <c r="B18" s="85" t="s">
        <v>126</v>
      </c>
      <c r="C18" s="86">
        <v>14.955</v>
      </c>
      <c r="D18" s="87">
        <v>11.3</v>
      </c>
      <c r="E18" s="87">
        <v>2.4749999999999996</v>
      </c>
      <c r="F18" s="87">
        <v>1.98</v>
      </c>
      <c r="G18" s="87">
        <v>2.15</v>
      </c>
      <c r="H18" s="87">
        <v>2.1749999999999998</v>
      </c>
      <c r="I18" s="87">
        <v>2.1349999999999998</v>
      </c>
      <c r="J18" s="87">
        <v>2.0949999999999998</v>
      </c>
      <c r="K18" s="87">
        <v>2.08</v>
      </c>
      <c r="L18" s="87">
        <v>2.0549999999999997</v>
      </c>
      <c r="M18" s="87">
        <v>2.08</v>
      </c>
      <c r="N18" s="87">
        <v>2.13</v>
      </c>
      <c r="O18" s="87">
        <v>2.1</v>
      </c>
      <c r="P18" s="87">
        <v>2.0700000000000003</v>
      </c>
      <c r="Q18" s="87">
        <v>2.0049999999999999</v>
      </c>
      <c r="R18" s="87">
        <v>2.0099999999999998</v>
      </c>
      <c r="S18" s="87">
        <v>2.0099999999999998</v>
      </c>
      <c r="T18" s="87">
        <v>1.98</v>
      </c>
      <c r="U18" s="87">
        <v>2.0049999999999999</v>
      </c>
      <c r="V18" s="87">
        <v>2.0149999999999997</v>
      </c>
      <c r="W18" s="87">
        <v>1.9950000000000001</v>
      </c>
      <c r="X18" s="87">
        <v>2.0099999999999998</v>
      </c>
      <c r="Y18" s="87">
        <v>1.9950000000000001</v>
      </c>
      <c r="Z18" s="87">
        <v>2.0049999999999999</v>
      </c>
      <c r="AA18" s="87">
        <v>2.0149999999999997</v>
      </c>
      <c r="AB18" s="87">
        <v>2.04</v>
      </c>
      <c r="AC18" s="87">
        <v>2.0049999999999999</v>
      </c>
      <c r="AD18" s="87">
        <v>1.99</v>
      </c>
      <c r="AE18" s="87">
        <v>2.04</v>
      </c>
    </row>
    <row r="19" spans="2:31">
      <c r="B19" s="85" t="s">
        <v>127</v>
      </c>
      <c r="C19" s="86">
        <v>8.1150000000000002</v>
      </c>
      <c r="D19" s="87">
        <v>3.33</v>
      </c>
      <c r="E19" s="87">
        <v>1.9049999999999998</v>
      </c>
      <c r="F19" s="87">
        <v>1.8599999999999999</v>
      </c>
      <c r="G19" s="87">
        <v>1.885</v>
      </c>
      <c r="H19" s="87">
        <v>1.9950000000000001</v>
      </c>
      <c r="I19" s="87">
        <v>1.99</v>
      </c>
      <c r="J19" s="87">
        <v>1.9750000000000001</v>
      </c>
      <c r="K19" s="87">
        <v>2.0350000000000001</v>
      </c>
      <c r="L19" s="87">
        <v>1.9849999999999999</v>
      </c>
      <c r="M19" s="87">
        <v>2.0149999999999997</v>
      </c>
      <c r="N19" s="87">
        <v>2.04</v>
      </c>
      <c r="O19" s="87">
        <v>2.0449999999999999</v>
      </c>
      <c r="P19" s="87">
        <v>2.0499999999999998</v>
      </c>
      <c r="Q19" s="87">
        <v>2.0499999999999998</v>
      </c>
      <c r="R19" s="87">
        <v>2.0449999999999999</v>
      </c>
      <c r="S19" s="87">
        <v>2.04</v>
      </c>
      <c r="T19" s="87">
        <v>2.04</v>
      </c>
      <c r="U19" s="87">
        <v>2.0350000000000001</v>
      </c>
      <c r="V19" s="87">
        <v>2.0350000000000001</v>
      </c>
      <c r="W19" s="87">
        <v>2.0350000000000001</v>
      </c>
      <c r="X19" s="87">
        <v>2.0350000000000001</v>
      </c>
      <c r="Y19" s="87">
        <v>2.0300000000000002</v>
      </c>
      <c r="Z19" s="87">
        <v>2.0300000000000002</v>
      </c>
      <c r="AA19" s="87">
        <v>2.0249999999999999</v>
      </c>
      <c r="AB19" s="87">
        <v>2.02</v>
      </c>
      <c r="AC19" s="87">
        <v>2.0149999999999997</v>
      </c>
      <c r="AD19" s="87">
        <v>2.0099999999999998</v>
      </c>
      <c r="AE19" s="87">
        <v>2.0049999999999999</v>
      </c>
    </row>
    <row r="20" spans="2:31">
      <c r="B20" s="85" t="s">
        <v>128</v>
      </c>
      <c r="C20" s="86">
        <v>13.89</v>
      </c>
      <c r="D20" s="87">
        <v>33.885000000000005</v>
      </c>
      <c r="E20" s="87">
        <v>34.625</v>
      </c>
      <c r="F20" s="87">
        <v>20.630000000000003</v>
      </c>
      <c r="G20" s="87">
        <v>12.08</v>
      </c>
      <c r="H20" s="87">
        <v>9.15</v>
      </c>
      <c r="I20" s="87">
        <v>7.4649999999999999</v>
      </c>
      <c r="J20" s="87">
        <v>6.81</v>
      </c>
      <c r="K20" s="87">
        <v>6.7050000000000001</v>
      </c>
      <c r="L20" s="87">
        <v>6.3900000000000006</v>
      </c>
      <c r="M20" s="87">
        <v>6.26</v>
      </c>
      <c r="N20" s="87">
        <v>6.1050000000000004</v>
      </c>
      <c r="O20" s="87">
        <v>6.0350000000000001</v>
      </c>
      <c r="P20" s="87">
        <v>6.0649999999999995</v>
      </c>
      <c r="Q20" s="87">
        <v>6.125</v>
      </c>
      <c r="R20" s="87">
        <v>6.13</v>
      </c>
      <c r="S20" s="87">
        <v>6.085</v>
      </c>
      <c r="T20" s="87">
        <v>6.0600000000000005</v>
      </c>
      <c r="U20" s="87">
        <v>6.0649999999999995</v>
      </c>
      <c r="V20" s="87">
        <v>6.0749999999999993</v>
      </c>
      <c r="W20" s="87">
        <v>6.0449999999999999</v>
      </c>
      <c r="X20" s="87">
        <v>6.0449999999999999</v>
      </c>
      <c r="Y20" s="87">
        <v>6.0350000000000001</v>
      </c>
      <c r="Z20" s="87">
        <v>6.05</v>
      </c>
      <c r="AA20" s="87">
        <v>6.0749999999999993</v>
      </c>
      <c r="AB20" s="87">
        <v>6.09</v>
      </c>
      <c r="AC20" s="87">
        <v>6.07</v>
      </c>
      <c r="AD20" s="87">
        <v>6.0949999999999998</v>
      </c>
      <c r="AE20" s="87">
        <v>6.125</v>
      </c>
    </row>
    <row r="21" spans="2:31">
      <c r="B21" s="85" t="s">
        <v>129</v>
      </c>
      <c r="C21" s="86">
        <v>8.41</v>
      </c>
      <c r="D21" s="87">
        <v>5.41</v>
      </c>
      <c r="E21" s="87">
        <v>2.23</v>
      </c>
      <c r="F21" s="87">
        <v>1.625</v>
      </c>
      <c r="G21" s="87">
        <v>1.6600000000000001</v>
      </c>
      <c r="H21" s="87">
        <v>1.865</v>
      </c>
      <c r="I21" s="87">
        <v>1.95</v>
      </c>
      <c r="J21" s="87">
        <v>1.98</v>
      </c>
      <c r="K21" s="87">
        <v>1.97</v>
      </c>
      <c r="L21" s="87">
        <v>2.0049999999999999</v>
      </c>
      <c r="M21" s="87">
        <v>2.0449999999999999</v>
      </c>
      <c r="N21" s="87">
        <v>2.1150000000000002</v>
      </c>
      <c r="O21" s="87">
        <v>2.105</v>
      </c>
      <c r="P21" s="87">
        <v>2.105</v>
      </c>
      <c r="Q21" s="87">
        <v>2.0949999999999998</v>
      </c>
      <c r="R21" s="87">
        <v>2.0999999999999996</v>
      </c>
      <c r="S21" s="87">
        <v>2.0999999999999996</v>
      </c>
      <c r="T21" s="87">
        <v>2.085</v>
      </c>
      <c r="U21" s="87">
        <v>2.08</v>
      </c>
      <c r="V21" s="87">
        <v>2.085</v>
      </c>
      <c r="W21" s="87">
        <v>2.0499999999999998</v>
      </c>
      <c r="X21" s="87">
        <v>2.0449999999999999</v>
      </c>
      <c r="Y21" s="87">
        <v>2.0299999999999998</v>
      </c>
      <c r="Z21" s="87">
        <v>2.0249999999999999</v>
      </c>
      <c r="AA21" s="87">
        <v>2.0099999999999998</v>
      </c>
      <c r="AB21" s="87">
        <v>2.0149999999999997</v>
      </c>
      <c r="AC21" s="87">
        <v>2</v>
      </c>
      <c r="AD21" s="87">
        <v>1.9949999999999999</v>
      </c>
      <c r="AE21" s="87">
        <v>2.0049999999999999</v>
      </c>
    </row>
    <row r="22" spans="2:31">
      <c r="B22" s="85" t="s">
        <v>130</v>
      </c>
      <c r="C22" s="86">
        <v>11.9</v>
      </c>
      <c r="D22" s="87">
        <v>2.5550000000000002</v>
      </c>
      <c r="E22" s="87">
        <v>2.27</v>
      </c>
      <c r="F22" s="87">
        <v>3.37</v>
      </c>
      <c r="G22" s="87">
        <v>3.34</v>
      </c>
      <c r="H22" s="87">
        <v>3.3</v>
      </c>
      <c r="I22" s="87">
        <v>3.2050000000000001</v>
      </c>
      <c r="J22" s="87">
        <v>3.1349999999999998</v>
      </c>
      <c r="K22" s="87">
        <v>3.08</v>
      </c>
      <c r="L22" s="87">
        <v>2.8899999999999997</v>
      </c>
      <c r="M22" s="87">
        <v>2.8450000000000002</v>
      </c>
      <c r="N22" s="87">
        <v>2.92</v>
      </c>
      <c r="O22" s="87">
        <v>2.92</v>
      </c>
      <c r="P22" s="87">
        <v>2.96</v>
      </c>
      <c r="Q22" s="87">
        <v>2.9749999999999996</v>
      </c>
      <c r="R22" s="87">
        <v>2.98</v>
      </c>
      <c r="S22" s="87">
        <v>2.99</v>
      </c>
      <c r="T22" s="87">
        <v>2.9449999999999998</v>
      </c>
      <c r="U22" s="87">
        <v>2.94</v>
      </c>
      <c r="V22" s="87">
        <v>2.8949999999999996</v>
      </c>
      <c r="W22" s="87">
        <v>2.88</v>
      </c>
      <c r="X22" s="87">
        <v>2.8650000000000002</v>
      </c>
      <c r="Y22" s="87">
        <v>2.86</v>
      </c>
      <c r="Z22" s="87">
        <v>2.855</v>
      </c>
      <c r="AA22" s="87">
        <v>2.8499999999999996</v>
      </c>
      <c r="AB22" s="87">
        <v>2.8499999999999996</v>
      </c>
      <c r="AC22" s="87">
        <v>2.855</v>
      </c>
      <c r="AD22" s="87">
        <v>2.8499999999999996</v>
      </c>
      <c r="AE22" s="87">
        <v>2.855</v>
      </c>
    </row>
    <row r="23" spans="2:31">
      <c r="B23" s="85" t="s">
        <v>131</v>
      </c>
      <c r="C23" s="86">
        <v>15.01</v>
      </c>
      <c r="D23" s="87">
        <v>17.060000000000002</v>
      </c>
      <c r="E23" s="87">
        <v>3.9649999999999999</v>
      </c>
      <c r="F23" s="87">
        <v>3.8450000000000002</v>
      </c>
      <c r="G23" s="87">
        <v>3.27</v>
      </c>
      <c r="H23" s="87">
        <v>3.24</v>
      </c>
      <c r="I23" s="87">
        <v>3.1549999999999998</v>
      </c>
      <c r="J23" s="87">
        <v>2.9450000000000003</v>
      </c>
      <c r="K23" s="87">
        <v>2.835</v>
      </c>
      <c r="L23" s="87">
        <v>2.7549999999999999</v>
      </c>
      <c r="M23" s="87">
        <v>2.66</v>
      </c>
      <c r="N23" s="87">
        <v>2.62</v>
      </c>
      <c r="O23" s="87">
        <v>2.6</v>
      </c>
      <c r="P23" s="87">
        <v>2.5949999999999998</v>
      </c>
      <c r="Q23" s="87">
        <v>2.6150000000000002</v>
      </c>
      <c r="R23" s="87">
        <v>2.5750000000000002</v>
      </c>
      <c r="S23" s="87">
        <v>2.4900000000000002</v>
      </c>
      <c r="T23" s="87">
        <v>2.4750000000000001</v>
      </c>
      <c r="U23" s="87">
        <v>2.5350000000000001</v>
      </c>
      <c r="V23" s="87">
        <v>2.5549999999999997</v>
      </c>
      <c r="W23" s="87">
        <v>2.5549999999999997</v>
      </c>
      <c r="X23" s="87">
        <v>2.5549999999999997</v>
      </c>
      <c r="Y23" s="87">
        <v>2.54</v>
      </c>
      <c r="Z23" s="87">
        <v>2.5350000000000001</v>
      </c>
      <c r="AA23" s="87">
        <v>2.5300000000000002</v>
      </c>
      <c r="AB23" s="87">
        <v>2.5300000000000002</v>
      </c>
      <c r="AC23" s="87">
        <v>2.5300000000000002</v>
      </c>
      <c r="AD23" s="87">
        <v>2.5300000000000002</v>
      </c>
      <c r="AE23" s="87">
        <v>2.5300000000000002</v>
      </c>
    </row>
    <row r="24" spans="2:31">
      <c r="B24" s="85" t="s">
        <v>132</v>
      </c>
      <c r="C24" s="86">
        <v>6.69</v>
      </c>
      <c r="D24" s="87">
        <v>5.65</v>
      </c>
      <c r="E24" s="87">
        <v>4.88</v>
      </c>
      <c r="F24" s="87">
        <v>4.6899999999999995</v>
      </c>
      <c r="G24" s="87">
        <v>5</v>
      </c>
      <c r="H24" s="87">
        <v>4.8949999999999996</v>
      </c>
      <c r="I24" s="87">
        <v>4.62</v>
      </c>
      <c r="J24" s="87">
        <v>4.49</v>
      </c>
      <c r="K24" s="87">
        <v>4.29</v>
      </c>
      <c r="L24" s="87">
        <v>4.2549999999999999</v>
      </c>
      <c r="M24" s="87">
        <v>4.22</v>
      </c>
      <c r="N24" s="87">
        <v>4.1900000000000004</v>
      </c>
      <c r="O24" s="87">
        <v>4.18</v>
      </c>
      <c r="P24" s="87">
        <v>4.17</v>
      </c>
      <c r="Q24" s="87">
        <v>4.165</v>
      </c>
      <c r="R24" s="87">
        <v>4.16</v>
      </c>
      <c r="S24" s="87">
        <v>4.1550000000000002</v>
      </c>
      <c r="T24" s="87">
        <v>4.1550000000000002</v>
      </c>
      <c r="U24" s="87">
        <v>4.1450000000000005</v>
      </c>
      <c r="V24" s="87">
        <v>4.1450000000000005</v>
      </c>
      <c r="W24" s="87">
        <v>4.1399999999999997</v>
      </c>
      <c r="X24" s="87">
        <v>4.1349999999999998</v>
      </c>
      <c r="Y24" s="87">
        <v>4.13</v>
      </c>
      <c r="Z24" s="87">
        <v>4.13</v>
      </c>
      <c r="AA24" s="87">
        <v>4.125</v>
      </c>
      <c r="AB24" s="87">
        <v>4.12</v>
      </c>
      <c r="AC24" s="87">
        <v>4.1150000000000002</v>
      </c>
      <c r="AD24" s="87">
        <v>4.1100000000000003</v>
      </c>
      <c r="AE24" s="87">
        <v>4.1100000000000003</v>
      </c>
    </row>
    <row r="25" spans="2:31">
      <c r="B25" s="85" t="s">
        <v>133</v>
      </c>
      <c r="C25" s="86">
        <v>4.21</v>
      </c>
      <c r="D25" s="87">
        <v>3.69</v>
      </c>
      <c r="E25" s="87">
        <v>3.0949999999999998</v>
      </c>
      <c r="F25" s="87">
        <v>3.0049999999999999</v>
      </c>
      <c r="G25" s="87">
        <v>3.54</v>
      </c>
      <c r="H25" s="87">
        <v>3.5350000000000001</v>
      </c>
      <c r="I25" s="87">
        <v>3.5650000000000004</v>
      </c>
      <c r="J25" s="87">
        <v>3.5750000000000002</v>
      </c>
      <c r="K25" s="87">
        <v>3.585</v>
      </c>
      <c r="L25" s="87">
        <v>3.58</v>
      </c>
      <c r="M25" s="87">
        <v>3.5750000000000002</v>
      </c>
      <c r="N25" s="87">
        <v>3.5650000000000004</v>
      </c>
      <c r="O25" s="87">
        <v>3.5549999999999997</v>
      </c>
      <c r="P25" s="87">
        <v>3.55</v>
      </c>
      <c r="Q25" s="87">
        <v>3.54</v>
      </c>
      <c r="R25" s="87">
        <v>3.5349999999999997</v>
      </c>
      <c r="S25" s="87">
        <v>3.5349999999999997</v>
      </c>
      <c r="T25" s="87">
        <v>3.5349999999999997</v>
      </c>
      <c r="U25" s="87">
        <v>3.5349999999999997</v>
      </c>
      <c r="V25" s="87">
        <v>3.53</v>
      </c>
      <c r="W25" s="87">
        <v>3.52</v>
      </c>
      <c r="X25" s="87">
        <v>3.51</v>
      </c>
      <c r="Y25" s="87">
        <v>3.5</v>
      </c>
      <c r="Z25" s="87">
        <v>3.49</v>
      </c>
      <c r="AA25" s="87">
        <v>3.48</v>
      </c>
      <c r="AB25" s="87">
        <v>3.4749999999999996</v>
      </c>
      <c r="AC25" s="87">
        <v>3.4699999999999998</v>
      </c>
      <c r="AD25" s="87">
        <v>3.46</v>
      </c>
      <c r="AE25" s="87">
        <v>3.46</v>
      </c>
    </row>
    <row r="26" spans="2:31">
      <c r="B26" s="85" t="s">
        <v>134</v>
      </c>
      <c r="C26" s="86">
        <v>41.92</v>
      </c>
      <c r="D26" s="87">
        <v>55.8</v>
      </c>
      <c r="E26" s="87">
        <v>16.23</v>
      </c>
      <c r="F26" s="87">
        <v>5.09</v>
      </c>
      <c r="G26" s="87">
        <v>4.68</v>
      </c>
      <c r="H26" s="87">
        <v>4.6100000000000003</v>
      </c>
      <c r="I26" s="87">
        <v>4.33</v>
      </c>
      <c r="J26" s="87">
        <v>4.08</v>
      </c>
      <c r="K26" s="87">
        <v>4.0199999999999996</v>
      </c>
      <c r="L26" s="87">
        <v>4.0199999999999996</v>
      </c>
      <c r="M26" s="87">
        <v>4.05</v>
      </c>
      <c r="N26" s="87">
        <v>4.08</v>
      </c>
      <c r="O26" s="87">
        <v>4.1100000000000003</v>
      </c>
      <c r="P26" s="87">
        <v>4.1500000000000004</v>
      </c>
      <c r="Q26" s="87">
        <v>4.18</v>
      </c>
      <c r="R26" s="87">
        <v>4.21</v>
      </c>
      <c r="S26" s="87">
        <v>4.2</v>
      </c>
      <c r="T26" s="87">
        <v>4.1900000000000004</v>
      </c>
      <c r="U26" s="87">
        <v>4.18</v>
      </c>
      <c r="V26" s="87">
        <v>4.17</v>
      </c>
      <c r="W26" s="87">
        <v>4.16</v>
      </c>
      <c r="X26" s="87">
        <v>4.1399999999999997</v>
      </c>
      <c r="Y26" s="87">
        <v>4.13</v>
      </c>
      <c r="Z26" s="87">
        <v>4.12</v>
      </c>
      <c r="AA26" s="87">
        <v>4.1100000000000003</v>
      </c>
      <c r="AB26" s="87">
        <v>4.13</v>
      </c>
      <c r="AC26" s="87">
        <v>4.1399999999999997</v>
      </c>
      <c r="AD26" s="87">
        <v>4.13</v>
      </c>
      <c r="AE26" s="87">
        <v>4.0999999999999996</v>
      </c>
    </row>
    <row r="27" spans="2:31">
      <c r="B27" s="85" t="s">
        <v>135</v>
      </c>
      <c r="C27" s="86">
        <v>4.99</v>
      </c>
      <c r="D27" s="87">
        <v>4.42</v>
      </c>
      <c r="E27" s="87">
        <v>3.95</v>
      </c>
      <c r="F27" s="87">
        <v>3.86</v>
      </c>
      <c r="G27" s="87">
        <v>3.42</v>
      </c>
      <c r="H27" s="87">
        <v>3.46</v>
      </c>
      <c r="I27" s="87">
        <v>3.5</v>
      </c>
      <c r="J27" s="87">
        <v>3.54</v>
      </c>
      <c r="K27" s="87">
        <v>3.59</v>
      </c>
      <c r="L27" s="87">
        <v>2.97</v>
      </c>
      <c r="M27" s="87">
        <v>2.79</v>
      </c>
      <c r="N27" s="87">
        <v>2.67</v>
      </c>
      <c r="O27" s="87">
        <v>2.6</v>
      </c>
      <c r="P27" s="87">
        <v>2.5499999999999998</v>
      </c>
      <c r="Q27" s="87">
        <v>2.5099999999999998</v>
      </c>
      <c r="R27" s="87">
        <v>2.4900000000000002</v>
      </c>
      <c r="S27" s="87">
        <v>2.4900000000000002</v>
      </c>
      <c r="T27" s="87">
        <v>2.4700000000000002</v>
      </c>
      <c r="U27" s="87">
        <v>2.4700000000000002</v>
      </c>
      <c r="V27" s="87">
        <v>2.46</v>
      </c>
      <c r="W27" s="87">
        <v>2.4300000000000002</v>
      </c>
      <c r="X27" s="87">
        <v>2.42</v>
      </c>
      <c r="Y27" s="87">
        <v>2.41</v>
      </c>
      <c r="Z27" s="87">
        <v>2.41</v>
      </c>
      <c r="AA27" s="87">
        <v>2.4</v>
      </c>
      <c r="AB27" s="87">
        <v>2.41</v>
      </c>
      <c r="AC27" s="87">
        <v>2.41</v>
      </c>
      <c r="AD27" s="87">
        <v>2.4</v>
      </c>
      <c r="AE27" s="87">
        <v>2.41</v>
      </c>
    </row>
    <row r="28" spans="2:31">
      <c r="B28" s="85" t="s">
        <v>136</v>
      </c>
      <c r="C28" s="86">
        <v>2.5099999999999998</v>
      </c>
      <c r="D28" s="87">
        <v>3.26</v>
      </c>
      <c r="E28" s="87">
        <v>2.1149999999999998</v>
      </c>
      <c r="F28" s="87">
        <v>1.33</v>
      </c>
      <c r="G28" s="87">
        <v>1.4</v>
      </c>
      <c r="H28" s="87">
        <v>1.58</v>
      </c>
      <c r="I28" s="87">
        <v>1.6800000000000002</v>
      </c>
      <c r="J28" s="87">
        <v>1.62</v>
      </c>
      <c r="K28" s="87">
        <v>1.5550000000000002</v>
      </c>
      <c r="L28" s="87">
        <v>1.5</v>
      </c>
      <c r="M28" s="87">
        <v>1.4550000000000001</v>
      </c>
      <c r="N28" s="87">
        <v>1.4300000000000002</v>
      </c>
      <c r="O28" s="87">
        <v>1.42</v>
      </c>
      <c r="P28" s="87">
        <v>1.4</v>
      </c>
      <c r="Q28" s="87">
        <v>1.36</v>
      </c>
      <c r="R28" s="87">
        <v>1.34</v>
      </c>
      <c r="S28" s="87">
        <v>1.335</v>
      </c>
      <c r="T28" s="87">
        <v>1.335</v>
      </c>
      <c r="U28" s="87">
        <v>1.335</v>
      </c>
      <c r="V28" s="87">
        <v>1.335</v>
      </c>
      <c r="W28" s="87">
        <v>1.34</v>
      </c>
      <c r="X28" s="87">
        <v>1.345</v>
      </c>
      <c r="Y28" s="87">
        <v>1.35</v>
      </c>
      <c r="Z28" s="87">
        <v>1.355</v>
      </c>
      <c r="AA28" s="87">
        <v>1.3599999999999999</v>
      </c>
      <c r="AB28" s="87">
        <v>1.37</v>
      </c>
      <c r="AC28" s="87">
        <v>1.37</v>
      </c>
      <c r="AD28" s="87">
        <v>1.375</v>
      </c>
      <c r="AE28" s="87">
        <v>1.38</v>
      </c>
    </row>
    <row r="29" spans="2:31">
      <c r="B29" s="85" t="s">
        <v>137</v>
      </c>
      <c r="C29" s="86">
        <v>4.2300000000000004</v>
      </c>
      <c r="D29" s="87">
        <v>2.1100000000000003</v>
      </c>
      <c r="E29" s="87">
        <v>2.4649999999999999</v>
      </c>
      <c r="F29" s="87">
        <v>2.2750000000000004</v>
      </c>
      <c r="G29" s="87">
        <v>2.2350000000000003</v>
      </c>
      <c r="H29" s="87">
        <v>2.145</v>
      </c>
      <c r="I29" s="87">
        <v>2.0250000000000004</v>
      </c>
      <c r="J29" s="87">
        <v>1.96</v>
      </c>
      <c r="K29" s="87">
        <v>1.9450000000000001</v>
      </c>
      <c r="L29" s="87">
        <v>1.8849999999999998</v>
      </c>
      <c r="M29" s="87">
        <v>1.8599999999999999</v>
      </c>
      <c r="N29" s="87">
        <v>1.8849999999999998</v>
      </c>
      <c r="O29" s="87">
        <v>1.8599999999999999</v>
      </c>
      <c r="P29" s="87">
        <v>1.835</v>
      </c>
      <c r="Q29" s="87">
        <v>1.8149999999999999</v>
      </c>
      <c r="R29" s="87">
        <v>1.7999999999999998</v>
      </c>
      <c r="S29" s="87">
        <v>1.79</v>
      </c>
      <c r="T29" s="87">
        <v>1.7799999999999998</v>
      </c>
      <c r="U29" s="87">
        <v>1.77</v>
      </c>
      <c r="V29" s="87">
        <v>1.7599999999999998</v>
      </c>
      <c r="W29" s="87">
        <v>1.7349999999999999</v>
      </c>
      <c r="X29" s="87">
        <v>1.7199999999999998</v>
      </c>
      <c r="Y29" s="87">
        <v>1.7049999999999998</v>
      </c>
      <c r="Z29" s="87">
        <v>1.6949999999999998</v>
      </c>
      <c r="AA29" s="87">
        <v>1.68</v>
      </c>
      <c r="AB29" s="87">
        <v>1.67</v>
      </c>
      <c r="AC29" s="87">
        <v>1.66</v>
      </c>
      <c r="AD29" s="87">
        <v>1.68</v>
      </c>
      <c r="AE29" s="87">
        <v>1.6749999999999998</v>
      </c>
    </row>
    <row r="30" spans="2:31">
      <c r="B30" s="85" t="s">
        <v>138</v>
      </c>
      <c r="C30" s="86">
        <v>14.99</v>
      </c>
      <c r="D30" s="87">
        <v>14.855</v>
      </c>
      <c r="E30" s="87">
        <v>8.625</v>
      </c>
      <c r="F30" s="87">
        <v>6.9399999999999995</v>
      </c>
      <c r="G30" s="87">
        <v>5.8900000000000006</v>
      </c>
      <c r="H30" s="87">
        <v>5.51</v>
      </c>
      <c r="I30" s="87">
        <v>5.0600000000000005</v>
      </c>
      <c r="J30" s="87">
        <v>4.9399999999999995</v>
      </c>
      <c r="K30" s="87">
        <v>4.7850000000000001</v>
      </c>
      <c r="L30" s="87">
        <v>4.7050000000000001</v>
      </c>
      <c r="M30" s="87">
        <v>4.4800000000000004</v>
      </c>
      <c r="N30" s="87">
        <v>4.4450000000000003</v>
      </c>
      <c r="O30" s="87">
        <v>4.32</v>
      </c>
      <c r="P30" s="87">
        <v>4.3650000000000002</v>
      </c>
      <c r="Q30" s="87">
        <v>4.3849999999999998</v>
      </c>
      <c r="R30" s="87">
        <v>4.33</v>
      </c>
      <c r="S30" s="87">
        <v>4.2850000000000001</v>
      </c>
      <c r="T30" s="87">
        <v>4.24</v>
      </c>
      <c r="U30" s="87">
        <v>4.21</v>
      </c>
      <c r="V30" s="87">
        <v>4.1349999999999998</v>
      </c>
      <c r="W30" s="87">
        <v>4.12</v>
      </c>
      <c r="X30" s="87">
        <v>4.0600000000000005</v>
      </c>
      <c r="Y30" s="87">
        <v>4.0649999999999995</v>
      </c>
      <c r="Z30" s="87">
        <v>4.01</v>
      </c>
      <c r="AA30" s="87">
        <v>4.01</v>
      </c>
      <c r="AB30" s="87">
        <v>3.99</v>
      </c>
      <c r="AC30" s="87">
        <v>3.9850000000000003</v>
      </c>
      <c r="AD30" s="87">
        <v>3.98</v>
      </c>
      <c r="AE30" s="87">
        <v>3.9850000000000003</v>
      </c>
    </row>
    <row r="31" spans="2:31">
      <c r="B31" s="85" t="s">
        <v>139</v>
      </c>
      <c r="C31" s="86">
        <v>3.98</v>
      </c>
      <c r="D31" s="87">
        <v>3.64</v>
      </c>
      <c r="E31" s="87">
        <v>3.04</v>
      </c>
      <c r="F31" s="87">
        <v>2.58</v>
      </c>
      <c r="G31" s="87">
        <v>2.5150000000000001</v>
      </c>
      <c r="H31" s="87">
        <v>2.4450000000000003</v>
      </c>
      <c r="I31" s="87">
        <v>2.41</v>
      </c>
      <c r="J31" s="87">
        <v>2.34</v>
      </c>
      <c r="K31" s="87">
        <v>2.2949999999999999</v>
      </c>
      <c r="L31" s="87">
        <v>2.2250000000000001</v>
      </c>
      <c r="M31" s="87">
        <v>2.17</v>
      </c>
      <c r="N31" s="87">
        <v>2.1</v>
      </c>
      <c r="O31" s="87">
        <v>2.0449999999999999</v>
      </c>
      <c r="P31" s="87">
        <v>1.9950000000000001</v>
      </c>
      <c r="Q31" s="87">
        <v>1.9500000000000002</v>
      </c>
      <c r="R31" s="87">
        <v>1.915</v>
      </c>
      <c r="S31" s="87">
        <v>1.88</v>
      </c>
      <c r="T31" s="87">
        <v>1.85</v>
      </c>
      <c r="U31" s="87">
        <v>1.825</v>
      </c>
      <c r="V31" s="87">
        <v>1.8049999999999999</v>
      </c>
      <c r="W31" s="87">
        <v>1.78</v>
      </c>
      <c r="X31" s="87">
        <v>1.7650000000000001</v>
      </c>
      <c r="Y31" s="87">
        <v>1.75</v>
      </c>
      <c r="Z31" s="87">
        <v>1.73</v>
      </c>
      <c r="AA31" s="87">
        <v>1.7149999999999999</v>
      </c>
      <c r="AB31" s="87">
        <v>1.7</v>
      </c>
      <c r="AC31" s="87">
        <v>1.69</v>
      </c>
      <c r="AD31" s="87">
        <v>1.68</v>
      </c>
      <c r="AE31" s="87">
        <v>1.665</v>
      </c>
    </row>
    <row r="32" spans="2:31">
      <c r="B32" s="85" t="s">
        <v>140</v>
      </c>
      <c r="C32" s="86">
        <v>4.63</v>
      </c>
      <c r="D32" s="87">
        <v>2.4550000000000001</v>
      </c>
      <c r="E32" s="87">
        <v>1.7</v>
      </c>
      <c r="F32" s="87">
        <v>3.87</v>
      </c>
      <c r="G32" s="87">
        <v>3.96</v>
      </c>
      <c r="H32" s="87">
        <v>3.6150000000000002</v>
      </c>
      <c r="I32" s="87">
        <v>3.415</v>
      </c>
      <c r="J32" s="87">
        <v>3.3</v>
      </c>
      <c r="K32" s="87">
        <v>3.23</v>
      </c>
      <c r="L32" s="87">
        <v>3.17</v>
      </c>
      <c r="M32" s="87">
        <v>3.0650000000000004</v>
      </c>
      <c r="N32" s="87">
        <v>3.0150000000000001</v>
      </c>
      <c r="O32" s="87">
        <v>2.99</v>
      </c>
      <c r="P32" s="87">
        <v>3.01</v>
      </c>
      <c r="Q32" s="87">
        <v>3.01</v>
      </c>
      <c r="R32" s="87">
        <v>3.0049999999999999</v>
      </c>
      <c r="S32" s="87">
        <v>3</v>
      </c>
      <c r="T32" s="87">
        <v>2.9950000000000001</v>
      </c>
      <c r="U32" s="87">
        <v>2.9950000000000001</v>
      </c>
      <c r="V32" s="87">
        <v>2.9950000000000001</v>
      </c>
      <c r="W32" s="87">
        <v>2.98</v>
      </c>
      <c r="X32" s="87">
        <v>2.98</v>
      </c>
      <c r="Y32" s="87">
        <v>2.98</v>
      </c>
      <c r="Z32" s="87">
        <v>2.98</v>
      </c>
      <c r="AA32" s="87">
        <v>2.9849999999999999</v>
      </c>
      <c r="AB32" s="87">
        <v>2.9849999999999999</v>
      </c>
      <c r="AC32" s="87">
        <v>2.99</v>
      </c>
      <c r="AD32" s="87">
        <v>2.9849999999999999</v>
      </c>
      <c r="AE32" s="87">
        <v>2.99</v>
      </c>
    </row>
    <row r="33" spans="2:31">
      <c r="B33" s="85" t="s">
        <v>141</v>
      </c>
      <c r="C33" s="86">
        <v>3.38</v>
      </c>
      <c r="D33" s="87">
        <v>2.4900000000000002</v>
      </c>
      <c r="E33" s="87">
        <v>2.3849999999999998</v>
      </c>
      <c r="F33" s="87">
        <v>2.73</v>
      </c>
      <c r="G33" s="87">
        <v>2.59</v>
      </c>
      <c r="H33" s="87">
        <v>2.5950000000000002</v>
      </c>
      <c r="I33" s="87">
        <v>2.35</v>
      </c>
      <c r="J33" s="87">
        <v>2.4</v>
      </c>
      <c r="K33" s="87">
        <v>2.4299999999999997</v>
      </c>
      <c r="L33" s="87">
        <v>2.4299999999999997</v>
      </c>
      <c r="M33" s="87">
        <v>2.4050000000000002</v>
      </c>
      <c r="N33" s="87">
        <v>2.375</v>
      </c>
      <c r="O33" s="87">
        <v>2.355</v>
      </c>
      <c r="P33" s="87">
        <v>2.35</v>
      </c>
      <c r="Q33" s="87">
        <v>2.3449999999999998</v>
      </c>
      <c r="R33" s="87">
        <v>2.34</v>
      </c>
      <c r="S33" s="87">
        <v>2.33</v>
      </c>
      <c r="T33" s="87">
        <v>2.3149999999999999</v>
      </c>
      <c r="U33" s="87">
        <v>2.2999999999999998</v>
      </c>
      <c r="V33" s="87">
        <v>2.2949999999999999</v>
      </c>
      <c r="W33" s="87">
        <v>2.2850000000000001</v>
      </c>
      <c r="X33" s="87">
        <v>2.2749999999999999</v>
      </c>
      <c r="Y33" s="87">
        <v>2.2649999999999997</v>
      </c>
      <c r="Z33" s="87">
        <v>2.2599999999999998</v>
      </c>
      <c r="AA33" s="87">
        <v>2.25</v>
      </c>
      <c r="AB33" s="87">
        <v>2.2400000000000002</v>
      </c>
      <c r="AC33" s="87">
        <v>2.23</v>
      </c>
      <c r="AD33" s="87">
        <v>2.2250000000000001</v>
      </c>
      <c r="AE33" s="87">
        <v>2.2199999999999998</v>
      </c>
    </row>
    <row r="34" spans="2:31">
      <c r="B34" s="85" t="s">
        <v>142</v>
      </c>
      <c r="C34" s="86">
        <v>7.9</v>
      </c>
      <c r="D34" s="87">
        <v>5.53</v>
      </c>
      <c r="E34" s="87">
        <v>4.41</v>
      </c>
      <c r="F34" s="87">
        <v>3.54</v>
      </c>
      <c r="G34" s="87">
        <v>3.45</v>
      </c>
      <c r="H34" s="87">
        <v>3.4950000000000001</v>
      </c>
      <c r="I34" s="87">
        <v>3.38</v>
      </c>
      <c r="J34" s="87">
        <v>3.34</v>
      </c>
      <c r="K34" s="87">
        <v>3.24</v>
      </c>
      <c r="L34" s="87">
        <v>3.1799999999999997</v>
      </c>
      <c r="M34" s="87">
        <v>3.1749999999999998</v>
      </c>
      <c r="N34" s="87">
        <v>3.17</v>
      </c>
      <c r="O34" s="87">
        <v>3.165</v>
      </c>
      <c r="P34" s="87">
        <v>3.165</v>
      </c>
      <c r="Q34" s="87">
        <v>3.16</v>
      </c>
      <c r="R34" s="87">
        <v>3.16</v>
      </c>
      <c r="S34" s="87">
        <v>3.16</v>
      </c>
      <c r="T34" s="87">
        <v>3.16</v>
      </c>
      <c r="U34" s="87">
        <v>3.165</v>
      </c>
      <c r="V34" s="87">
        <v>3.16</v>
      </c>
      <c r="W34" s="87">
        <v>3.16</v>
      </c>
      <c r="X34" s="87">
        <v>3.16</v>
      </c>
      <c r="Y34" s="87">
        <v>3.1549999999999998</v>
      </c>
      <c r="Z34" s="87">
        <v>3.1549999999999998</v>
      </c>
      <c r="AA34" s="87">
        <v>3.1549999999999998</v>
      </c>
      <c r="AB34" s="87">
        <v>3.1549999999999998</v>
      </c>
      <c r="AC34" s="87">
        <v>3.1549999999999998</v>
      </c>
      <c r="AD34" s="87">
        <v>3.15</v>
      </c>
      <c r="AE34" s="87">
        <v>3.15</v>
      </c>
    </row>
    <row r="35" spans="2:31" ht="14.25" customHeight="1">
      <c r="B35" s="85" t="s">
        <v>143</v>
      </c>
      <c r="C35" s="86">
        <v>10.29</v>
      </c>
      <c r="D35" s="87">
        <v>7.0549999999999997</v>
      </c>
      <c r="E35" s="87">
        <v>5.35</v>
      </c>
      <c r="F35" s="87">
        <v>7.0600000000000005</v>
      </c>
      <c r="G35" s="87">
        <v>7.18</v>
      </c>
      <c r="H35" s="87">
        <v>6.6750000000000007</v>
      </c>
      <c r="I35" s="87">
        <v>6.1150000000000002</v>
      </c>
      <c r="J35" s="87">
        <v>5.6749999999999998</v>
      </c>
      <c r="K35" s="87">
        <v>5.2650000000000006</v>
      </c>
      <c r="L35" s="87">
        <v>5.34</v>
      </c>
      <c r="M35" s="87">
        <v>5.3599999999999994</v>
      </c>
      <c r="N35" s="87">
        <v>5.3650000000000002</v>
      </c>
      <c r="O35" s="87">
        <v>5.3650000000000002</v>
      </c>
      <c r="P35" s="87">
        <v>5.4450000000000003</v>
      </c>
      <c r="Q35" s="87">
        <v>5.5350000000000001</v>
      </c>
      <c r="R35" s="87">
        <v>5.48</v>
      </c>
      <c r="S35" s="87">
        <v>5.4450000000000003</v>
      </c>
      <c r="T35" s="87">
        <v>5.4249999999999998</v>
      </c>
      <c r="U35" s="87">
        <v>5.41</v>
      </c>
      <c r="V35" s="87">
        <v>5.4</v>
      </c>
      <c r="W35" s="87">
        <v>5.3949999999999996</v>
      </c>
      <c r="X35" s="87">
        <v>5.3900000000000006</v>
      </c>
      <c r="Y35" s="87">
        <v>5.3900000000000006</v>
      </c>
      <c r="Z35" s="87">
        <v>5.3900000000000006</v>
      </c>
      <c r="AA35" s="87">
        <v>5.3900000000000006</v>
      </c>
      <c r="AB35" s="87">
        <v>5.3900000000000006</v>
      </c>
      <c r="AC35" s="87">
        <v>5.3900000000000006</v>
      </c>
      <c r="AD35" s="87">
        <v>5.3900000000000006</v>
      </c>
      <c r="AE35" s="87">
        <v>5.3949999999999996</v>
      </c>
    </row>
    <row r="36" spans="2:31">
      <c r="B36" s="85" t="s">
        <v>144</v>
      </c>
      <c r="C36" s="86">
        <v>7.17</v>
      </c>
      <c r="D36" s="87">
        <v>5.73</v>
      </c>
      <c r="E36" s="87">
        <v>3.125</v>
      </c>
      <c r="F36" s="87">
        <v>2.0350000000000001</v>
      </c>
      <c r="G36" s="87">
        <v>2.0149999999999997</v>
      </c>
      <c r="H36" s="87">
        <v>2.1</v>
      </c>
      <c r="I36" s="87">
        <v>2.1150000000000002</v>
      </c>
      <c r="J36" s="87">
        <v>2.1</v>
      </c>
      <c r="K36" s="87">
        <v>2.105</v>
      </c>
      <c r="L36" s="87">
        <v>2.1</v>
      </c>
      <c r="M36" s="87">
        <v>2.08</v>
      </c>
      <c r="N36" s="87">
        <v>2.06</v>
      </c>
      <c r="O36" s="87">
        <v>2.0149999999999997</v>
      </c>
      <c r="P36" s="87">
        <v>2.0249999999999999</v>
      </c>
      <c r="Q36" s="87">
        <v>2.02</v>
      </c>
      <c r="R36" s="87">
        <v>2</v>
      </c>
      <c r="S36" s="87">
        <v>1.9849999999999999</v>
      </c>
      <c r="T36" s="87">
        <v>1.97</v>
      </c>
      <c r="U36" s="87">
        <v>1.98</v>
      </c>
      <c r="V36" s="87">
        <v>1.9849999999999999</v>
      </c>
      <c r="W36" s="87">
        <v>1.9750000000000001</v>
      </c>
      <c r="X36" s="87">
        <v>1.9950000000000001</v>
      </c>
      <c r="Y36" s="87">
        <v>2.0099999999999998</v>
      </c>
      <c r="Z36" s="87">
        <v>1.9950000000000001</v>
      </c>
      <c r="AA36" s="87">
        <v>1.99</v>
      </c>
      <c r="AB36" s="87">
        <v>1.9849999999999999</v>
      </c>
      <c r="AC36" s="87">
        <v>1.9750000000000001</v>
      </c>
      <c r="AD36" s="87">
        <v>1.96</v>
      </c>
      <c r="AE36" s="87">
        <v>1.95</v>
      </c>
    </row>
    <row r="37" spans="2:31">
      <c r="B37" s="85" t="s">
        <v>145</v>
      </c>
      <c r="C37" s="86">
        <v>18.850000000000001</v>
      </c>
      <c r="D37" s="87">
        <v>24.66</v>
      </c>
      <c r="E37" s="87">
        <v>28.59</v>
      </c>
      <c r="F37" s="87">
        <v>21.86</v>
      </c>
      <c r="G37" s="87">
        <v>16.989999999999998</v>
      </c>
      <c r="H37" s="87">
        <v>11.28</v>
      </c>
      <c r="I37" s="87">
        <v>7.22</v>
      </c>
      <c r="J37" s="87">
        <v>5.54</v>
      </c>
      <c r="K37" s="87">
        <v>5.62</v>
      </c>
      <c r="L37" s="87">
        <v>5.71</v>
      </c>
      <c r="M37" s="87">
        <v>5.79</v>
      </c>
      <c r="N37" s="87">
        <v>5.84</v>
      </c>
      <c r="O37" s="87">
        <v>5.85</v>
      </c>
      <c r="P37" s="87">
        <v>5.86</v>
      </c>
      <c r="Q37" s="87">
        <v>5.88</v>
      </c>
      <c r="R37" s="87">
        <v>5.9</v>
      </c>
      <c r="S37" s="87">
        <v>5.93</v>
      </c>
      <c r="T37" s="87">
        <v>5.94</v>
      </c>
      <c r="U37" s="87">
        <v>5.95</v>
      </c>
      <c r="V37" s="87">
        <v>5.94</v>
      </c>
      <c r="W37" s="87">
        <v>5.91</v>
      </c>
      <c r="X37" s="87">
        <v>5.89</v>
      </c>
      <c r="Y37" s="87">
        <v>5.87</v>
      </c>
      <c r="Z37" s="87">
        <v>5.85</v>
      </c>
      <c r="AA37" s="87">
        <v>5.83</v>
      </c>
      <c r="AB37" s="87">
        <v>5.81</v>
      </c>
      <c r="AC37" s="87">
        <v>5.79</v>
      </c>
      <c r="AD37" s="87">
        <v>5.77</v>
      </c>
      <c r="AE37" s="87">
        <v>5.75</v>
      </c>
    </row>
    <row r="38" spans="2:31">
      <c r="B38" s="85" t="s">
        <v>146</v>
      </c>
      <c r="C38" s="86">
        <v>5.76</v>
      </c>
      <c r="D38" s="87">
        <v>5.52</v>
      </c>
      <c r="E38" s="87">
        <v>3.4449999999999998</v>
      </c>
      <c r="F38" s="87">
        <v>1.9</v>
      </c>
      <c r="G38" s="87">
        <v>1.915</v>
      </c>
      <c r="H38" s="87">
        <v>2.0300000000000002</v>
      </c>
      <c r="I38" s="87">
        <v>2.0549999999999997</v>
      </c>
      <c r="J38" s="87">
        <v>2.04</v>
      </c>
      <c r="K38" s="87">
        <v>2.0949999999999998</v>
      </c>
      <c r="L38" s="87">
        <v>2.1</v>
      </c>
      <c r="M38" s="87">
        <v>2.1100000000000003</v>
      </c>
      <c r="N38" s="87">
        <v>2.105</v>
      </c>
      <c r="O38" s="87">
        <v>2.085</v>
      </c>
      <c r="P38" s="87">
        <v>2.0700000000000003</v>
      </c>
      <c r="Q38" s="87">
        <v>2.0700000000000003</v>
      </c>
      <c r="R38" s="87">
        <v>2.0750000000000002</v>
      </c>
      <c r="S38" s="87">
        <v>2.0549999999999997</v>
      </c>
      <c r="T38" s="87">
        <v>2.0249999999999999</v>
      </c>
      <c r="U38" s="87">
        <v>2.0300000000000002</v>
      </c>
      <c r="V38" s="87">
        <v>2.0300000000000002</v>
      </c>
      <c r="W38" s="87">
        <v>2.0049999999999999</v>
      </c>
      <c r="X38" s="87">
        <v>2.0049999999999999</v>
      </c>
      <c r="Y38" s="87">
        <v>1.99</v>
      </c>
      <c r="Z38" s="87">
        <v>1.9849999999999999</v>
      </c>
      <c r="AA38" s="87">
        <v>1.9849999999999999</v>
      </c>
      <c r="AB38" s="87">
        <v>1.98</v>
      </c>
      <c r="AC38" s="87">
        <v>1.9649999999999999</v>
      </c>
      <c r="AD38" s="87">
        <v>1.9550000000000001</v>
      </c>
      <c r="AE38" s="87">
        <v>1.9550000000000001</v>
      </c>
    </row>
    <row r="39" spans="2:31">
      <c r="B39" s="85" t="s">
        <v>147</v>
      </c>
      <c r="C39" s="86">
        <v>2.81</v>
      </c>
      <c r="D39" s="87">
        <v>0.94</v>
      </c>
      <c r="E39" s="87">
        <v>1.26</v>
      </c>
      <c r="F39" s="87">
        <v>1.47</v>
      </c>
      <c r="G39" s="87">
        <v>1.4350000000000001</v>
      </c>
      <c r="H39" s="87">
        <v>1.4350000000000001</v>
      </c>
      <c r="I39" s="87">
        <v>1.46</v>
      </c>
      <c r="J39" s="87">
        <v>1.4700000000000002</v>
      </c>
      <c r="K39" s="87">
        <v>1.4550000000000001</v>
      </c>
      <c r="L39" s="87">
        <v>1.42</v>
      </c>
      <c r="M39" s="87">
        <v>1.42</v>
      </c>
      <c r="N39" s="87">
        <v>1.42</v>
      </c>
      <c r="O39" s="87">
        <v>1.415</v>
      </c>
      <c r="P39" s="87">
        <v>1.4100000000000001</v>
      </c>
      <c r="Q39" s="87">
        <v>1.405</v>
      </c>
      <c r="R39" s="87">
        <v>1.4100000000000001</v>
      </c>
      <c r="S39" s="87">
        <v>1.4100000000000001</v>
      </c>
      <c r="T39" s="87">
        <v>1.405</v>
      </c>
      <c r="U39" s="87">
        <v>1.4100000000000001</v>
      </c>
      <c r="V39" s="87">
        <v>1.4100000000000001</v>
      </c>
      <c r="W39" s="87">
        <v>1.3900000000000001</v>
      </c>
      <c r="X39" s="87">
        <v>1.385</v>
      </c>
      <c r="Y39" s="87">
        <v>1.3900000000000001</v>
      </c>
      <c r="Z39" s="87">
        <v>1.3900000000000001</v>
      </c>
      <c r="AA39" s="87">
        <v>1.385</v>
      </c>
      <c r="AB39" s="87">
        <v>1.3900000000000001</v>
      </c>
      <c r="AC39" s="87">
        <v>1.3900000000000001</v>
      </c>
      <c r="AD39" s="87">
        <v>1.3900000000000001</v>
      </c>
      <c r="AE39" s="87">
        <v>1.395</v>
      </c>
    </row>
    <row r="40" spans="2:31">
      <c r="B40" s="85" t="s">
        <v>148</v>
      </c>
      <c r="C40" s="86">
        <v>5.8100000000000005</v>
      </c>
      <c r="D40" s="87">
        <v>5.99</v>
      </c>
      <c r="E40" s="87">
        <v>3.4649999999999999</v>
      </c>
      <c r="F40" s="87">
        <v>3.25</v>
      </c>
      <c r="G40" s="87">
        <v>2.9050000000000002</v>
      </c>
      <c r="H40" s="87">
        <v>2.99</v>
      </c>
      <c r="I40" s="87">
        <v>2.92</v>
      </c>
      <c r="J40" s="87">
        <v>2.83</v>
      </c>
      <c r="K40" s="87">
        <v>2.8149999999999999</v>
      </c>
      <c r="L40" s="87">
        <v>2.8250000000000002</v>
      </c>
      <c r="M40" s="87">
        <v>2.8200000000000003</v>
      </c>
      <c r="N40" s="87">
        <v>2.7949999999999999</v>
      </c>
      <c r="O40" s="87">
        <v>2.7650000000000001</v>
      </c>
      <c r="P40" s="87">
        <v>2.7549999999999999</v>
      </c>
      <c r="Q40" s="87">
        <v>2.74</v>
      </c>
      <c r="R40" s="87">
        <v>2.7250000000000001</v>
      </c>
      <c r="S40" s="87">
        <v>2.7050000000000001</v>
      </c>
      <c r="T40" s="87">
        <v>2.69</v>
      </c>
      <c r="U40" s="87">
        <v>2.67</v>
      </c>
      <c r="V40" s="87">
        <v>2.6550000000000002</v>
      </c>
      <c r="W40" s="87">
        <v>2.6399999999999997</v>
      </c>
      <c r="X40" s="87">
        <v>2.625</v>
      </c>
      <c r="Y40" s="87">
        <v>2.6100000000000003</v>
      </c>
      <c r="Z40" s="87">
        <v>2.5949999999999998</v>
      </c>
      <c r="AA40" s="87">
        <v>2.5750000000000002</v>
      </c>
      <c r="AB40" s="87">
        <v>2.56</v>
      </c>
      <c r="AC40" s="87">
        <v>2.5449999999999999</v>
      </c>
      <c r="AD40" s="87">
        <v>2.5300000000000002</v>
      </c>
      <c r="AE40" s="87">
        <v>2.52</v>
      </c>
    </row>
    <row r="41" spans="2:31">
      <c r="B41" s="85" t="s">
        <v>149</v>
      </c>
      <c r="C41" s="86">
        <v>13.78</v>
      </c>
      <c r="D41" s="87">
        <v>11.145</v>
      </c>
      <c r="E41" s="87">
        <v>4.2050000000000001</v>
      </c>
      <c r="F41" s="87">
        <v>4.0250000000000004</v>
      </c>
      <c r="G41" s="87">
        <v>2.94</v>
      </c>
      <c r="H41" s="87">
        <v>2.6</v>
      </c>
      <c r="I41" s="87">
        <v>2.5149999999999997</v>
      </c>
      <c r="J41" s="87">
        <v>2.5300000000000002</v>
      </c>
      <c r="K41" s="87">
        <v>2.4850000000000003</v>
      </c>
      <c r="L41" s="87">
        <v>2.5300000000000002</v>
      </c>
      <c r="M41" s="87">
        <v>2.5099999999999998</v>
      </c>
      <c r="N41" s="87">
        <v>2.4699999999999998</v>
      </c>
      <c r="O41" s="87">
        <v>2.42</v>
      </c>
      <c r="P41" s="87">
        <v>2.41</v>
      </c>
      <c r="Q41" s="87">
        <v>2.3849999999999998</v>
      </c>
      <c r="R41" s="87">
        <v>2.3849999999999998</v>
      </c>
      <c r="S41" s="87">
        <v>2.375</v>
      </c>
      <c r="T41" s="87">
        <v>2.355</v>
      </c>
      <c r="U41" s="87">
        <v>2.3600000000000003</v>
      </c>
      <c r="V41" s="87">
        <v>2.355</v>
      </c>
      <c r="W41" s="87">
        <v>2.34</v>
      </c>
      <c r="X41" s="87">
        <v>2.3449999999999998</v>
      </c>
      <c r="Y41" s="87">
        <v>2.33</v>
      </c>
      <c r="Z41" s="87">
        <v>2.3250000000000002</v>
      </c>
      <c r="AA41" s="87">
        <v>2.3250000000000002</v>
      </c>
      <c r="AB41" s="87">
        <v>2.3250000000000002</v>
      </c>
      <c r="AC41" s="87">
        <v>2.31</v>
      </c>
      <c r="AD41" s="87">
        <v>2.31</v>
      </c>
      <c r="AE41" s="87">
        <v>2.3200000000000003</v>
      </c>
    </row>
    <row r="42" spans="2:31">
      <c r="B42" s="85" t="s">
        <v>150</v>
      </c>
      <c r="C42" s="86">
        <v>12.91</v>
      </c>
      <c r="D42" s="87">
        <v>10.074999999999999</v>
      </c>
      <c r="E42" s="87">
        <v>6.1199999999999992</v>
      </c>
      <c r="F42" s="87">
        <v>3.91</v>
      </c>
      <c r="G42" s="87">
        <v>2.895</v>
      </c>
      <c r="H42" s="87">
        <v>3.0350000000000001</v>
      </c>
      <c r="I42" s="87">
        <v>2.95</v>
      </c>
      <c r="J42" s="87">
        <v>2.7800000000000002</v>
      </c>
      <c r="K42" s="87">
        <v>2.835</v>
      </c>
      <c r="L42" s="87">
        <v>2.6749999999999998</v>
      </c>
      <c r="M42" s="87">
        <v>2.68</v>
      </c>
      <c r="N42" s="87">
        <v>2.665</v>
      </c>
      <c r="O42" s="87">
        <v>2.63</v>
      </c>
      <c r="P42" s="87">
        <v>2.585</v>
      </c>
      <c r="Q42" s="87">
        <v>2.54</v>
      </c>
      <c r="R42" s="87">
        <v>2.4950000000000001</v>
      </c>
      <c r="S42" s="87">
        <v>2.4550000000000001</v>
      </c>
      <c r="T42" s="87">
        <v>2.42</v>
      </c>
      <c r="U42" s="87">
        <v>2.3899999999999997</v>
      </c>
      <c r="V42" s="87">
        <v>2.37</v>
      </c>
      <c r="W42" s="87">
        <v>2.355</v>
      </c>
      <c r="X42" s="87">
        <v>2.34</v>
      </c>
      <c r="Y42" s="87">
        <v>2.33</v>
      </c>
      <c r="Z42" s="87">
        <v>2.3250000000000002</v>
      </c>
      <c r="AA42" s="87">
        <v>2.3250000000000002</v>
      </c>
      <c r="AB42" s="87">
        <v>2.33</v>
      </c>
      <c r="AC42" s="87">
        <v>2.335</v>
      </c>
      <c r="AD42" s="87">
        <v>2.3449999999999998</v>
      </c>
      <c r="AE42" s="87">
        <v>2.3600000000000003</v>
      </c>
    </row>
    <row r="43" spans="2:31">
      <c r="B43" s="85" t="s">
        <v>151</v>
      </c>
      <c r="C43" s="86">
        <v>13.75</v>
      </c>
      <c r="D43" s="87">
        <v>5.86</v>
      </c>
      <c r="E43" s="87">
        <v>6.36</v>
      </c>
      <c r="F43" s="87">
        <v>5.09</v>
      </c>
      <c r="G43" s="87">
        <v>5.2149999999999999</v>
      </c>
      <c r="H43" s="87">
        <v>5.0449999999999999</v>
      </c>
      <c r="I43" s="87">
        <v>4.5150000000000006</v>
      </c>
      <c r="J43" s="87">
        <v>4.2699999999999996</v>
      </c>
      <c r="K43" s="87">
        <v>4.1500000000000004</v>
      </c>
      <c r="L43" s="87">
        <v>4.0750000000000002</v>
      </c>
      <c r="M43" s="87">
        <v>4.1100000000000003</v>
      </c>
      <c r="N43" s="87">
        <v>4.09</v>
      </c>
      <c r="O43" s="87">
        <v>4.0649999999999995</v>
      </c>
      <c r="P43" s="87">
        <v>3.9649999999999999</v>
      </c>
      <c r="Q43" s="87">
        <v>3.6950000000000003</v>
      </c>
      <c r="R43" s="87">
        <v>3.6550000000000002</v>
      </c>
      <c r="S43" s="87">
        <v>3.56</v>
      </c>
      <c r="T43" s="87">
        <v>3.4249999999999998</v>
      </c>
      <c r="U43" s="87">
        <v>3.3200000000000003</v>
      </c>
      <c r="V43" s="87">
        <v>3.1900000000000004</v>
      </c>
      <c r="W43" s="87">
        <v>3.145</v>
      </c>
      <c r="X43" s="87">
        <v>3.165</v>
      </c>
      <c r="Y43" s="87">
        <v>3.125</v>
      </c>
      <c r="Z43" s="87">
        <v>3.125</v>
      </c>
      <c r="AA43" s="87">
        <v>3.125</v>
      </c>
      <c r="AB43" s="87">
        <v>3.145</v>
      </c>
      <c r="AC43" s="87">
        <v>3.1</v>
      </c>
      <c r="AD43" s="87">
        <v>3.1</v>
      </c>
      <c r="AE43" s="87">
        <v>3.145</v>
      </c>
    </row>
    <row r="44" spans="2:31">
      <c r="B44" s="85" t="s">
        <v>152</v>
      </c>
      <c r="C44" s="86">
        <v>2.4700000000000002</v>
      </c>
      <c r="D44" s="87">
        <v>2.33</v>
      </c>
      <c r="E44" s="87">
        <v>2.0249999999999999</v>
      </c>
      <c r="F44" s="87">
        <v>1.8450000000000002</v>
      </c>
      <c r="G44" s="87">
        <v>2.1150000000000002</v>
      </c>
      <c r="H44" s="87">
        <v>1.9249999999999998</v>
      </c>
      <c r="I44" s="87">
        <v>1.8649999999999998</v>
      </c>
      <c r="J44" s="87">
        <v>1.9</v>
      </c>
      <c r="K44" s="87">
        <v>1.92</v>
      </c>
      <c r="L44" s="87">
        <v>1.92</v>
      </c>
      <c r="M44" s="87">
        <v>1.87</v>
      </c>
      <c r="N44" s="87">
        <v>1.845</v>
      </c>
      <c r="O44" s="87">
        <v>1.835</v>
      </c>
      <c r="P44" s="87">
        <v>1.825</v>
      </c>
      <c r="Q44" s="87">
        <v>1.81</v>
      </c>
      <c r="R44" s="87">
        <v>1.825</v>
      </c>
      <c r="S44" s="87">
        <v>1.825</v>
      </c>
      <c r="T44" s="87">
        <v>1.8149999999999999</v>
      </c>
      <c r="U44" s="87">
        <v>1.83</v>
      </c>
      <c r="V44" s="87">
        <v>1.8199999999999998</v>
      </c>
      <c r="W44" s="87">
        <v>1.81</v>
      </c>
      <c r="X44" s="87">
        <v>1.835</v>
      </c>
      <c r="Y44" s="87">
        <v>1.835</v>
      </c>
      <c r="Z44" s="87">
        <v>1.79</v>
      </c>
      <c r="AA44" s="87">
        <v>1.75</v>
      </c>
      <c r="AB44" s="87">
        <v>1.7749999999999999</v>
      </c>
      <c r="AC44" s="87">
        <v>1.77</v>
      </c>
      <c r="AD44" s="87">
        <v>1.77</v>
      </c>
      <c r="AE44" s="87">
        <v>1.81</v>
      </c>
    </row>
    <row r="45" spans="2:31">
      <c r="B45" s="85" t="s">
        <v>153</v>
      </c>
      <c r="C45" s="86">
        <v>6.12</v>
      </c>
      <c r="D45" s="87">
        <v>4.82</v>
      </c>
      <c r="E45" s="87">
        <v>2.7450000000000001</v>
      </c>
      <c r="F45" s="87">
        <v>1.395</v>
      </c>
      <c r="G45" s="87">
        <v>1.2349999999999999</v>
      </c>
      <c r="H45" s="87">
        <v>1.395</v>
      </c>
      <c r="I45" s="87">
        <v>1.5</v>
      </c>
      <c r="J45" s="87">
        <v>1.62</v>
      </c>
      <c r="K45" s="87">
        <v>1.63</v>
      </c>
      <c r="L45" s="87">
        <v>1.62</v>
      </c>
      <c r="M45" s="87">
        <v>1.605</v>
      </c>
      <c r="N45" s="87">
        <v>1.5899999999999999</v>
      </c>
      <c r="O45" s="87">
        <v>1.58</v>
      </c>
      <c r="P45" s="87">
        <v>1.56</v>
      </c>
      <c r="Q45" s="87">
        <v>1.5449999999999999</v>
      </c>
      <c r="R45" s="87">
        <v>1.5350000000000001</v>
      </c>
      <c r="S45" s="87">
        <v>1.5249999999999999</v>
      </c>
      <c r="T45" s="87">
        <v>1.5150000000000001</v>
      </c>
      <c r="U45" s="87">
        <v>1.51</v>
      </c>
      <c r="V45" s="87">
        <v>1.5</v>
      </c>
      <c r="W45" s="87">
        <v>1.5</v>
      </c>
      <c r="X45" s="87">
        <v>1.4950000000000001</v>
      </c>
      <c r="Y45" s="87">
        <v>1.4900000000000002</v>
      </c>
      <c r="Z45" s="87">
        <v>1.4850000000000001</v>
      </c>
      <c r="AA45" s="87">
        <v>1.4850000000000001</v>
      </c>
      <c r="AB45" s="87">
        <v>1.4850000000000001</v>
      </c>
      <c r="AC45" s="87">
        <v>1.4900000000000002</v>
      </c>
      <c r="AD45" s="87">
        <v>1.48</v>
      </c>
      <c r="AE45" s="87">
        <v>1.48</v>
      </c>
    </row>
    <row r="46" spans="2:31">
      <c r="B46" s="85" t="s">
        <v>154</v>
      </c>
      <c r="C46" s="86">
        <v>6.87</v>
      </c>
      <c r="D46" s="87">
        <v>5.9050000000000002</v>
      </c>
      <c r="E46" s="87">
        <v>5.165</v>
      </c>
      <c r="F46" s="87">
        <v>4.8000000000000007</v>
      </c>
      <c r="G46" s="87">
        <v>4.75</v>
      </c>
      <c r="H46" s="87">
        <v>4.8650000000000002</v>
      </c>
      <c r="I46" s="87">
        <v>4.83</v>
      </c>
      <c r="J46" s="87">
        <v>4.7699999999999996</v>
      </c>
      <c r="K46" s="87">
        <v>4.71</v>
      </c>
      <c r="L46" s="87">
        <v>4.7549999999999999</v>
      </c>
      <c r="M46" s="87">
        <v>4.71</v>
      </c>
      <c r="N46" s="87">
        <v>4.63</v>
      </c>
      <c r="O46" s="87">
        <v>4.58</v>
      </c>
      <c r="P46" s="87">
        <v>4.5549999999999997</v>
      </c>
      <c r="Q46" s="87">
        <v>4.57</v>
      </c>
      <c r="R46" s="87">
        <v>4.5999999999999996</v>
      </c>
      <c r="S46" s="87">
        <v>4.62</v>
      </c>
      <c r="T46" s="87">
        <v>4.625</v>
      </c>
      <c r="U46" s="87">
        <v>4.62</v>
      </c>
      <c r="V46" s="87">
        <v>4.6099999999999994</v>
      </c>
      <c r="W46" s="87">
        <v>4.58</v>
      </c>
      <c r="X46" s="87">
        <v>4.5649999999999995</v>
      </c>
      <c r="Y46" s="87">
        <v>4.5500000000000007</v>
      </c>
      <c r="Z46" s="87">
        <v>4.5500000000000007</v>
      </c>
      <c r="AA46" s="87">
        <v>4.5649999999999995</v>
      </c>
      <c r="AB46" s="87">
        <v>4.5549999999999997</v>
      </c>
      <c r="AC46" s="87">
        <v>4.4800000000000004</v>
      </c>
      <c r="AD46" s="87">
        <v>4.42</v>
      </c>
      <c r="AE46" s="87">
        <v>4.3849999999999998</v>
      </c>
    </row>
    <row r="47" spans="2:31">
      <c r="B47" s="85" t="s">
        <v>155</v>
      </c>
      <c r="C47" s="86">
        <v>5.09</v>
      </c>
      <c r="D47" s="87">
        <v>3.59</v>
      </c>
      <c r="E47" s="87">
        <v>2.54</v>
      </c>
      <c r="F47" s="87">
        <v>1.7849999999999999</v>
      </c>
      <c r="G47" s="87">
        <v>1.79</v>
      </c>
      <c r="H47" s="87">
        <v>1.905</v>
      </c>
      <c r="I47" s="87">
        <v>1.905</v>
      </c>
      <c r="J47" s="87">
        <v>1.925</v>
      </c>
      <c r="K47" s="87">
        <v>1.92</v>
      </c>
      <c r="L47" s="87">
        <v>1.9</v>
      </c>
      <c r="M47" s="87">
        <v>1.88</v>
      </c>
      <c r="N47" s="87">
        <v>1.865</v>
      </c>
      <c r="O47" s="87">
        <v>1.9</v>
      </c>
      <c r="P47" s="87">
        <v>1.885</v>
      </c>
      <c r="Q47" s="87">
        <v>1.875</v>
      </c>
      <c r="R47" s="87">
        <v>1.865</v>
      </c>
      <c r="S47" s="87">
        <v>1.85</v>
      </c>
      <c r="T47" s="87">
        <v>1.8399999999999999</v>
      </c>
      <c r="U47" s="87">
        <v>1.83</v>
      </c>
      <c r="V47" s="87">
        <v>1.825</v>
      </c>
      <c r="W47" s="87">
        <v>1.83</v>
      </c>
      <c r="X47" s="87">
        <v>1.835</v>
      </c>
      <c r="Y47" s="87">
        <v>1.835</v>
      </c>
      <c r="Z47" s="87">
        <v>1.8399999999999999</v>
      </c>
      <c r="AA47" s="87">
        <v>1.8399999999999999</v>
      </c>
      <c r="AB47" s="87">
        <v>1.8399999999999999</v>
      </c>
      <c r="AC47" s="87">
        <v>1.8399999999999999</v>
      </c>
      <c r="AD47" s="87">
        <v>1.8399999999999999</v>
      </c>
      <c r="AE47" s="87">
        <v>1.8399999999999999</v>
      </c>
    </row>
    <row r="48" spans="2:31">
      <c r="B48" s="85" t="s">
        <v>156</v>
      </c>
      <c r="C48" s="86">
        <v>8.2149999999999999</v>
      </c>
      <c r="D48" s="87">
        <v>7.2250000000000005</v>
      </c>
      <c r="E48" s="87">
        <v>2.2649999999999997</v>
      </c>
      <c r="F48" s="87">
        <v>1.915</v>
      </c>
      <c r="G48" s="87">
        <v>2.0150000000000001</v>
      </c>
      <c r="H48" s="87">
        <v>1.9949999999999999</v>
      </c>
      <c r="I48" s="87">
        <v>1.99</v>
      </c>
      <c r="J48" s="87">
        <v>2.04</v>
      </c>
      <c r="K48" s="87">
        <v>2.08</v>
      </c>
      <c r="L48" s="87">
        <v>2.08</v>
      </c>
      <c r="M48" s="87">
        <v>2.0950000000000002</v>
      </c>
      <c r="N48" s="87">
        <v>2.105</v>
      </c>
      <c r="O48" s="87">
        <v>2.1</v>
      </c>
      <c r="P48" s="87">
        <v>2.0950000000000002</v>
      </c>
      <c r="Q48" s="87">
        <v>2.085</v>
      </c>
      <c r="R48" s="87">
        <v>2.09</v>
      </c>
      <c r="S48" s="87">
        <v>2.085</v>
      </c>
      <c r="T48" s="87">
        <v>2.0750000000000002</v>
      </c>
      <c r="U48" s="87">
        <v>2.08</v>
      </c>
      <c r="V48" s="87">
        <v>2.08</v>
      </c>
      <c r="W48" s="87">
        <v>2.0649999999999999</v>
      </c>
      <c r="X48" s="87">
        <v>2.0750000000000002</v>
      </c>
      <c r="Y48" s="87">
        <v>2.06</v>
      </c>
      <c r="Z48" s="87">
        <v>2.06</v>
      </c>
      <c r="AA48" s="87">
        <v>2.06</v>
      </c>
      <c r="AB48" s="87">
        <v>2.06</v>
      </c>
      <c r="AC48" s="87">
        <v>2.0449999999999999</v>
      </c>
      <c r="AD48" s="87">
        <v>2.0449999999999999</v>
      </c>
      <c r="AE48" s="87">
        <v>2.0550000000000002</v>
      </c>
    </row>
    <row r="49" spans="2:31">
      <c r="B49" s="85" t="s">
        <v>157</v>
      </c>
      <c r="C49" s="86">
        <v>2.84</v>
      </c>
      <c r="D49" s="87">
        <v>2.14</v>
      </c>
      <c r="E49" s="87">
        <v>1.5150000000000001</v>
      </c>
      <c r="F49" s="87">
        <v>1.0549999999999999</v>
      </c>
      <c r="G49" s="87">
        <v>0.92999999999999994</v>
      </c>
      <c r="H49" s="87">
        <v>0.93500000000000005</v>
      </c>
      <c r="I49" s="87">
        <v>1.03</v>
      </c>
      <c r="J49" s="87">
        <v>0.97500000000000009</v>
      </c>
      <c r="K49" s="87">
        <v>0.96500000000000008</v>
      </c>
      <c r="L49" s="87">
        <v>0.99499999999999988</v>
      </c>
      <c r="M49" s="87">
        <v>0.99499999999999988</v>
      </c>
      <c r="N49" s="87">
        <v>1.0449999999999999</v>
      </c>
      <c r="O49" s="87">
        <v>1.0549999999999999</v>
      </c>
      <c r="P49" s="87">
        <v>1.06</v>
      </c>
      <c r="Q49" s="87">
        <v>1.06</v>
      </c>
      <c r="R49" s="87">
        <v>1.0699999999999998</v>
      </c>
      <c r="S49" s="87">
        <v>1.06</v>
      </c>
      <c r="T49" s="87">
        <v>1.0449999999999999</v>
      </c>
      <c r="U49" s="87">
        <v>1.0549999999999999</v>
      </c>
      <c r="V49" s="87">
        <v>1.0549999999999999</v>
      </c>
      <c r="W49" s="87">
        <v>1.0449999999999999</v>
      </c>
      <c r="X49" s="87">
        <v>1.0549999999999999</v>
      </c>
      <c r="Y49" s="87">
        <v>1.04</v>
      </c>
      <c r="Z49" s="87">
        <v>1.04</v>
      </c>
      <c r="AA49" s="87">
        <v>1.04</v>
      </c>
      <c r="AB49" s="87">
        <v>1.0449999999999999</v>
      </c>
      <c r="AC49" s="87">
        <v>1.0249999999999999</v>
      </c>
      <c r="AD49" s="87">
        <v>1.0249999999999999</v>
      </c>
      <c r="AE49" s="87">
        <v>1.04</v>
      </c>
    </row>
    <row r="50" spans="2:31">
      <c r="B50" s="85" t="s">
        <v>158</v>
      </c>
      <c r="C50" s="86">
        <v>2.95</v>
      </c>
      <c r="D50" s="87">
        <v>2.4900000000000002</v>
      </c>
      <c r="E50" s="87">
        <v>1.66</v>
      </c>
      <c r="F50" s="87">
        <v>1.47</v>
      </c>
      <c r="G50" s="87">
        <v>1.6</v>
      </c>
      <c r="H50" s="87">
        <v>1.65</v>
      </c>
      <c r="I50" s="87">
        <v>1.6850000000000001</v>
      </c>
      <c r="J50" s="87">
        <v>1.71</v>
      </c>
      <c r="K50" s="87">
        <v>1.71</v>
      </c>
      <c r="L50" s="87">
        <v>1.7000000000000002</v>
      </c>
      <c r="M50" s="87">
        <v>1.6800000000000002</v>
      </c>
      <c r="N50" s="87">
        <v>1.665</v>
      </c>
      <c r="O50" s="87">
        <v>1.645</v>
      </c>
      <c r="P50" s="87">
        <v>1.625</v>
      </c>
      <c r="Q50" s="87">
        <v>1.6099999999999999</v>
      </c>
      <c r="R50" s="87">
        <v>1.595</v>
      </c>
      <c r="S50" s="87">
        <v>1.58</v>
      </c>
      <c r="T50" s="87">
        <v>1.5649999999999999</v>
      </c>
      <c r="U50" s="87">
        <v>1.5550000000000002</v>
      </c>
      <c r="V50" s="87">
        <v>1.54</v>
      </c>
      <c r="W50" s="87">
        <v>1.5249999999999999</v>
      </c>
      <c r="X50" s="87">
        <v>1.5150000000000001</v>
      </c>
      <c r="Y50" s="87">
        <v>1.5150000000000001</v>
      </c>
      <c r="Z50" s="87">
        <v>1.5150000000000001</v>
      </c>
      <c r="AA50" s="87">
        <v>1.5150000000000001</v>
      </c>
      <c r="AB50" s="87">
        <v>1.5150000000000001</v>
      </c>
      <c r="AC50" s="87">
        <v>1.5150000000000001</v>
      </c>
      <c r="AD50" s="87">
        <v>1.5150000000000001</v>
      </c>
      <c r="AE50" s="87">
        <v>1.5150000000000001</v>
      </c>
    </row>
    <row r="51" spans="2:31">
      <c r="B51" s="85" t="s">
        <v>159</v>
      </c>
      <c r="C51" s="86">
        <v>6.08</v>
      </c>
      <c r="D51" s="87">
        <v>1.23</v>
      </c>
      <c r="E51" s="87">
        <v>1.075</v>
      </c>
      <c r="F51" s="87">
        <v>1.8599999999999999</v>
      </c>
      <c r="G51" s="87">
        <v>1.77</v>
      </c>
      <c r="H51" s="87">
        <v>1.895</v>
      </c>
      <c r="I51" s="87">
        <v>1.9</v>
      </c>
      <c r="J51" s="87">
        <v>1.8900000000000001</v>
      </c>
      <c r="K51" s="87">
        <v>1.9</v>
      </c>
      <c r="L51" s="87">
        <v>1.8650000000000002</v>
      </c>
      <c r="M51" s="87">
        <v>1.84</v>
      </c>
      <c r="N51" s="87">
        <v>1.86</v>
      </c>
      <c r="O51" s="87">
        <v>1.8650000000000002</v>
      </c>
      <c r="P51" s="87">
        <v>1.875</v>
      </c>
      <c r="Q51" s="87">
        <v>1.875</v>
      </c>
      <c r="R51" s="87">
        <v>1.88</v>
      </c>
      <c r="S51" s="87">
        <v>1.8900000000000001</v>
      </c>
      <c r="T51" s="87">
        <v>1.8900000000000001</v>
      </c>
      <c r="U51" s="87">
        <v>1.895</v>
      </c>
      <c r="V51" s="87">
        <v>1.9</v>
      </c>
      <c r="W51" s="87">
        <v>1.895</v>
      </c>
      <c r="X51" s="87">
        <v>1.895</v>
      </c>
      <c r="Y51" s="87">
        <v>1.9</v>
      </c>
      <c r="Z51" s="87">
        <v>1.9</v>
      </c>
      <c r="AA51" s="87">
        <v>1.8900000000000001</v>
      </c>
      <c r="AB51" s="87">
        <v>1.86</v>
      </c>
      <c r="AC51" s="87">
        <v>1.84</v>
      </c>
      <c r="AD51" s="87">
        <v>1.84</v>
      </c>
      <c r="AE51" s="87">
        <v>1.8450000000000002</v>
      </c>
    </row>
    <row r="52" spans="2:31">
      <c r="B52" s="85" t="s">
        <v>160</v>
      </c>
      <c r="C52" s="86">
        <v>5.8</v>
      </c>
      <c r="D52" s="87">
        <v>4.96</v>
      </c>
      <c r="E52" s="87">
        <v>2.585</v>
      </c>
      <c r="F52" s="87">
        <v>2.665</v>
      </c>
      <c r="G52" s="87">
        <v>3.25</v>
      </c>
      <c r="H52" s="87">
        <v>3.375</v>
      </c>
      <c r="I52" s="87">
        <v>3.27</v>
      </c>
      <c r="J52" s="87">
        <v>3.17</v>
      </c>
      <c r="K52" s="87">
        <v>3.14</v>
      </c>
      <c r="L52" s="87">
        <v>3.13</v>
      </c>
      <c r="M52" s="87">
        <v>3.125</v>
      </c>
      <c r="N52" s="87">
        <v>3.15</v>
      </c>
      <c r="O52" s="87">
        <v>3.15</v>
      </c>
      <c r="P52" s="87">
        <v>3.1550000000000002</v>
      </c>
      <c r="Q52" s="87">
        <v>3.145</v>
      </c>
      <c r="R52" s="87">
        <v>3.145</v>
      </c>
      <c r="S52" s="87">
        <v>3.145</v>
      </c>
      <c r="T52" s="87">
        <v>3.1399999999999997</v>
      </c>
      <c r="U52" s="87">
        <v>3.1399999999999997</v>
      </c>
      <c r="V52" s="87">
        <v>3.1399999999999997</v>
      </c>
      <c r="W52" s="87">
        <v>3.1349999999999998</v>
      </c>
      <c r="X52" s="87">
        <v>3.1349999999999998</v>
      </c>
      <c r="Y52" s="87">
        <v>3.13</v>
      </c>
      <c r="Z52" s="87">
        <v>3.13</v>
      </c>
      <c r="AA52" s="87">
        <v>3.13</v>
      </c>
      <c r="AB52" s="87">
        <v>3.13</v>
      </c>
      <c r="AC52" s="87">
        <v>3.13</v>
      </c>
      <c r="AD52" s="87">
        <v>3.13</v>
      </c>
      <c r="AE52" s="87">
        <v>3.1349999999999998</v>
      </c>
    </row>
    <row r="53" spans="2:31">
      <c r="B53" s="85" t="s">
        <v>161</v>
      </c>
      <c r="C53" s="86">
        <v>72.31</v>
      </c>
      <c r="D53" s="87">
        <v>53.86</v>
      </c>
      <c r="E53" s="87">
        <v>56.975000000000001</v>
      </c>
      <c r="F53" s="87">
        <v>26.79</v>
      </c>
      <c r="G53" s="87">
        <v>15.07</v>
      </c>
      <c r="H53" s="87">
        <v>10.965</v>
      </c>
      <c r="I53" s="87">
        <v>9.32</v>
      </c>
      <c r="J53" s="87">
        <v>7.09</v>
      </c>
      <c r="K53" s="87">
        <v>6.2050000000000001</v>
      </c>
      <c r="L53" s="87">
        <v>5.8550000000000004</v>
      </c>
      <c r="M53" s="87">
        <v>5.98</v>
      </c>
      <c r="N53" s="87">
        <v>6.0150000000000006</v>
      </c>
      <c r="O53" s="87">
        <v>5.88</v>
      </c>
      <c r="P53" s="87">
        <v>5.7149999999999999</v>
      </c>
      <c r="Q53" s="87">
        <v>5.6749999999999998</v>
      </c>
      <c r="R53" s="87">
        <v>5.58</v>
      </c>
      <c r="S53" s="87">
        <v>5.47</v>
      </c>
      <c r="T53" s="87">
        <v>5.4550000000000001</v>
      </c>
      <c r="U53" s="87">
        <v>5.4450000000000003</v>
      </c>
      <c r="V53" s="87">
        <v>5.54</v>
      </c>
      <c r="W53" s="87">
        <v>5.375</v>
      </c>
      <c r="X53" s="87">
        <v>5.2149999999999999</v>
      </c>
      <c r="Y53" s="87">
        <v>5.15</v>
      </c>
      <c r="Z53" s="87">
        <v>5.15</v>
      </c>
      <c r="AA53" s="87">
        <v>5.1899999999999995</v>
      </c>
      <c r="AB53" s="87">
        <v>5.22</v>
      </c>
      <c r="AC53" s="87">
        <v>5.165</v>
      </c>
      <c r="AD53" s="87">
        <v>5.1349999999999998</v>
      </c>
      <c r="AE53" s="87">
        <v>5.1449999999999996</v>
      </c>
    </row>
    <row r="54" spans="2:31">
      <c r="B54" s="85" t="s">
        <v>162</v>
      </c>
      <c r="C54" s="86">
        <v>20.18</v>
      </c>
      <c r="D54" s="87">
        <v>12.85</v>
      </c>
      <c r="E54" s="87">
        <v>7.21</v>
      </c>
      <c r="F54" s="87">
        <v>6.76</v>
      </c>
      <c r="G54" s="87">
        <v>5.9749999999999996</v>
      </c>
      <c r="H54" s="87">
        <v>5.6950000000000003</v>
      </c>
      <c r="I54" s="87">
        <v>5.4350000000000005</v>
      </c>
      <c r="J54" s="87">
        <v>5.4749999999999996</v>
      </c>
      <c r="K54" s="87">
        <v>5.4749999999999996</v>
      </c>
      <c r="L54" s="87">
        <v>5.7149999999999999</v>
      </c>
      <c r="M54" s="87">
        <v>5.625</v>
      </c>
      <c r="N54" s="87">
        <v>5.2050000000000001</v>
      </c>
      <c r="O54" s="87">
        <v>5.0750000000000002</v>
      </c>
      <c r="P54" s="87">
        <v>5.1950000000000003</v>
      </c>
      <c r="Q54" s="87">
        <v>5.1099999999999994</v>
      </c>
      <c r="R54" s="87">
        <v>4.8599999999999994</v>
      </c>
      <c r="S54" s="87">
        <v>4.7750000000000004</v>
      </c>
      <c r="T54" s="87">
        <v>4.7349999999999994</v>
      </c>
      <c r="U54" s="87">
        <v>4.4050000000000002</v>
      </c>
      <c r="V54" s="87">
        <v>4.4000000000000004</v>
      </c>
      <c r="W54" s="87">
        <v>3.95</v>
      </c>
      <c r="X54" s="87">
        <v>3.74</v>
      </c>
      <c r="Y54" s="87">
        <v>3.5750000000000002</v>
      </c>
      <c r="Z54" s="87">
        <v>3.7800000000000002</v>
      </c>
      <c r="AA54" s="87">
        <v>3.7350000000000003</v>
      </c>
      <c r="AB54" s="87">
        <v>3.8149999999999999</v>
      </c>
      <c r="AC54" s="87">
        <v>3.5649999999999999</v>
      </c>
      <c r="AD54" s="87">
        <v>3.65</v>
      </c>
      <c r="AE54" s="87">
        <v>3.5249999999999999</v>
      </c>
    </row>
    <row r="55" spans="2:31">
      <c r="B55" s="85" t="s">
        <v>163</v>
      </c>
      <c r="C55" s="86">
        <v>5.0649999999999995</v>
      </c>
      <c r="D55" s="87">
        <v>2.4649999999999999</v>
      </c>
      <c r="E55" s="87">
        <v>2.44</v>
      </c>
      <c r="F55" s="87">
        <v>2.2450000000000001</v>
      </c>
      <c r="G55" s="87">
        <v>2.145</v>
      </c>
      <c r="H55" s="87">
        <v>2.1550000000000002</v>
      </c>
      <c r="I55" s="87">
        <v>2.2000000000000002</v>
      </c>
      <c r="J55" s="87">
        <v>2.2400000000000002</v>
      </c>
      <c r="K55" s="87">
        <v>2.2549999999999999</v>
      </c>
      <c r="L55" s="87">
        <v>2.2749999999999999</v>
      </c>
      <c r="M55" s="87">
        <v>2.2800000000000002</v>
      </c>
      <c r="N55" s="87">
        <v>2.2649999999999997</v>
      </c>
      <c r="O55" s="87">
        <v>2.2450000000000001</v>
      </c>
      <c r="P55" s="87">
        <v>2.23</v>
      </c>
      <c r="Q55" s="87">
        <v>2.2149999999999999</v>
      </c>
      <c r="R55" s="87">
        <v>2.21</v>
      </c>
      <c r="S55" s="87">
        <v>2.21</v>
      </c>
      <c r="T55" s="87">
        <v>2.21</v>
      </c>
      <c r="U55" s="87">
        <v>2.21</v>
      </c>
      <c r="V55" s="87">
        <v>2.21</v>
      </c>
      <c r="W55" s="87">
        <v>2.21</v>
      </c>
      <c r="X55" s="87">
        <v>2.21</v>
      </c>
      <c r="Y55" s="87">
        <v>2.21</v>
      </c>
      <c r="Z55" s="87">
        <v>2.21</v>
      </c>
      <c r="AA55" s="87">
        <v>2.2149999999999999</v>
      </c>
      <c r="AB55" s="87">
        <v>2.2199999999999998</v>
      </c>
      <c r="AC55" s="87">
        <v>2.23</v>
      </c>
      <c r="AD55" s="87">
        <v>2.2400000000000002</v>
      </c>
      <c r="AE55" s="87">
        <v>2.25</v>
      </c>
    </row>
    <row r="56" spans="2:31">
      <c r="B56" s="85" t="s">
        <v>164</v>
      </c>
      <c r="C56" s="86">
        <v>9.06</v>
      </c>
      <c r="D56" s="87">
        <v>7.3</v>
      </c>
      <c r="E56" s="87">
        <v>2.31</v>
      </c>
      <c r="F56" s="87">
        <v>2.2250000000000001</v>
      </c>
      <c r="G56" s="87">
        <v>2.0350000000000001</v>
      </c>
      <c r="H56" s="87">
        <v>2.0949999999999998</v>
      </c>
      <c r="I56" s="87">
        <v>2.0300000000000002</v>
      </c>
      <c r="J56" s="87">
        <v>1.9949999999999999</v>
      </c>
      <c r="K56" s="87">
        <v>1.9849999999999999</v>
      </c>
      <c r="L56" s="87">
        <v>1.99</v>
      </c>
      <c r="M56" s="87">
        <v>2.0049999999999999</v>
      </c>
      <c r="N56" s="87">
        <v>1.99</v>
      </c>
      <c r="O56" s="87">
        <v>2.02</v>
      </c>
      <c r="P56" s="87">
        <v>1.99</v>
      </c>
      <c r="Q56" s="87">
        <v>1.9750000000000001</v>
      </c>
      <c r="R56" s="87">
        <v>1.9849999999999999</v>
      </c>
      <c r="S56" s="87">
        <v>1.9849999999999999</v>
      </c>
      <c r="T56" s="87">
        <v>1.9849999999999999</v>
      </c>
      <c r="U56" s="87">
        <v>1.9849999999999999</v>
      </c>
      <c r="V56" s="87">
        <v>1.9849999999999999</v>
      </c>
      <c r="W56" s="87">
        <v>1.99</v>
      </c>
      <c r="X56" s="87">
        <v>1.99</v>
      </c>
      <c r="Y56" s="87">
        <v>1.99</v>
      </c>
      <c r="Z56" s="87">
        <v>1.99</v>
      </c>
      <c r="AA56" s="87">
        <v>1.99</v>
      </c>
      <c r="AB56" s="87">
        <v>1.99</v>
      </c>
      <c r="AC56" s="87">
        <v>1.99</v>
      </c>
      <c r="AD56" s="87">
        <v>1.99</v>
      </c>
      <c r="AE56" s="87">
        <v>1.99</v>
      </c>
    </row>
    <row r="57" spans="2:31">
      <c r="B57" s="85" t="s">
        <v>165</v>
      </c>
      <c r="C57" s="86">
        <v>7.99</v>
      </c>
      <c r="D57" s="87">
        <v>4.13</v>
      </c>
      <c r="E57" s="87">
        <v>2.8899999999999997</v>
      </c>
      <c r="F57" s="87">
        <v>2.1150000000000002</v>
      </c>
      <c r="G57" s="87">
        <v>2</v>
      </c>
      <c r="H57" s="87">
        <v>2</v>
      </c>
      <c r="I57" s="87">
        <v>2</v>
      </c>
      <c r="J57" s="87">
        <v>2</v>
      </c>
      <c r="K57" s="87">
        <v>2</v>
      </c>
      <c r="L57" s="87">
        <v>2</v>
      </c>
      <c r="M57" s="87">
        <v>2</v>
      </c>
      <c r="N57" s="87">
        <v>2</v>
      </c>
      <c r="O57" s="87">
        <v>2</v>
      </c>
      <c r="P57" s="87">
        <v>2</v>
      </c>
      <c r="Q57" s="87">
        <v>2</v>
      </c>
      <c r="R57" s="87">
        <v>2</v>
      </c>
      <c r="S57" s="87">
        <v>2</v>
      </c>
      <c r="T57" s="87">
        <v>2</v>
      </c>
      <c r="U57" s="87">
        <v>2</v>
      </c>
      <c r="V57" s="87">
        <v>2</v>
      </c>
      <c r="W57" s="87">
        <v>2</v>
      </c>
      <c r="X57" s="87">
        <v>2</v>
      </c>
      <c r="Y57" s="87">
        <v>2</v>
      </c>
      <c r="Z57" s="87">
        <v>2</v>
      </c>
      <c r="AA57" s="87">
        <v>2</v>
      </c>
      <c r="AB57" s="87">
        <v>2</v>
      </c>
      <c r="AC57" s="87">
        <v>2</v>
      </c>
      <c r="AD57" s="87">
        <v>2</v>
      </c>
      <c r="AE57" s="87">
        <v>2</v>
      </c>
    </row>
    <row r="58" spans="2:31">
      <c r="B58" s="85" t="s">
        <v>166</v>
      </c>
      <c r="C58" s="86">
        <v>194.36</v>
      </c>
      <c r="D58" s="87">
        <v>343.71500000000003</v>
      </c>
      <c r="E58" s="87">
        <v>60.9</v>
      </c>
      <c r="F58" s="87">
        <v>30.02</v>
      </c>
      <c r="G58" s="87">
        <v>18.989999999999998</v>
      </c>
      <c r="H58" s="87">
        <v>25.33</v>
      </c>
      <c r="I58" s="87">
        <v>23.9</v>
      </c>
      <c r="J58" s="87">
        <v>20.239999999999998</v>
      </c>
      <c r="K58" s="87">
        <v>16.28</v>
      </c>
      <c r="L58" s="87">
        <v>12.31</v>
      </c>
      <c r="M58" s="87">
        <v>9.1199999999999992</v>
      </c>
      <c r="N58" s="87">
        <v>6.66</v>
      </c>
      <c r="O58" s="87">
        <v>4.74</v>
      </c>
      <c r="P58" s="87">
        <v>3.29</v>
      </c>
      <c r="Q58" s="87">
        <v>2.2400000000000002</v>
      </c>
      <c r="R58" s="87">
        <v>1.47</v>
      </c>
      <c r="S58" s="87">
        <v>0.93</v>
      </c>
      <c r="T58" s="87">
        <v>0.63</v>
      </c>
      <c r="U58" s="87">
        <v>0.47</v>
      </c>
      <c r="V58" s="87">
        <v>0.37</v>
      </c>
      <c r="W58" s="87">
        <v>0.3</v>
      </c>
      <c r="X58" s="87">
        <v>0.27</v>
      </c>
      <c r="Y58" s="87">
        <v>0.33</v>
      </c>
      <c r="Z58" s="87">
        <v>0.42</v>
      </c>
      <c r="AA58" s="87">
        <v>0.51</v>
      </c>
      <c r="AB58" s="87">
        <v>0.6</v>
      </c>
      <c r="AC58" s="87">
        <v>0.68</v>
      </c>
      <c r="AD58" s="87">
        <v>0.77</v>
      </c>
      <c r="AE58" s="87">
        <v>0.85</v>
      </c>
    </row>
    <row r="59" spans="2:31">
      <c r="B59" s="85" t="s">
        <v>45</v>
      </c>
      <c r="C59" s="86">
        <v>3.16</v>
      </c>
      <c r="D59" s="87">
        <v>3.25</v>
      </c>
      <c r="E59" s="87">
        <v>3.7199999999999998</v>
      </c>
      <c r="F59" s="87">
        <v>3.21</v>
      </c>
      <c r="G59" s="87">
        <v>3.54</v>
      </c>
      <c r="H59" s="87">
        <v>3.6799999999999997</v>
      </c>
      <c r="I59" s="87">
        <v>3.8149999999999999</v>
      </c>
      <c r="J59" s="87">
        <v>3.84</v>
      </c>
      <c r="K59" s="87">
        <v>3.75</v>
      </c>
      <c r="L59" s="87">
        <v>3.6850000000000001</v>
      </c>
      <c r="M59" s="87">
        <v>3.6550000000000002</v>
      </c>
      <c r="N59" s="87">
        <v>3.625</v>
      </c>
      <c r="O59" s="87">
        <v>3.65</v>
      </c>
      <c r="P59" s="87">
        <v>3.69</v>
      </c>
      <c r="Q59" s="87">
        <v>3.67</v>
      </c>
      <c r="R59" s="87">
        <v>3.67</v>
      </c>
      <c r="S59" s="87">
        <v>3.6749999999999998</v>
      </c>
      <c r="T59" s="87">
        <v>3.6799999999999997</v>
      </c>
      <c r="U59" s="87">
        <v>3.6799999999999997</v>
      </c>
      <c r="V59" s="87">
        <v>3.6799999999999997</v>
      </c>
      <c r="W59" s="87">
        <v>3.6799999999999997</v>
      </c>
      <c r="X59" s="87">
        <v>3.6799999999999997</v>
      </c>
      <c r="Y59" s="87">
        <v>3.6799999999999997</v>
      </c>
      <c r="Z59" s="87">
        <v>3.6749999999999998</v>
      </c>
      <c r="AA59" s="87">
        <v>3.6749999999999998</v>
      </c>
      <c r="AB59" s="87">
        <v>3.6749999999999998</v>
      </c>
      <c r="AC59" s="87">
        <v>3.6749999999999998</v>
      </c>
      <c r="AD59" s="87">
        <v>3.67</v>
      </c>
      <c r="AE59" s="87">
        <v>3.6749999999999998</v>
      </c>
    </row>
    <row r="60" spans="2:31">
      <c r="B60" s="85" t="s">
        <v>167</v>
      </c>
      <c r="C60" s="86">
        <v>7.8949999999999996</v>
      </c>
      <c r="D60" s="87">
        <v>4.7249999999999996</v>
      </c>
      <c r="E60" s="87">
        <v>3.23</v>
      </c>
      <c r="F60" s="87">
        <v>4.6349999999999998</v>
      </c>
      <c r="G60" s="87">
        <v>4.1449999999999996</v>
      </c>
      <c r="H60" s="87">
        <v>4.4649999999999999</v>
      </c>
      <c r="I60" s="87">
        <v>4.8899999999999997</v>
      </c>
      <c r="J60" s="87">
        <v>4.55</v>
      </c>
      <c r="K60" s="87">
        <v>4.32</v>
      </c>
      <c r="L60" s="87">
        <v>4.1550000000000002</v>
      </c>
      <c r="M60" s="87">
        <v>4.0250000000000004</v>
      </c>
      <c r="N60" s="87">
        <v>3.9250000000000003</v>
      </c>
      <c r="O60" s="87">
        <v>3.835</v>
      </c>
      <c r="P60" s="87">
        <v>3.77</v>
      </c>
      <c r="Q60" s="87">
        <v>3.71</v>
      </c>
      <c r="R60" s="87">
        <v>3.66</v>
      </c>
      <c r="S60" s="87">
        <v>3.63</v>
      </c>
      <c r="T60" s="87">
        <v>3.5949999999999998</v>
      </c>
      <c r="U60" s="87">
        <v>3.5700000000000003</v>
      </c>
      <c r="V60" s="87">
        <v>3.5449999999999999</v>
      </c>
      <c r="W60" s="87">
        <v>3.52</v>
      </c>
      <c r="X60" s="87">
        <v>3.5</v>
      </c>
      <c r="Y60" s="87">
        <v>3.4749999999999996</v>
      </c>
      <c r="Z60" s="87">
        <v>3.46</v>
      </c>
      <c r="AA60" s="87">
        <v>3.45</v>
      </c>
      <c r="AB60" s="87">
        <v>3.44</v>
      </c>
      <c r="AC60" s="87">
        <v>3.4249999999999998</v>
      </c>
      <c r="AD60" s="87">
        <v>3.4049999999999998</v>
      </c>
      <c r="AE60" s="87">
        <v>3.3899999999999997</v>
      </c>
    </row>
    <row r="61" spans="2:31">
      <c r="B61" s="85" t="s">
        <v>168</v>
      </c>
      <c r="C61" s="86">
        <v>9.6950000000000003</v>
      </c>
      <c r="D61" s="87">
        <v>5.8250000000000002</v>
      </c>
      <c r="E61" s="87">
        <v>2.08</v>
      </c>
      <c r="F61" s="87">
        <v>1.8699999999999999</v>
      </c>
      <c r="G61" s="87">
        <v>1.4300000000000002</v>
      </c>
      <c r="H61" s="87">
        <v>1.44</v>
      </c>
      <c r="I61" s="87">
        <v>1.4449999999999998</v>
      </c>
      <c r="J61" s="87">
        <v>1.52</v>
      </c>
      <c r="K61" s="87">
        <v>1.68</v>
      </c>
      <c r="L61" s="87">
        <v>1.8599999999999999</v>
      </c>
      <c r="M61" s="87">
        <v>1.94</v>
      </c>
      <c r="N61" s="87">
        <v>1.9550000000000001</v>
      </c>
      <c r="O61" s="87">
        <v>1.9550000000000001</v>
      </c>
      <c r="P61" s="87">
        <v>1.9550000000000001</v>
      </c>
      <c r="Q61" s="87">
        <v>1.9550000000000001</v>
      </c>
      <c r="R61" s="87">
        <v>1.9550000000000001</v>
      </c>
      <c r="S61" s="87">
        <v>1.9550000000000001</v>
      </c>
      <c r="T61" s="87">
        <v>1.9550000000000001</v>
      </c>
      <c r="U61" s="87">
        <v>1.9550000000000001</v>
      </c>
      <c r="V61" s="87">
        <v>1.9550000000000001</v>
      </c>
      <c r="W61" s="87">
        <v>1.9550000000000001</v>
      </c>
      <c r="X61" s="87">
        <v>1.9550000000000001</v>
      </c>
      <c r="Y61" s="87">
        <v>1.9550000000000001</v>
      </c>
      <c r="Z61" s="87">
        <v>1.9550000000000001</v>
      </c>
      <c r="AA61" s="87">
        <v>1.9550000000000001</v>
      </c>
      <c r="AB61" s="87">
        <v>1.9550000000000001</v>
      </c>
      <c r="AC61" s="87">
        <v>1.9550000000000001</v>
      </c>
      <c r="AD61" s="87">
        <v>1.9550000000000001</v>
      </c>
      <c r="AE61" s="87">
        <v>1.9550000000000001</v>
      </c>
    </row>
    <row r="62" spans="2:31">
      <c r="B62" s="85" t="s">
        <v>169</v>
      </c>
      <c r="C62" s="86">
        <v>6.73</v>
      </c>
      <c r="D62" s="87">
        <v>4.7799999999999994</v>
      </c>
      <c r="E62" s="87">
        <v>3.3650000000000002</v>
      </c>
      <c r="F62" s="87">
        <v>2.59</v>
      </c>
      <c r="G62" s="87">
        <v>2.85</v>
      </c>
      <c r="H62" s="87">
        <v>2.87</v>
      </c>
      <c r="I62" s="87">
        <v>3.2149999999999999</v>
      </c>
      <c r="J62" s="87">
        <v>2.9550000000000001</v>
      </c>
      <c r="K62" s="87">
        <v>2.93</v>
      </c>
      <c r="L62" s="87">
        <v>2.8600000000000003</v>
      </c>
      <c r="M62" s="87">
        <v>2.835</v>
      </c>
      <c r="N62" s="87">
        <v>2.85</v>
      </c>
      <c r="O62" s="87">
        <v>2.8450000000000002</v>
      </c>
      <c r="P62" s="87">
        <v>2.8550000000000004</v>
      </c>
      <c r="Q62" s="87">
        <v>2.85</v>
      </c>
      <c r="R62" s="87">
        <v>2.8450000000000002</v>
      </c>
      <c r="S62" s="87">
        <v>2.8450000000000002</v>
      </c>
      <c r="T62" s="87">
        <v>2.84</v>
      </c>
      <c r="U62" s="87">
        <v>2.84</v>
      </c>
      <c r="V62" s="87">
        <v>2.77</v>
      </c>
      <c r="W62" s="87">
        <v>2.7450000000000001</v>
      </c>
      <c r="X62" s="87">
        <v>2.7250000000000001</v>
      </c>
      <c r="Y62" s="87">
        <v>2.72</v>
      </c>
      <c r="Z62" s="87">
        <v>2.7149999999999999</v>
      </c>
      <c r="AA62" s="87">
        <v>2.7149999999999999</v>
      </c>
      <c r="AB62" s="87">
        <v>2.7149999999999999</v>
      </c>
      <c r="AC62" s="87">
        <v>2.7149999999999999</v>
      </c>
      <c r="AD62" s="87">
        <v>2.7149999999999999</v>
      </c>
      <c r="AE62" s="87">
        <v>2.66</v>
      </c>
    </row>
    <row r="63" spans="2:31">
      <c r="B63" s="85" t="s">
        <v>170</v>
      </c>
      <c r="C63" s="86">
        <v>1.875</v>
      </c>
      <c r="D63" s="87">
        <v>2.1</v>
      </c>
      <c r="E63" s="87">
        <v>2.0499999999999998</v>
      </c>
      <c r="F63" s="87">
        <v>2.41</v>
      </c>
      <c r="G63" s="87">
        <v>2.38</v>
      </c>
      <c r="H63" s="87">
        <v>2.2050000000000001</v>
      </c>
      <c r="I63" s="87">
        <v>1.97</v>
      </c>
      <c r="J63" s="87">
        <v>1.9249999999999998</v>
      </c>
      <c r="K63" s="87">
        <v>1.9100000000000001</v>
      </c>
      <c r="L63" s="87">
        <v>1.905</v>
      </c>
      <c r="M63" s="87">
        <v>1.8900000000000001</v>
      </c>
      <c r="N63" s="87">
        <v>1.87</v>
      </c>
      <c r="O63" s="87">
        <v>1.85</v>
      </c>
      <c r="P63" s="87">
        <v>1.83</v>
      </c>
      <c r="Q63" s="87">
        <v>1.8149999999999999</v>
      </c>
      <c r="R63" s="87">
        <v>1.7949999999999999</v>
      </c>
      <c r="S63" s="87">
        <v>1.78</v>
      </c>
      <c r="T63" s="87">
        <v>1.77</v>
      </c>
      <c r="U63" s="87">
        <v>1.77</v>
      </c>
      <c r="V63" s="87">
        <v>1.7749999999999999</v>
      </c>
      <c r="W63" s="87">
        <v>1.79</v>
      </c>
      <c r="X63" s="87">
        <v>1.8050000000000002</v>
      </c>
      <c r="Y63" s="87">
        <v>1.8149999999999999</v>
      </c>
      <c r="Z63" s="87">
        <v>1.8149999999999999</v>
      </c>
      <c r="AA63" s="87">
        <v>1.8199999999999998</v>
      </c>
      <c r="AB63" s="87">
        <v>1.825</v>
      </c>
      <c r="AC63" s="87">
        <v>1.83</v>
      </c>
      <c r="AD63" s="87">
        <v>1.835</v>
      </c>
      <c r="AE63" s="87">
        <v>1.835</v>
      </c>
    </row>
    <row r="64" spans="2:31">
      <c r="B64" s="85" t="s">
        <v>171</v>
      </c>
      <c r="C64" s="86">
        <v>11.64</v>
      </c>
      <c r="D64" s="87">
        <v>7.46</v>
      </c>
      <c r="E64" s="87">
        <v>3.33</v>
      </c>
      <c r="F64" s="87">
        <v>2.96</v>
      </c>
      <c r="G64" s="87">
        <v>3.085</v>
      </c>
      <c r="H64" s="87">
        <v>3.0049999999999999</v>
      </c>
      <c r="I64" s="87">
        <v>2.9249999999999998</v>
      </c>
      <c r="J64" s="87">
        <v>2.9699999999999998</v>
      </c>
      <c r="K64" s="87">
        <v>2.9800000000000004</v>
      </c>
      <c r="L64" s="87">
        <v>3.01</v>
      </c>
      <c r="M64" s="87">
        <v>3</v>
      </c>
      <c r="N64" s="87">
        <v>3.01</v>
      </c>
      <c r="O64" s="87">
        <v>3.0300000000000002</v>
      </c>
      <c r="P64" s="87">
        <v>3.0350000000000001</v>
      </c>
      <c r="Q64" s="87">
        <v>3.0049999999999999</v>
      </c>
      <c r="R64" s="87">
        <v>3.0049999999999999</v>
      </c>
      <c r="S64" s="87">
        <v>3.0049999999999999</v>
      </c>
      <c r="T64" s="87">
        <v>3.0149999999999997</v>
      </c>
      <c r="U64" s="87">
        <v>3.0350000000000001</v>
      </c>
      <c r="V64" s="87">
        <v>3.01</v>
      </c>
      <c r="W64" s="87">
        <v>3.01</v>
      </c>
      <c r="X64" s="87">
        <v>2.9950000000000001</v>
      </c>
      <c r="Y64" s="87">
        <v>2.9850000000000003</v>
      </c>
      <c r="Z64" s="87">
        <v>3.01</v>
      </c>
      <c r="AA64" s="87">
        <v>3</v>
      </c>
      <c r="AB64" s="87">
        <v>3.01</v>
      </c>
      <c r="AC64" s="87">
        <v>3.01</v>
      </c>
      <c r="AD64" s="87">
        <v>3.01</v>
      </c>
      <c r="AE64" s="87">
        <v>3.02</v>
      </c>
    </row>
    <row r="65" spans="2:31">
      <c r="B65" s="85" t="s">
        <v>172</v>
      </c>
      <c r="C65" s="86">
        <v>7.88</v>
      </c>
      <c r="D65" s="87">
        <v>6.26</v>
      </c>
      <c r="E65" s="87">
        <v>2.8499999999999996</v>
      </c>
      <c r="F65" s="87">
        <v>2.1950000000000003</v>
      </c>
      <c r="G65" s="87">
        <v>1.915</v>
      </c>
      <c r="H65" s="87">
        <v>2.2450000000000001</v>
      </c>
      <c r="I65" s="87">
        <v>2.25</v>
      </c>
      <c r="J65" s="87">
        <v>2.21</v>
      </c>
      <c r="K65" s="87">
        <v>2.2349999999999999</v>
      </c>
      <c r="L65" s="87">
        <v>2.23</v>
      </c>
      <c r="M65" s="87">
        <v>2.21</v>
      </c>
      <c r="N65" s="87">
        <v>2.23</v>
      </c>
      <c r="O65" s="87">
        <v>2.2450000000000001</v>
      </c>
      <c r="P65" s="87">
        <v>2.2400000000000002</v>
      </c>
      <c r="Q65" s="87">
        <v>2.2400000000000002</v>
      </c>
      <c r="R65" s="87">
        <v>2.2450000000000001</v>
      </c>
      <c r="S65" s="87">
        <v>2.25</v>
      </c>
      <c r="T65" s="87">
        <v>2.2450000000000001</v>
      </c>
      <c r="U65" s="87">
        <v>2.2450000000000001</v>
      </c>
      <c r="V65" s="87">
        <v>2.2400000000000002</v>
      </c>
      <c r="W65" s="87">
        <v>2.23</v>
      </c>
      <c r="X65" s="87">
        <v>2.2250000000000001</v>
      </c>
      <c r="Y65" s="87">
        <v>2.2199999999999998</v>
      </c>
      <c r="Z65" s="87">
        <v>2.2199999999999998</v>
      </c>
      <c r="AA65" s="87">
        <v>2.2199999999999998</v>
      </c>
      <c r="AB65" s="87">
        <v>2.2149999999999999</v>
      </c>
      <c r="AC65" s="87">
        <v>2.2649999999999997</v>
      </c>
      <c r="AD65" s="87">
        <v>2.2050000000000001</v>
      </c>
      <c r="AE65" s="87">
        <v>2.2050000000000001</v>
      </c>
    </row>
    <row r="66" spans="2:31">
      <c r="B66" s="85" t="s">
        <v>173</v>
      </c>
      <c r="C66" s="86">
        <v>31.92</v>
      </c>
      <c r="D66" s="87">
        <v>39.24</v>
      </c>
      <c r="E66" s="87">
        <v>18.725000000000001</v>
      </c>
      <c r="F66" s="87">
        <v>12.5</v>
      </c>
      <c r="G66" s="87">
        <v>8.7149999999999999</v>
      </c>
      <c r="H66" s="87">
        <v>8.5649999999999995</v>
      </c>
      <c r="I66" s="87">
        <v>8.245000000000001</v>
      </c>
      <c r="J66" s="87">
        <v>8.2199999999999989</v>
      </c>
      <c r="K66" s="87">
        <v>8.1999999999999993</v>
      </c>
      <c r="L66" s="87">
        <v>8.1950000000000003</v>
      </c>
      <c r="M66" s="87">
        <v>8.18</v>
      </c>
      <c r="N66" s="87">
        <v>8.1649999999999991</v>
      </c>
      <c r="O66" s="87">
        <v>8.1549999999999994</v>
      </c>
      <c r="P66" s="87">
        <v>8.1449999999999996</v>
      </c>
      <c r="Q66" s="87">
        <v>8.14</v>
      </c>
      <c r="R66" s="87">
        <v>8.129999999999999</v>
      </c>
      <c r="S66" s="87">
        <v>8.120000000000001</v>
      </c>
      <c r="T66" s="87">
        <v>8.1150000000000002</v>
      </c>
      <c r="U66" s="87">
        <v>8.1050000000000004</v>
      </c>
      <c r="V66" s="87">
        <v>8.0949999999999989</v>
      </c>
      <c r="W66" s="87">
        <v>8.09</v>
      </c>
      <c r="X66" s="87">
        <v>8.0850000000000009</v>
      </c>
      <c r="Y66" s="87">
        <v>8.0749999999999993</v>
      </c>
      <c r="Z66" s="87">
        <v>8.07</v>
      </c>
      <c r="AA66" s="87">
        <v>8.0649999999999995</v>
      </c>
      <c r="AB66" s="87">
        <v>8.0549999999999997</v>
      </c>
      <c r="AC66" s="87">
        <v>8.0449999999999999</v>
      </c>
      <c r="AD66" s="87">
        <v>8.0350000000000001</v>
      </c>
      <c r="AE66" s="87">
        <v>8.0299999999999994</v>
      </c>
    </row>
    <row r="67" spans="2:31">
      <c r="B67" s="85" t="s">
        <v>608</v>
      </c>
      <c r="C67" s="86"/>
      <c r="D67" s="87">
        <v>8.629999999999999</v>
      </c>
      <c r="E67" s="87">
        <v>4.3550000000000004</v>
      </c>
      <c r="F67" s="87">
        <v>2.21</v>
      </c>
      <c r="G67" s="87">
        <v>2.2949999999999999</v>
      </c>
      <c r="H67" s="87">
        <v>2.52</v>
      </c>
      <c r="I67" s="87">
        <v>2.5</v>
      </c>
      <c r="J67" s="87">
        <v>2.5</v>
      </c>
      <c r="K67" s="87">
        <v>2.5149999999999997</v>
      </c>
      <c r="L67" s="87">
        <v>2.5149999999999997</v>
      </c>
      <c r="M67" s="87">
        <v>2.5149999999999997</v>
      </c>
      <c r="N67" s="87">
        <v>2.5149999999999997</v>
      </c>
      <c r="O67" s="87">
        <v>2.5149999999999997</v>
      </c>
      <c r="P67" s="87">
        <v>2.5149999999999997</v>
      </c>
      <c r="Q67" s="87">
        <v>2.5149999999999997</v>
      </c>
      <c r="R67" s="87">
        <v>2.5149999999999997</v>
      </c>
      <c r="S67" s="87">
        <v>2.5149999999999997</v>
      </c>
      <c r="T67" s="87">
        <v>2.5149999999999997</v>
      </c>
      <c r="U67" s="87">
        <v>2.5149999999999997</v>
      </c>
      <c r="V67" s="87">
        <v>2.5149999999999997</v>
      </c>
      <c r="W67" s="87">
        <v>2.5149999999999997</v>
      </c>
      <c r="X67" s="87">
        <v>2.5149999999999997</v>
      </c>
      <c r="Y67" s="87">
        <v>2.5149999999999997</v>
      </c>
      <c r="Z67" s="87">
        <v>2.5149999999999997</v>
      </c>
      <c r="AA67" s="87">
        <v>2.5149999999999997</v>
      </c>
      <c r="AB67" s="87">
        <v>2.5149999999999997</v>
      </c>
      <c r="AC67" s="87">
        <v>2.5149999999999997</v>
      </c>
      <c r="AD67" s="87">
        <v>2.5149999999999997</v>
      </c>
      <c r="AE67" s="87">
        <v>2.5149999999999997</v>
      </c>
    </row>
    <row r="68" spans="2:31">
      <c r="C68" s="86"/>
      <c r="D68" s="87"/>
      <c r="E68" s="87"/>
      <c r="F68" s="87"/>
      <c r="G68" s="87"/>
      <c r="H68" s="87"/>
      <c r="I68" s="87"/>
      <c r="J68" s="87"/>
      <c r="K68" s="87"/>
      <c r="L68" s="87"/>
      <c r="M68" s="87"/>
      <c r="N68" s="87"/>
      <c r="O68" s="87"/>
      <c r="P68" s="87"/>
      <c r="Q68" s="87"/>
      <c r="R68" s="87"/>
      <c r="S68" s="87"/>
      <c r="T68" s="87"/>
      <c r="U68" s="87"/>
      <c r="V68" s="87"/>
      <c r="W68" s="87"/>
      <c r="X68" s="87"/>
      <c r="Y68" s="87"/>
      <c r="Z68" s="87"/>
      <c r="AA68" s="87"/>
      <c r="AB68" s="87"/>
      <c r="AC68" s="87"/>
      <c r="AD68" s="87"/>
      <c r="AE68" s="87"/>
    </row>
    <row r="69" spans="2:31">
      <c r="B69" s="88" t="s">
        <v>174</v>
      </c>
      <c r="C69" s="89">
        <v>8.5850000000000009</v>
      </c>
      <c r="D69" s="90">
        <v>7.76</v>
      </c>
      <c r="E69" s="90">
        <v>3.04</v>
      </c>
      <c r="F69" s="90">
        <v>1.6150000000000002</v>
      </c>
      <c r="G69" s="90">
        <v>2.0549999999999997</v>
      </c>
      <c r="H69" s="90">
        <v>2.16</v>
      </c>
      <c r="I69" s="90">
        <v>2.1399999999999997</v>
      </c>
      <c r="J69" s="90">
        <v>2.13</v>
      </c>
      <c r="K69" s="90">
        <v>2.1150000000000002</v>
      </c>
      <c r="L69" s="90">
        <v>2.1399999999999997</v>
      </c>
      <c r="M69" s="90">
        <v>2.1349999999999998</v>
      </c>
      <c r="N69" s="90">
        <v>2.1799999999999997</v>
      </c>
      <c r="O69" s="90">
        <v>2.16</v>
      </c>
      <c r="P69" s="90">
        <v>2.1550000000000002</v>
      </c>
      <c r="Q69" s="90">
        <v>2.145</v>
      </c>
      <c r="R69" s="90">
        <v>2.16</v>
      </c>
      <c r="S69" s="90">
        <v>2.1749999999999998</v>
      </c>
      <c r="T69" s="90">
        <v>2.1550000000000002</v>
      </c>
      <c r="U69" s="90">
        <v>2.165</v>
      </c>
      <c r="V69" s="90">
        <v>2.1550000000000002</v>
      </c>
      <c r="W69" s="90">
        <v>2.13</v>
      </c>
      <c r="X69" s="90">
        <v>2.13</v>
      </c>
      <c r="Y69" s="90">
        <v>2.1150000000000002</v>
      </c>
      <c r="Z69" s="90">
        <v>2.125</v>
      </c>
      <c r="AA69" s="90">
        <v>2.1150000000000002</v>
      </c>
      <c r="AB69" s="90">
        <v>2.125</v>
      </c>
      <c r="AC69" s="90">
        <v>2.1100000000000003</v>
      </c>
      <c r="AD69" s="90">
        <v>2.1150000000000002</v>
      </c>
      <c r="AE69" s="90">
        <v>2.125</v>
      </c>
    </row>
    <row r="70" spans="2:31">
      <c r="B70" s="88" t="s">
        <v>175</v>
      </c>
      <c r="C70" s="89">
        <v>9.9649999999999999</v>
      </c>
      <c r="D70" s="90">
        <v>3.165</v>
      </c>
      <c r="E70" s="90">
        <v>3.0750000000000002</v>
      </c>
      <c r="F70" s="90">
        <v>2</v>
      </c>
      <c r="G70" s="90">
        <v>1.7450000000000001</v>
      </c>
      <c r="H70" s="90">
        <v>1.905</v>
      </c>
      <c r="I70" s="90">
        <v>2.0149999999999997</v>
      </c>
      <c r="J70" s="90">
        <v>2.0300000000000002</v>
      </c>
      <c r="K70" s="90">
        <v>2.06</v>
      </c>
      <c r="L70" s="90">
        <v>2.0099999999999998</v>
      </c>
      <c r="M70" s="90">
        <v>1.9849999999999999</v>
      </c>
      <c r="N70" s="90">
        <v>1.9950000000000001</v>
      </c>
      <c r="O70" s="90">
        <v>1.95</v>
      </c>
      <c r="P70" s="90">
        <v>1.9849999999999999</v>
      </c>
      <c r="Q70" s="90">
        <v>1.97</v>
      </c>
      <c r="R70" s="90">
        <v>1.9550000000000001</v>
      </c>
      <c r="S70" s="90">
        <v>1.9449999999999998</v>
      </c>
      <c r="T70" s="90">
        <v>1.925</v>
      </c>
      <c r="U70" s="90">
        <v>1.92</v>
      </c>
      <c r="V70" s="90">
        <v>1.98</v>
      </c>
      <c r="W70" s="90">
        <v>1.9750000000000001</v>
      </c>
      <c r="X70" s="90">
        <v>1.99</v>
      </c>
      <c r="Y70" s="90">
        <v>1.9750000000000001</v>
      </c>
      <c r="Z70" s="90">
        <v>1.98</v>
      </c>
      <c r="AA70" s="90">
        <v>1.9950000000000001</v>
      </c>
      <c r="AB70" s="90">
        <v>2</v>
      </c>
      <c r="AC70" s="90">
        <v>1.98</v>
      </c>
      <c r="AD70" s="90">
        <v>1.99</v>
      </c>
      <c r="AE70" s="90">
        <v>1.9950000000000001</v>
      </c>
    </row>
    <row r="71" spans="2:31">
      <c r="B71" s="88" t="s">
        <v>176</v>
      </c>
      <c r="C71" s="89">
        <v>8.25</v>
      </c>
      <c r="D71" s="90">
        <v>3.93</v>
      </c>
      <c r="E71" s="90">
        <v>2.3449999999999998</v>
      </c>
      <c r="F71" s="90">
        <v>1.8699999999999999</v>
      </c>
      <c r="G71" s="90">
        <v>2.0350000000000001</v>
      </c>
      <c r="H71" s="90">
        <v>2.14</v>
      </c>
      <c r="I71" s="90">
        <v>2.1550000000000002</v>
      </c>
      <c r="J71" s="90">
        <v>2.2749999999999999</v>
      </c>
      <c r="K71" s="90">
        <v>2.31</v>
      </c>
      <c r="L71" s="90">
        <v>2.3250000000000002</v>
      </c>
      <c r="M71" s="90">
        <v>2.3200000000000003</v>
      </c>
      <c r="N71" s="90">
        <v>2.37</v>
      </c>
      <c r="O71" s="90">
        <v>2.3049999999999997</v>
      </c>
      <c r="P71" s="90">
        <v>2.2549999999999999</v>
      </c>
      <c r="Q71" s="90">
        <v>2.1950000000000003</v>
      </c>
      <c r="R71" s="90">
        <v>2.1799999999999997</v>
      </c>
      <c r="S71" s="90">
        <v>2.145</v>
      </c>
      <c r="T71" s="90">
        <v>2.1100000000000003</v>
      </c>
      <c r="U71" s="90">
        <v>2.1150000000000002</v>
      </c>
      <c r="V71" s="90">
        <v>2.1100000000000003</v>
      </c>
      <c r="W71" s="90">
        <v>2.08</v>
      </c>
      <c r="X71" s="90">
        <v>2.09</v>
      </c>
      <c r="Y71" s="90">
        <v>2.0700000000000003</v>
      </c>
      <c r="Z71" s="90">
        <v>2.0649999999999999</v>
      </c>
      <c r="AA71" s="90">
        <v>2.0700000000000003</v>
      </c>
      <c r="AB71" s="90">
        <v>2.08</v>
      </c>
      <c r="AC71" s="90">
        <v>2.0499999999999998</v>
      </c>
      <c r="AD71" s="90">
        <v>2.0449999999999999</v>
      </c>
      <c r="AE71" s="90">
        <v>2.0649999999999999</v>
      </c>
    </row>
    <row r="72" spans="2:31">
      <c r="B72" s="88" t="s">
        <v>177</v>
      </c>
      <c r="C72" s="89">
        <v>7.1449999999999996</v>
      </c>
      <c r="D72" s="90">
        <v>5.2949999999999999</v>
      </c>
      <c r="E72" s="90">
        <v>1.87</v>
      </c>
      <c r="F72" s="90">
        <v>1.9649999999999999</v>
      </c>
      <c r="G72" s="90">
        <v>1.9849999999999999</v>
      </c>
      <c r="H72" s="90">
        <v>2.0750000000000002</v>
      </c>
      <c r="I72" s="90">
        <v>2.08</v>
      </c>
      <c r="J72" s="90">
        <v>2.1399999999999997</v>
      </c>
      <c r="K72" s="90">
        <v>2.125</v>
      </c>
      <c r="L72" s="90">
        <v>2.04</v>
      </c>
      <c r="M72" s="90">
        <v>2.06</v>
      </c>
      <c r="N72" s="90">
        <v>2.125</v>
      </c>
      <c r="O72" s="90">
        <v>2.16</v>
      </c>
      <c r="P72" s="90">
        <v>2.12</v>
      </c>
      <c r="Q72" s="90">
        <v>2.1850000000000001</v>
      </c>
      <c r="R72" s="90">
        <v>2.145</v>
      </c>
      <c r="S72" s="90">
        <v>2.21</v>
      </c>
      <c r="T72" s="90">
        <v>2.15</v>
      </c>
      <c r="U72" s="90">
        <v>2.13</v>
      </c>
      <c r="V72" s="90">
        <v>2.145</v>
      </c>
      <c r="W72" s="90">
        <v>2.0649999999999999</v>
      </c>
      <c r="X72" s="90">
        <v>2.1150000000000002</v>
      </c>
      <c r="Y72" s="90">
        <v>2.09</v>
      </c>
      <c r="Z72" s="90">
        <v>2.165</v>
      </c>
      <c r="AA72" s="90">
        <v>2.085</v>
      </c>
      <c r="AB72" s="90">
        <v>2.1</v>
      </c>
      <c r="AC72" s="90">
        <v>2.06</v>
      </c>
      <c r="AD72" s="90">
        <v>2.06</v>
      </c>
      <c r="AE72" s="90">
        <v>2.0649999999999999</v>
      </c>
    </row>
    <row r="73" spans="2:31">
      <c r="B73" s="88" t="s">
        <v>178</v>
      </c>
      <c r="C73" s="89">
        <v>5.5649999999999995</v>
      </c>
      <c r="D73" s="90">
        <v>5.27</v>
      </c>
      <c r="E73" s="90">
        <v>2.73</v>
      </c>
      <c r="F73" s="90">
        <v>1.5</v>
      </c>
      <c r="G73" s="90">
        <v>1.5699999999999998</v>
      </c>
      <c r="H73" s="90">
        <v>1.9449999999999998</v>
      </c>
      <c r="I73" s="90">
        <v>1.9649999999999999</v>
      </c>
      <c r="J73" s="90">
        <v>1.9849999999999999</v>
      </c>
      <c r="K73" s="90">
        <v>1.9550000000000001</v>
      </c>
      <c r="L73" s="90">
        <v>2.0099999999999998</v>
      </c>
      <c r="M73" s="90">
        <v>2.0249999999999999</v>
      </c>
      <c r="N73" s="90">
        <v>2.0499999999999998</v>
      </c>
      <c r="O73" s="90">
        <v>2.04</v>
      </c>
      <c r="P73" s="90">
        <v>2.0449999999999999</v>
      </c>
      <c r="Q73" s="90">
        <v>2.0499999999999998</v>
      </c>
      <c r="R73" s="90">
        <v>2.06</v>
      </c>
      <c r="S73" s="90">
        <v>2.06</v>
      </c>
      <c r="T73" s="90">
        <v>2.0549999999999997</v>
      </c>
      <c r="U73" s="90">
        <v>2.06</v>
      </c>
      <c r="V73" s="90">
        <v>2.0649999999999999</v>
      </c>
      <c r="W73" s="90">
        <v>2.0350000000000001</v>
      </c>
      <c r="X73" s="90">
        <v>2.04</v>
      </c>
      <c r="Y73" s="90">
        <v>2.0300000000000002</v>
      </c>
      <c r="Z73" s="90">
        <v>2.02</v>
      </c>
      <c r="AA73" s="90">
        <v>2.0249999999999999</v>
      </c>
      <c r="AB73" s="90">
        <v>2.0350000000000001</v>
      </c>
      <c r="AC73" s="90">
        <v>2.02</v>
      </c>
      <c r="AD73" s="90">
        <v>2.0249999999999999</v>
      </c>
      <c r="AE73" s="90">
        <v>2.04</v>
      </c>
    </row>
    <row r="74" spans="2:31">
      <c r="B74" s="88" t="s">
        <v>179</v>
      </c>
      <c r="C74" s="89">
        <v>7.7799999999999994</v>
      </c>
      <c r="D74" s="90">
        <v>5.9749999999999996</v>
      </c>
      <c r="E74" s="90">
        <v>1.92</v>
      </c>
      <c r="F74" s="90">
        <v>1.3149999999999999</v>
      </c>
      <c r="G74" s="90">
        <v>1.5049999999999999</v>
      </c>
      <c r="H74" s="90">
        <v>1.7949999999999999</v>
      </c>
      <c r="I74" s="90">
        <v>1.98</v>
      </c>
      <c r="J74" s="90">
        <v>2.0499999999999998</v>
      </c>
      <c r="K74" s="90">
        <v>2.0249999999999999</v>
      </c>
      <c r="L74" s="90">
        <v>2.1</v>
      </c>
      <c r="M74" s="90">
        <v>2.2050000000000001</v>
      </c>
      <c r="N74" s="90">
        <v>2.375</v>
      </c>
      <c r="O74" s="90">
        <v>2.355</v>
      </c>
      <c r="P74" s="90">
        <v>2.33</v>
      </c>
      <c r="Q74" s="90">
        <v>2.29</v>
      </c>
      <c r="R74" s="90">
        <v>2.2949999999999999</v>
      </c>
      <c r="S74" s="90">
        <v>2.2850000000000001</v>
      </c>
      <c r="T74" s="90">
        <v>2.2349999999999999</v>
      </c>
      <c r="U74" s="90">
        <v>2.2199999999999998</v>
      </c>
      <c r="V74" s="90">
        <v>2.2149999999999999</v>
      </c>
      <c r="W74" s="90">
        <v>2.15</v>
      </c>
      <c r="X74" s="90">
        <v>2.11</v>
      </c>
      <c r="Y74" s="90">
        <v>2.0750000000000002</v>
      </c>
      <c r="Z74" s="90">
        <v>2.0449999999999999</v>
      </c>
      <c r="AA74" s="90">
        <v>2.0099999999999998</v>
      </c>
      <c r="AB74" s="90">
        <v>2.0299999999999998</v>
      </c>
      <c r="AC74" s="90">
        <v>1.9949999999999999</v>
      </c>
      <c r="AD74" s="90">
        <v>1.9699999999999998</v>
      </c>
      <c r="AE74" s="90">
        <v>1.9899999999999998</v>
      </c>
    </row>
    <row r="75" spans="2:31">
      <c r="B75" s="88" t="s">
        <v>180</v>
      </c>
      <c r="C75" s="89">
        <v>9.4750000000000014</v>
      </c>
      <c r="D75" s="90">
        <v>3.8050000000000002</v>
      </c>
      <c r="E75" s="90">
        <v>2.5249999999999999</v>
      </c>
      <c r="F75" s="90">
        <v>1.645</v>
      </c>
      <c r="G75" s="90">
        <v>1.8149999999999999</v>
      </c>
      <c r="H75" s="90">
        <v>1.92</v>
      </c>
      <c r="I75" s="90">
        <v>1.97</v>
      </c>
      <c r="J75" s="90">
        <v>1.9</v>
      </c>
      <c r="K75" s="90">
        <v>1.9</v>
      </c>
      <c r="L75" s="90">
        <v>1.895</v>
      </c>
      <c r="M75" s="90">
        <v>1.875</v>
      </c>
      <c r="N75" s="90">
        <v>1.915</v>
      </c>
      <c r="O75" s="90">
        <v>1.92</v>
      </c>
      <c r="P75" s="90">
        <v>1.9350000000000001</v>
      </c>
      <c r="Q75" s="90">
        <v>1.92</v>
      </c>
      <c r="R75" s="90">
        <v>1.925</v>
      </c>
      <c r="S75" s="90">
        <v>1.925</v>
      </c>
      <c r="T75" s="90">
        <v>1.92</v>
      </c>
      <c r="U75" s="90">
        <v>1.9350000000000001</v>
      </c>
      <c r="V75" s="90">
        <v>1.94</v>
      </c>
      <c r="W75" s="90">
        <v>1.925</v>
      </c>
      <c r="X75" s="90">
        <v>1.925</v>
      </c>
      <c r="Y75" s="90">
        <v>1.915</v>
      </c>
      <c r="Z75" s="90">
        <v>1.92</v>
      </c>
      <c r="AA75" s="90">
        <v>1.925</v>
      </c>
      <c r="AB75" s="90">
        <v>1.94</v>
      </c>
      <c r="AC75" s="90">
        <v>1.9350000000000001</v>
      </c>
      <c r="AD75" s="90">
        <v>1.9300000000000002</v>
      </c>
      <c r="AE75" s="90">
        <v>1.9449999999999998</v>
      </c>
    </row>
    <row r="76" spans="2:31">
      <c r="B76" s="88" t="s">
        <v>181</v>
      </c>
      <c r="C76" s="89">
        <v>7.9399999999999995</v>
      </c>
      <c r="D76" s="90">
        <v>5.7450000000000001</v>
      </c>
      <c r="E76" s="90">
        <v>1.9550000000000001</v>
      </c>
      <c r="F76" s="90">
        <v>1.77</v>
      </c>
      <c r="G76" s="90">
        <v>1.78</v>
      </c>
      <c r="H76" s="90">
        <v>1.855</v>
      </c>
      <c r="I76" s="90">
        <v>1.8250000000000002</v>
      </c>
      <c r="J76" s="90">
        <v>1.8900000000000001</v>
      </c>
      <c r="K76" s="90">
        <v>1.915</v>
      </c>
      <c r="L76" s="90">
        <v>1.9550000000000001</v>
      </c>
      <c r="M76" s="90">
        <v>1.9849999999999999</v>
      </c>
      <c r="N76" s="90">
        <v>1.9849999999999999</v>
      </c>
      <c r="O76" s="90">
        <v>1.9849999999999999</v>
      </c>
      <c r="P76" s="90">
        <v>1.97</v>
      </c>
      <c r="Q76" s="90">
        <v>1.9649999999999999</v>
      </c>
      <c r="R76" s="90">
        <v>1.95</v>
      </c>
      <c r="S76" s="90">
        <v>1.92</v>
      </c>
      <c r="T76" s="90">
        <v>1.92</v>
      </c>
      <c r="U76" s="90">
        <v>1.92</v>
      </c>
      <c r="V76" s="90">
        <v>1.92</v>
      </c>
      <c r="W76" s="90">
        <v>1.92</v>
      </c>
      <c r="X76" s="90">
        <v>1.92</v>
      </c>
      <c r="Y76" s="90">
        <v>1.92</v>
      </c>
      <c r="Z76" s="90">
        <v>1.92</v>
      </c>
      <c r="AA76" s="90">
        <v>1.92</v>
      </c>
      <c r="AB76" s="90">
        <v>1.92</v>
      </c>
      <c r="AC76" s="90">
        <v>1.92</v>
      </c>
      <c r="AD76" s="90">
        <v>1.92</v>
      </c>
      <c r="AE76" s="90">
        <v>1.92</v>
      </c>
    </row>
    <row r="77" spans="2:31">
      <c r="B77" s="88" t="s">
        <v>182</v>
      </c>
      <c r="C77" s="89">
        <v>8.4699999999999989</v>
      </c>
      <c r="D77" s="90">
        <v>5.76</v>
      </c>
      <c r="E77" s="90">
        <v>1.5350000000000001</v>
      </c>
      <c r="F77" s="90">
        <v>1.8649999999999998</v>
      </c>
      <c r="G77" s="90">
        <v>1.73</v>
      </c>
      <c r="H77" s="90">
        <v>1.7749999999999999</v>
      </c>
      <c r="I77" s="90">
        <v>1.8049999999999999</v>
      </c>
      <c r="J77" s="90">
        <v>1.7949999999999999</v>
      </c>
      <c r="K77" s="90">
        <v>1.8</v>
      </c>
      <c r="L77" s="90">
        <v>1.8250000000000002</v>
      </c>
      <c r="M77" s="90">
        <v>1.865</v>
      </c>
      <c r="N77" s="90">
        <v>1.9</v>
      </c>
      <c r="O77" s="90">
        <v>1.92</v>
      </c>
      <c r="P77" s="90">
        <v>1.9449999999999998</v>
      </c>
      <c r="Q77" s="90">
        <v>1.9449999999999998</v>
      </c>
      <c r="R77" s="90">
        <v>1.95</v>
      </c>
      <c r="S77" s="90">
        <v>1.95</v>
      </c>
      <c r="T77" s="90">
        <v>1.95</v>
      </c>
      <c r="U77" s="90">
        <v>1.9550000000000001</v>
      </c>
      <c r="V77" s="90">
        <v>1.9550000000000001</v>
      </c>
      <c r="W77" s="90">
        <v>1.96</v>
      </c>
      <c r="X77" s="90">
        <v>1.97</v>
      </c>
      <c r="Y77" s="90">
        <v>1.9849999999999999</v>
      </c>
      <c r="Z77" s="90">
        <v>1.97</v>
      </c>
      <c r="AA77" s="90">
        <v>1.9550000000000001</v>
      </c>
      <c r="AB77" s="90">
        <v>1.94</v>
      </c>
      <c r="AC77" s="90">
        <v>1.9449999999999998</v>
      </c>
      <c r="AD77" s="90">
        <v>1.95</v>
      </c>
      <c r="AE77" s="90">
        <v>1.95</v>
      </c>
    </row>
    <row r="78" spans="2:31">
      <c r="B78" s="88" t="s">
        <v>183</v>
      </c>
      <c r="C78" s="89">
        <v>6.13</v>
      </c>
      <c r="D78" s="90">
        <v>5.56</v>
      </c>
      <c r="E78" s="90">
        <v>2.7800000000000002</v>
      </c>
      <c r="F78" s="90">
        <v>1.9650000000000001</v>
      </c>
      <c r="G78" s="90">
        <v>1.9</v>
      </c>
      <c r="H78" s="90">
        <v>1.855</v>
      </c>
      <c r="I78" s="90">
        <v>1.89</v>
      </c>
      <c r="J78" s="90">
        <v>1.9</v>
      </c>
      <c r="K78" s="90">
        <v>1.9049999999999998</v>
      </c>
      <c r="L78" s="90">
        <v>1.9350000000000001</v>
      </c>
      <c r="M78" s="90">
        <v>1.94</v>
      </c>
      <c r="N78" s="90">
        <v>1.9449999999999998</v>
      </c>
      <c r="O78" s="90">
        <v>1.94</v>
      </c>
      <c r="P78" s="90">
        <v>1.93</v>
      </c>
      <c r="Q78" s="90">
        <v>1.9249999999999998</v>
      </c>
      <c r="R78" s="90">
        <v>1.9249999999999998</v>
      </c>
      <c r="S78" s="90">
        <v>1.9249999999999998</v>
      </c>
      <c r="T78" s="90">
        <v>1.92</v>
      </c>
      <c r="U78" s="90">
        <v>1.92</v>
      </c>
      <c r="V78" s="90">
        <v>1.9249999999999998</v>
      </c>
      <c r="W78" s="90">
        <v>1.9249999999999998</v>
      </c>
      <c r="X78" s="90">
        <v>1.9249999999999998</v>
      </c>
      <c r="Y78" s="90">
        <v>1.9249999999999998</v>
      </c>
      <c r="Z78" s="90">
        <v>1.9249999999999998</v>
      </c>
      <c r="AA78" s="90">
        <v>1.93</v>
      </c>
      <c r="AB78" s="90">
        <v>1.9350000000000001</v>
      </c>
      <c r="AC78" s="90">
        <v>1.9350000000000001</v>
      </c>
      <c r="AD78" s="90">
        <v>1.9350000000000001</v>
      </c>
      <c r="AE78" s="90">
        <v>1.94</v>
      </c>
    </row>
    <row r="79" spans="2:31">
      <c r="B79" s="88" t="s">
        <v>184</v>
      </c>
      <c r="C79" s="89">
        <v>10.82</v>
      </c>
      <c r="D79" s="90">
        <v>3.9699999999999998</v>
      </c>
      <c r="E79" s="90">
        <v>2.125</v>
      </c>
      <c r="F79" s="90">
        <v>1.825</v>
      </c>
      <c r="G79" s="90">
        <v>1.7250000000000001</v>
      </c>
      <c r="H79" s="90">
        <v>1.8599999999999999</v>
      </c>
      <c r="I79" s="90">
        <v>1.9949999999999999</v>
      </c>
      <c r="J79" s="90">
        <v>2</v>
      </c>
      <c r="K79" s="90">
        <v>2.0149999999999997</v>
      </c>
      <c r="L79" s="90">
        <v>2</v>
      </c>
      <c r="M79" s="90">
        <v>2.0149999999999997</v>
      </c>
      <c r="N79" s="90">
        <v>2.0549999999999997</v>
      </c>
      <c r="O79" s="90">
        <v>2.0549999999999997</v>
      </c>
      <c r="P79" s="90">
        <v>2.06</v>
      </c>
      <c r="Q79" s="90">
        <v>2.0649999999999999</v>
      </c>
      <c r="R79" s="90">
        <v>2.0649999999999999</v>
      </c>
      <c r="S79" s="90">
        <v>2.06</v>
      </c>
      <c r="T79" s="90">
        <v>2.06</v>
      </c>
      <c r="U79" s="90">
        <v>2.06</v>
      </c>
      <c r="V79" s="90">
        <v>2.0449999999999999</v>
      </c>
      <c r="W79" s="90">
        <v>2.02</v>
      </c>
      <c r="X79" s="90">
        <v>2.04</v>
      </c>
      <c r="Y79" s="90">
        <v>2</v>
      </c>
      <c r="Z79" s="90">
        <v>2.0149999999999997</v>
      </c>
      <c r="AA79" s="90">
        <v>2.0249999999999999</v>
      </c>
      <c r="AB79" s="90">
        <v>2.0099999999999998</v>
      </c>
      <c r="AC79" s="90">
        <v>1.9849999999999999</v>
      </c>
      <c r="AD79" s="90">
        <v>1.9750000000000001</v>
      </c>
      <c r="AE79" s="90">
        <v>1.9849999999999999</v>
      </c>
    </row>
    <row r="80" spans="2:31">
      <c r="B80" s="88" t="s">
        <v>185</v>
      </c>
      <c r="C80" s="89">
        <v>7.96</v>
      </c>
      <c r="D80" s="90">
        <v>4.79</v>
      </c>
      <c r="E80" s="90">
        <v>2.2850000000000001</v>
      </c>
      <c r="F80" s="90">
        <v>1.93</v>
      </c>
      <c r="G80" s="90">
        <v>1.7250000000000001</v>
      </c>
      <c r="H80" s="90">
        <v>1.7949999999999999</v>
      </c>
      <c r="I80" s="90">
        <v>1.74</v>
      </c>
      <c r="J80" s="90">
        <v>1.7650000000000001</v>
      </c>
      <c r="K80" s="90">
        <v>1.8250000000000002</v>
      </c>
      <c r="L80" s="90">
        <v>1.85</v>
      </c>
      <c r="M80" s="90">
        <v>1.8599999999999999</v>
      </c>
      <c r="N80" s="90">
        <v>1.8900000000000001</v>
      </c>
      <c r="O80" s="90">
        <v>1.905</v>
      </c>
      <c r="P80" s="90">
        <v>1.915</v>
      </c>
      <c r="Q80" s="90">
        <v>1.905</v>
      </c>
      <c r="R80" s="90">
        <v>1.9100000000000001</v>
      </c>
      <c r="S80" s="90">
        <v>1.925</v>
      </c>
      <c r="T80" s="90">
        <v>1.92</v>
      </c>
      <c r="U80" s="90">
        <v>1.915</v>
      </c>
      <c r="V80" s="90">
        <v>1.925</v>
      </c>
      <c r="W80" s="90">
        <v>1.9350000000000001</v>
      </c>
      <c r="X80" s="90">
        <v>1.95</v>
      </c>
      <c r="Y80" s="90">
        <v>1.9550000000000001</v>
      </c>
      <c r="Z80" s="90">
        <v>1.97</v>
      </c>
      <c r="AA80" s="90">
        <v>1.96</v>
      </c>
      <c r="AB80" s="90">
        <v>1.97</v>
      </c>
      <c r="AC80" s="90">
        <v>1.9750000000000001</v>
      </c>
      <c r="AD80" s="90">
        <v>1.98</v>
      </c>
      <c r="AE80" s="90">
        <v>1.9950000000000001</v>
      </c>
    </row>
    <row r="81" spans="2:31">
      <c r="B81" s="88" t="s">
        <v>186</v>
      </c>
      <c r="C81" s="89">
        <v>12.455</v>
      </c>
      <c r="D81" s="90">
        <v>10.754999999999999</v>
      </c>
      <c r="E81" s="90">
        <v>2.8449999999999998</v>
      </c>
      <c r="F81" s="90">
        <v>2.2149999999999999</v>
      </c>
      <c r="G81" s="90">
        <v>2.0249999999999999</v>
      </c>
      <c r="H81" s="90">
        <v>2.19</v>
      </c>
      <c r="I81" s="90">
        <v>2.12</v>
      </c>
      <c r="J81" s="90">
        <v>2.0549999999999997</v>
      </c>
      <c r="K81" s="90">
        <v>2.0549999999999997</v>
      </c>
      <c r="L81" s="90">
        <v>2.0750000000000002</v>
      </c>
      <c r="M81" s="90">
        <v>2.085</v>
      </c>
      <c r="N81" s="90">
        <v>2.1</v>
      </c>
      <c r="O81" s="90">
        <v>2.0649999999999999</v>
      </c>
      <c r="P81" s="90">
        <v>2.06</v>
      </c>
      <c r="Q81" s="90">
        <v>2.06</v>
      </c>
      <c r="R81" s="90">
        <v>2.0549999999999997</v>
      </c>
      <c r="S81" s="90">
        <v>2.0499999999999998</v>
      </c>
      <c r="T81" s="90">
        <v>2.0499999999999998</v>
      </c>
      <c r="U81" s="90">
        <v>2.0499999999999998</v>
      </c>
      <c r="V81" s="90">
        <v>2.06</v>
      </c>
      <c r="W81" s="90">
        <v>2.0549999999999997</v>
      </c>
      <c r="X81" s="90">
        <v>2.0499999999999998</v>
      </c>
      <c r="Y81" s="90">
        <v>2.0449999999999999</v>
      </c>
      <c r="Z81" s="90">
        <v>2.0449999999999999</v>
      </c>
      <c r="AA81" s="90">
        <v>2.0499999999999998</v>
      </c>
      <c r="AB81" s="90">
        <v>2.0549999999999997</v>
      </c>
      <c r="AC81" s="90">
        <v>2.0449999999999999</v>
      </c>
      <c r="AD81" s="90">
        <v>2.0499999999999998</v>
      </c>
      <c r="AE81" s="90">
        <v>2.0499999999999998</v>
      </c>
    </row>
    <row r="82" spans="2:31">
      <c r="B82" s="88" t="s">
        <v>187</v>
      </c>
      <c r="C82" s="89">
        <v>9.07</v>
      </c>
      <c r="D82" s="90">
        <v>7.34</v>
      </c>
      <c r="E82" s="90">
        <v>2.58</v>
      </c>
      <c r="F82" s="90">
        <v>1.99</v>
      </c>
      <c r="G82" s="90">
        <v>2.0099999999999998</v>
      </c>
      <c r="H82" s="90">
        <v>2.1800000000000002</v>
      </c>
      <c r="I82" s="90">
        <v>2.19</v>
      </c>
      <c r="J82" s="90">
        <v>2.2050000000000001</v>
      </c>
      <c r="K82" s="90">
        <v>2.21</v>
      </c>
      <c r="L82" s="90">
        <v>2.2599999999999998</v>
      </c>
      <c r="M82" s="90">
        <v>2.2599999999999998</v>
      </c>
      <c r="N82" s="90">
        <v>2.34</v>
      </c>
      <c r="O82" s="90">
        <v>2.335</v>
      </c>
      <c r="P82" s="90">
        <v>2.335</v>
      </c>
      <c r="Q82" s="90">
        <v>2.3149999999999999</v>
      </c>
      <c r="R82" s="90">
        <v>2.335</v>
      </c>
      <c r="S82" s="90">
        <v>2.3250000000000002</v>
      </c>
      <c r="T82" s="90">
        <v>2.2800000000000002</v>
      </c>
      <c r="U82" s="90">
        <v>2.25</v>
      </c>
      <c r="V82" s="90">
        <v>2.2450000000000001</v>
      </c>
      <c r="W82" s="90">
        <v>2.1950000000000003</v>
      </c>
      <c r="X82" s="90">
        <v>2.1850000000000001</v>
      </c>
      <c r="Y82" s="90">
        <v>2.1749999999999998</v>
      </c>
      <c r="Z82" s="90">
        <v>2.17</v>
      </c>
      <c r="AA82" s="90">
        <v>2.17</v>
      </c>
      <c r="AB82" s="90">
        <v>2.1850000000000001</v>
      </c>
      <c r="AC82" s="90">
        <v>2.165</v>
      </c>
      <c r="AD82" s="90">
        <v>2.16</v>
      </c>
      <c r="AE82" s="90">
        <v>2.17</v>
      </c>
    </row>
    <row r="83" spans="2:31">
      <c r="B83" s="88" t="s">
        <v>188</v>
      </c>
      <c r="C83" s="89">
        <v>8.3550000000000004</v>
      </c>
      <c r="D83" s="90">
        <v>3.4649999999999999</v>
      </c>
      <c r="E83" s="90">
        <v>3.0700000000000003</v>
      </c>
      <c r="F83" s="90">
        <v>1.9750000000000001</v>
      </c>
      <c r="G83" s="90">
        <v>1.915</v>
      </c>
      <c r="H83" s="90">
        <v>1.845</v>
      </c>
      <c r="I83" s="90">
        <v>1.94</v>
      </c>
      <c r="J83" s="90">
        <v>1.9449999999999998</v>
      </c>
      <c r="K83" s="90">
        <v>1.95</v>
      </c>
      <c r="L83" s="90">
        <v>1.95</v>
      </c>
      <c r="M83" s="90">
        <v>1.94</v>
      </c>
      <c r="N83" s="90">
        <v>1.9350000000000001</v>
      </c>
      <c r="O83" s="90">
        <v>1.94</v>
      </c>
      <c r="P83" s="90">
        <v>1.9300000000000002</v>
      </c>
      <c r="Q83" s="90">
        <v>1.9300000000000002</v>
      </c>
      <c r="R83" s="90">
        <v>1.9449999999999998</v>
      </c>
      <c r="S83" s="90">
        <v>1.98</v>
      </c>
      <c r="T83" s="90">
        <v>2</v>
      </c>
      <c r="U83" s="90">
        <v>2.0149999999999997</v>
      </c>
      <c r="V83" s="90">
        <v>2.0099999999999998</v>
      </c>
      <c r="W83" s="90">
        <v>2.0099999999999998</v>
      </c>
      <c r="X83" s="90">
        <v>2.0149999999999997</v>
      </c>
      <c r="Y83" s="90">
        <v>2.0149999999999997</v>
      </c>
      <c r="Z83" s="90">
        <v>2.0099999999999998</v>
      </c>
      <c r="AA83" s="90">
        <v>2.0049999999999999</v>
      </c>
      <c r="AB83" s="90">
        <v>2.0049999999999999</v>
      </c>
      <c r="AC83" s="90">
        <v>2.0099999999999998</v>
      </c>
      <c r="AD83" s="90">
        <v>2.0149999999999997</v>
      </c>
      <c r="AE83" s="90">
        <v>2.0099999999999998</v>
      </c>
    </row>
    <row r="84" spans="2:31">
      <c r="B84" s="88" t="s">
        <v>596</v>
      </c>
      <c r="C84" s="89">
        <v>7.25</v>
      </c>
      <c r="D84" s="90">
        <v>3.33</v>
      </c>
      <c r="E84" s="90">
        <v>2.1950000000000003</v>
      </c>
      <c r="F84" s="90">
        <v>1.9</v>
      </c>
      <c r="G84" s="90">
        <v>2.0049999999999999</v>
      </c>
      <c r="H84" s="90">
        <v>2.2200000000000002</v>
      </c>
      <c r="I84" s="90">
        <v>2.2450000000000001</v>
      </c>
      <c r="J84" s="90">
        <v>2.1749999999999998</v>
      </c>
      <c r="K84" s="90">
        <v>2.0699999999999998</v>
      </c>
      <c r="L84" s="90">
        <v>2.1150000000000002</v>
      </c>
      <c r="M84" s="90">
        <v>2.1349999999999998</v>
      </c>
      <c r="N84" s="90">
        <v>2.19</v>
      </c>
      <c r="O84" s="90">
        <v>2.15</v>
      </c>
      <c r="P84" s="90">
        <v>2.1399999999999997</v>
      </c>
      <c r="Q84" s="90">
        <v>2.105</v>
      </c>
      <c r="R84" s="90">
        <v>2.0649999999999999</v>
      </c>
      <c r="S84" s="90">
        <v>2.0300000000000002</v>
      </c>
      <c r="T84" s="90">
        <v>2.0099999999999998</v>
      </c>
      <c r="U84" s="90">
        <v>2.0249999999999999</v>
      </c>
      <c r="V84" s="90">
        <v>2.0099999999999998</v>
      </c>
      <c r="W84" s="90">
        <v>1.9750000000000001</v>
      </c>
      <c r="X84" s="90">
        <v>1.9750000000000001</v>
      </c>
      <c r="Y84" s="90">
        <v>1.9750000000000001</v>
      </c>
      <c r="Z84" s="90">
        <v>1.97</v>
      </c>
      <c r="AA84" s="90">
        <v>1.98</v>
      </c>
      <c r="AB84" s="90">
        <v>1.9950000000000001</v>
      </c>
      <c r="AC84" s="90">
        <v>1.9849999999999999</v>
      </c>
      <c r="AD84" s="90">
        <v>1.9849999999999999</v>
      </c>
      <c r="AE84" s="90">
        <v>1.9949999999999999</v>
      </c>
    </row>
    <row r="86" spans="2:31">
      <c r="B86" s="77" t="s">
        <v>189</v>
      </c>
    </row>
  </sheetData>
  <sheetProtection selectLockedCell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1FAAF-C4C7-434C-A264-0D3D5D94AD8D}">
  <dimension ref="B2:AE70"/>
  <sheetViews>
    <sheetView zoomScale="90" zoomScaleNormal="90" workbookViewId="0">
      <selection activeCell="L16" sqref="L16"/>
    </sheetView>
  </sheetViews>
  <sheetFormatPr defaultColWidth="8.42578125" defaultRowHeight="14.25"/>
  <cols>
    <col min="1" max="1" width="2.42578125" style="77" customWidth="1"/>
    <col min="2" max="2" width="33.5703125" style="77" bestFit="1" customWidth="1"/>
    <col min="3" max="31" width="8.28515625" style="76" customWidth="1"/>
    <col min="32" max="16384" width="8.42578125" style="77"/>
  </cols>
  <sheetData>
    <row r="2" spans="2:31" ht="18">
      <c r="B2" s="92" t="s">
        <v>190</v>
      </c>
    </row>
    <row r="3" spans="2:31">
      <c r="B3" s="78" t="s">
        <v>597</v>
      </c>
    </row>
    <row r="4" spans="2:31" ht="15.75" thickBot="1">
      <c r="B4" s="93"/>
      <c r="C4" s="93"/>
      <c r="D4" s="93"/>
      <c r="E4" s="93"/>
      <c r="F4" s="93"/>
      <c r="G4" s="93"/>
      <c r="H4" s="93"/>
      <c r="I4" s="93"/>
      <c r="J4" s="93"/>
      <c r="K4" s="93"/>
      <c r="L4" s="93"/>
      <c r="M4" s="93"/>
      <c r="N4" s="93"/>
      <c r="O4" s="93"/>
      <c r="P4" s="93"/>
      <c r="Q4" s="93"/>
      <c r="R4" s="93"/>
      <c r="S4" s="93"/>
      <c r="T4" s="93"/>
      <c r="U4" s="93"/>
      <c r="V4" s="93"/>
      <c r="W4" s="93"/>
      <c r="X4" s="93"/>
      <c r="Y4" s="93"/>
      <c r="Z4" s="93"/>
      <c r="AA4" s="93"/>
      <c r="AB4" s="93"/>
      <c r="AC4" s="93"/>
      <c r="AD4" s="93"/>
      <c r="AE4" s="93"/>
    </row>
    <row r="6" spans="2:31" ht="15">
      <c r="B6" s="77" t="s">
        <v>191</v>
      </c>
      <c r="C6" s="82">
        <v>2022</v>
      </c>
      <c r="D6" s="82">
        <v>2023</v>
      </c>
      <c r="E6" s="83">
        <v>2024</v>
      </c>
      <c r="F6" s="83">
        <v>2025</v>
      </c>
      <c r="G6" s="83">
        <v>2026</v>
      </c>
      <c r="H6" s="83">
        <v>2027</v>
      </c>
      <c r="I6" s="83">
        <v>2028</v>
      </c>
      <c r="J6" s="83">
        <v>2029</v>
      </c>
      <c r="K6" s="83">
        <v>2030</v>
      </c>
      <c r="L6" s="83">
        <v>2031</v>
      </c>
      <c r="M6" s="83">
        <v>2032</v>
      </c>
      <c r="N6" s="83">
        <v>2033</v>
      </c>
      <c r="O6" s="83">
        <v>2034</v>
      </c>
      <c r="P6" s="83">
        <v>2035</v>
      </c>
      <c r="Q6" s="83">
        <v>2036</v>
      </c>
      <c r="R6" s="83">
        <v>2037</v>
      </c>
      <c r="S6" s="83">
        <v>2038</v>
      </c>
      <c r="T6" s="83">
        <v>2039</v>
      </c>
      <c r="U6" s="83">
        <v>2040</v>
      </c>
      <c r="V6" s="83">
        <v>2041</v>
      </c>
      <c r="W6" s="83">
        <v>2042</v>
      </c>
      <c r="X6" s="83">
        <v>2043</v>
      </c>
      <c r="Y6" s="83">
        <v>2044</v>
      </c>
      <c r="Z6" s="83">
        <v>2045</v>
      </c>
      <c r="AA6" s="83">
        <v>2046</v>
      </c>
      <c r="AB6" s="83">
        <v>2047</v>
      </c>
      <c r="AC6" s="83">
        <v>2048</v>
      </c>
      <c r="AD6" s="83">
        <v>2049</v>
      </c>
      <c r="AE6" s="83">
        <v>2050</v>
      </c>
    </row>
    <row r="7" spans="2:31">
      <c r="E7" s="84"/>
      <c r="F7" s="84"/>
      <c r="G7" s="84"/>
      <c r="H7" s="84"/>
      <c r="I7" s="84"/>
      <c r="J7" s="84"/>
      <c r="K7" s="84"/>
      <c r="L7" s="84"/>
      <c r="M7" s="84"/>
      <c r="N7" s="84"/>
      <c r="O7" s="84"/>
      <c r="P7" s="84"/>
      <c r="Q7" s="84"/>
      <c r="R7" s="84"/>
      <c r="S7" s="84"/>
      <c r="T7" s="84"/>
      <c r="U7" s="84"/>
      <c r="V7" s="84"/>
      <c r="W7" s="84"/>
      <c r="X7" s="84"/>
      <c r="Y7" s="84"/>
      <c r="Z7" s="84"/>
      <c r="AA7" s="84"/>
      <c r="AB7" s="84"/>
      <c r="AC7" s="84"/>
      <c r="AD7" s="84"/>
      <c r="AE7" s="84"/>
    </row>
    <row r="8" spans="2:31">
      <c r="B8" s="77" t="s">
        <v>116</v>
      </c>
      <c r="C8" s="94">
        <v>142.01</v>
      </c>
      <c r="D8" s="94">
        <v>135.84</v>
      </c>
      <c r="E8" s="87">
        <v>137</v>
      </c>
      <c r="F8" s="87">
        <v>141.54</v>
      </c>
      <c r="G8" s="87">
        <v>146.16999999999999</v>
      </c>
      <c r="H8" s="87">
        <v>149.69999999999999</v>
      </c>
      <c r="I8" s="87">
        <v>151.41999999999999</v>
      </c>
      <c r="J8" s="87">
        <v>153.22999999999999</v>
      </c>
      <c r="K8" s="87">
        <v>154.36000000000001</v>
      </c>
      <c r="L8" s="87">
        <v>155.72</v>
      </c>
      <c r="M8" s="87">
        <v>157.08000000000001</v>
      </c>
      <c r="N8" s="87">
        <v>158.65</v>
      </c>
      <c r="O8" s="87">
        <v>160.26</v>
      </c>
      <c r="P8" s="87">
        <v>161.94</v>
      </c>
      <c r="Q8" s="87">
        <v>163.44</v>
      </c>
      <c r="R8" s="87">
        <v>164.84</v>
      </c>
      <c r="S8" s="87">
        <v>166.21</v>
      </c>
      <c r="T8" s="87">
        <v>167.53</v>
      </c>
      <c r="U8" s="87">
        <v>168.78</v>
      </c>
      <c r="V8" s="87">
        <v>169.94</v>
      </c>
      <c r="W8" s="87">
        <v>170.96</v>
      </c>
      <c r="X8" s="87">
        <v>171.76</v>
      </c>
      <c r="Y8" s="87">
        <v>172.36</v>
      </c>
      <c r="Z8" s="87">
        <v>172.83</v>
      </c>
      <c r="AA8" s="87">
        <v>173.25</v>
      </c>
      <c r="AB8" s="87">
        <v>173.65</v>
      </c>
      <c r="AC8" s="87">
        <v>174.08</v>
      </c>
      <c r="AD8" s="87">
        <v>174.55</v>
      </c>
      <c r="AE8" s="87">
        <v>175.1</v>
      </c>
    </row>
    <row r="9" spans="2:31">
      <c r="B9" s="77" t="s">
        <v>117</v>
      </c>
      <c r="C9" s="94">
        <v>460.52</v>
      </c>
      <c r="D9" s="94">
        <v>684.96</v>
      </c>
      <c r="E9" s="99">
        <v>839.23</v>
      </c>
      <c r="F9" s="99">
        <v>859.49</v>
      </c>
      <c r="G9" s="99">
        <v>889.53</v>
      </c>
      <c r="H9" s="99">
        <v>924.17</v>
      </c>
      <c r="I9" s="99">
        <v>961.24</v>
      </c>
      <c r="J9" s="99">
        <v>1001.33</v>
      </c>
      <c r="K9" s="99">
        <v>1043.2</v>
      </c>
      <c r="L9" s="99">
        <v>1086.2</v>
      </c>
      <c r="M9" s="99">
        <v>1130.81</v>
      </c>
      <c r="N9" s="99">
        <v>1177.22</v>
      </c>
      <c r="O9" s="99">
        <v>1225.4000000000001</v>
      </c>
      <c r="P9" s="99">
        <v>1275.79</v>
      </c>
      <c r="Q9" s="99">
        <v>1326.3</v>
      </c>
      <c r="R9" s="99">
        <v>1376.4</v>
      </c>
      <c r="S9" s="99">
        <v>1427.12</v>
      </c>
      <c r="T9" s="99">
        <v>1478.75</v>
      </c>
      <c r="U9" s="99">
        <v>1531.72</v>
      </c>
      <c r="V9" s="99">
        <v>1586.32</v>
      </c>
      <c r="W9" s="99">
        <v>1642.8</v>
      </c>
      <c r="X9" s="99">
        <v>1701.35</v>
      </c>
      <c r="Y9" s="99">
        <v>1762.2</v>
      </c>
      <c r="Z9" s="99">
        <v>1825.54</v>
      </c>
      <c r="AA9" s="99">
        <v>1891.55</v>
      </c>
      <c r="AB9" s="99">
        <v>1960.38</v>
      </c>
      <c r="AC9" s="99">
        <v>2032.24</v>
      </c>
      <c r="AD9" s="99">
        <v>2107.2800000000002</v>
      </c>
      <c r="AE9" s="99">
        <v>2185.66</v>
      </c>
    </row>
    <row r="10" spans="2:31">
      <c r="B10" s="77" t="s">
        <v>118</v>
      </c>
      <c r="C10" s="94">
        <v>130.71</v>
      </c>
      <c r="D10" s="94">
        <v>296.52</v>
      </c>
      <c r="E10" s="99">
        <v>1300.83</v>
      </c>
      <c r="F10" s="99">
        <v>2102.3200000000002</v>
      </c>
      <c r="G10" s="99">
        <v>2469.75</v>
      </c>
      <c r="H10" s="99">
        <v>2634.49</v>
      </c>
      <c r="I10" s="99">
        <v>2619.77</v>
      </c>
      <c r="J10" s="99">
        <v>2529.02</v>
      </c>
      <c r="K10" s="99">
        <v>2433.5700000000002</v>
      </c>
      <c r="L10" s="99">
        <v>2355.59</v>
      </c>
      <c r="M10" s="99">
        <v>2301.6999999999998</v>
      </c>
      <c r="N10" s="99">
        <v>2263.1799999999998</v>
      </c>
      <c r="O10" s="99">
        <v>2230.27</v>
      </c>
      <c r="P10" s="99">
        <v>2202.11</v>
      </c>
      <c r="Q10" s="99">
        <v>2174.85</v>
      </c>
      <c r="R10" s="99">
        <v>2146.67</v>
      </c>
      <c r="S10" s="99">
        <v>2119.4499999999998</v>
      </c>
      <c r="T10" s="99">
        <v>2094.98</v>
      </c>
      <c r="U10" s="99">
        <v>2074.84</v>
      </c>
      <c r="V10" s="99">
        <v>2059.63</v>
      </c>
      <c r="W10" s="99">
        <v>2049.7399999999998</v>
      </c>
      <c r="X10" s="99">
        <v>2045.14</v>
      </c>
      <c r="Y10" s="99">
        <v>2045.66</v>
      </c>
      <c r="Z10" s="99">
        <v>2051.4</v>
      </c>
      <c r="AA10" s="99">
        <v>2062.7199999999998</v>
      </c>
      <c r="AB10" s="99">
        <v>2080.1799999999998</v>
      </c>
      <c r="AC10" s="99">
        <v>2103.98</v>
      </c>
      <c r="AD10" s="99">
        <v>2134.13</v>
      </c>
      <c r="AE10" s="99">
        <v>2169.77</v>
      </c>
    </row>
    <row r="11" spans="2:31">
      <c r="B11" s="77" t="s">
        <v>119</v>
      </c>
      <c r="C11" s="94">
        <v>1.44</v>
      </c>
      <c r="D11" s="94">
        <v>1.51</v>
      </c>
      <c r="E11" s="95">
        <v>1.49</v>
      </c>
      <c r="F11" s="95">
        <v>1.42</v>
      </c>
      <c r="G11" s="95">
        <v>1.39</v>
      </c>
      <c r="H11" s="95">
        <v>1.37</v>
      </c>
      <c r="I11" s="95">
        <v>1.35</v>
      </c>
      <c r="J11" s="95">
        <v>1.35</v>
      </c>
      <c r="K11" s="95">
        <v>1.34</v>
      </c>
      <c r="L11" s="95">
        <v>1.34</v>
      </c>
      <c r="M11" s="95">
        <v>1.34</v>
      </c>
      <c r="N11" s="95">
        <v>1.34</v>
      </c>
      <c r="O11" s="95">
        <v>1.34</v>
      </c>
      <c r="P11" s="95">
        <v>1.35</v>
      </c>
      <c r="Q11" s="95">
        <v>1.35</v>
      </c>
      <c r="R11" s="95">
        <v>1.35</v>
      </c>
      <c r="S11" s="95">
        <v>1.35</v>
      </c>
      <c r="T11" s="95">
        <v>1.35</v>
      </c>
      <c r="U11" s="95">
        <v>1.35</v>
      </c>
      <c r="V11" s="95">
        <v>1.35</v>
      </c>
      <c r="W11" s="95">
        <v>1.35</v>
      </c>
      <c r="X11" s="95">
        <v>1.36</v>
      </c>
      <c r="Y11" s="95">
        <v>1.36</v>
      </c>
      <c r="Z11" s="95">
        <v>1.36</v>
      </c>
      <c r="AA11" s="95">
        <v>1.36</v>
      </c>
      <c r="AB11" s="95">
        <v>1.36</v>
      </c>
      <c r="AC11" s="95">
        <v>1.36</v>
      </c>
      <c r="AD11" s="95">
        <v>1.36</v>
      </c>
      <c r="AE11" s="95">
        <v>1.36</v>
      </c>
    </row>
    <row r="12" spans="2:31">
      <c r="B12" s="77" t="s">
        <v>120</v>
      </c>
      <c r="C12" s="94">
        <v>1.7</v>
      </c>
      <c r="D12" s="94">
        <v>1.7</v>
      </c>
      <c r="E12" s="95">
        <v>1.7</v>
      </c>
      <c r="F12" s="95">
        <v>1.7</v>
      </c>
      <c r="G12" s="95">
        <v>1.84</v>
      </c>
      <c r="H12" s="95">
        <v>1.85</v>
      </c>
      <c r="I12" s="95">
        <v>1.86</v>
      </c>
      <c r="J12" s="95">
        <v>1.88</v>
      </c>
      <c r="K12" s="95">
        <v>1.92</v>
      </c>
      <c r="L12" s="95">
        <v>1.95</v>
      </c>
      <c r="M12" s="95">
        <v>1.97</v>
      </c>
      <c r="N12" s="95">
        <v>2</v>
      </c>
      <c r="O12" s="95">
        <v>2.0299999999999998</v>
      </c>
      <c r="P12" s="95">
        <v>2.06</v>
      </c>
      <c r="Q12" s="95">
        <v>2.09</v>
      </c>
      <c r="R12" s="95">
        <v>2.12</v>
      </c>
      <c r="S12" s="95">
        <v>2.15</v>
      </c>
      <c r="T12" s="95">
        <v>2.1800000000000002</v>
      </c>
      <c r="U12" s="95">
        <v>2.21</v>
      </c>
      <c r="V12" s="95">
        <v>2.25</v>
      </c>
      <c r="W12" s="95">
        <v>2.2799999999999998</v>
      </c>
      <c r="X12" s="95">
        <v>2.3199999999999998</v>
      </c>
      <c r="Y12" s="95">
        <v>2.35</v>
      </c>
      <c r="Z12" s="95">
        <v>2.39</v>
      </c>
      <c r="AA12" s="95">
        <v>2.4300000000000002</v>
      </c>
      <c r="AB12" s="95">
        <v>2.46</v>
      </c>
      <c r="AC12" s="95">
        <v>2.5</v>
      </c>
      <c r="AD12" s="95">
        <v>2.5299999999999998</v>
      </c>
      <c r="AE12" s="95">
        <v>2.57</v>
      </c>
    </row>
    <row r="13" spans="2:31">
      <c r="B13" s="77" t="s">
        <v>121</v>
      </c>
      <c r="C13" s="94">
        <v>92.19</v>
      </c>
      <c r="D13" s="86">
        <v>107.34</v>
      </c>
      <c r="E13" s="87">
        <v>111.47</v>
      </c>
      <c r="F13" s="87">
        <v>113.31</v>
      </c>
      <c r="G13" s="87">
        <v>117.02</v>
      </c>
      <c r="H13" s="87">
        <v>121.15</v>
      </c>
      <c r="I13" s="87">
        <v>125.17</v>
      </c>
      <c r="J13" s="87">
        <v>129.18</v>
      </c>
      <c r="K13" s="87">
        <v>133.15</v>
      </c>
      <c r="L13" s="87">
        <v>137.15</v>
      </c>
      <c r="M13" s="87">
        <v>141.21</v>
      </c>
      <c r="N13" s="87">
        <v>145.37</v>
      </c>
      <c r="O13" s="87">
        <v>149.63</v>
      </c>
      <c r="P13" s="87">
        <v>154.01</v>
      </c>
      <c r="Q13" s="87">
        <v>158.55000000000001</v>
      </c>
      <c r="R13" s="87">
        <v>163.22999999999999</v>
      </c>
      <c r="S13" s="87">
        <v>168.03</v>
      </c>
      <c r="T13" s="87">
        <v>172.97</v>
      </c>
      <c r="U13" s="87">
        <v>178.03</v>
      </c>
      <c r="V13" s="87">
        <v>183.21</v>
      </c>
      <c r="W13" s="87">
        <v>188.51</v>
      </c>
      <c r="X13" s="87">
        <v>193.94</v>
      </c>
      <c r="Y13" s="87">
        <v>199.51</v>
      </c>
      <c r="Z13" s="87">
        <v>205.2</v>
      </c>
      <c r="AA13" s="87">
        <v>211.03</v>
      </c>
      <c r="AB13" s="87">
        <v>217</v>
      </c>
      <c r="AC13" s="87">
        <v>223.11</v>
      </c>
      <c r="AD13" s="87">
        <v>229.36</v>
      </c>
      <c r="AE13" s="87">
        <v>235.76</v>
      </c>
    </row>
    <row r="14" spans="2:31">
      <c r="B14" s="77" t="s">
        <v>122</v>
      </c>
      <c r="C14" s="94">
        <v>5.17</v>
      </c>
      <c r="D14" s="94">
        <v>5</v>
      </c>
      <c r="E14" s="95">
        <v>5.0199999999999996</v>
      </c>
      <c r="F14" s="95">
        <v>5.14</v>
      </c>
      <c r="G14" s="95">
        <v>5.21</v>
      </c>
      <c r="H14" s="95">
        <v>5.29</v>
      </c>
      <c r="I14" s="95">
        <v>5.36</v>
      </c>
      <c r="J14" s="95">
        <v>5.43</v>
      </c>
      <c r="K14" s="95">
        <v>5.5</v>
      </c>
      <c r="L14" s="95">
        <v>5.56</v>
      </c>
      <c r="M14" s="95">
        <v>5.63</v>
      </c>
      <c r="N14" s="95">
        <v>5.69</v>
      </c>
      <c r="O14" s="95">
        <v>5.75</v>
      </c>
      <c r="P14" s="95">
        <v>5.82</v>
      </c>
      <c r="Q14" s="95">
        <v>5.88</v>
      </c>
      <c r="R14" s="95">
        <v>5.94</v>
      </c>
      <c r="S14" s="95">
        <v>6.01</v>
      </c>
      <c r="T14" s="95">
        <v>6.07</v>
      </c>
      <c r="U14" s="95">
        <v>6.14</v>
      </c>
      <c r="V14" s="95">
        <v>6.2</v>
      </c>
      <c r="W14" s="95">
        <v>6.26</v>
      </c>
      <c r="X14" s="95">
        <v>6.33</v>
      </c>
      <c r="Y14" s="95">
        <v>6.39</v>
      </c>
      <c r="Z14" s="95">
        <v>6.45</v>
      </c>
      <c r="AA14" s="95">
        <v>6.51</v>
      </c>
      <c r="AB14" s="95">
        <v>6.58</v>
      </c>
      <c r="AC14" s="95">
        <v>6.64</v>
      </c>
      <c r="AD14" s="95">
        <v>6.7</v>
      </c>
      <c r="AE14" s="95">
        <v>6.77</v>
      </c>
    </row>
    <row r="15" spans="2:31">
      <c r="B15" s="77" t="s">
        <v>123</v>
      </c>
      <c r="C15" s="94">
        <v>1.3</v>
      </c>
      <c r="D15" s="94">
        <v>1.35</v>
      </c>
      <c r="E15" s="95">
        <v>1.33</v>
      </c>
      <c r="F15" s="95">
        <v>1.28</v>
      </c>
      <c r="G15" s="95">
        <v>1.23</v>
      </c>
      <c r="H15" s="95">
        <v>1.22</v>
      </c>
      <c r="I15" s="95">
        <v>1.22</v>
      </c>
      <c r="J15" s="95">
        <v>1.22</v>
      </c>
      <c r="K15" s="95">
        <v>1.22</v>
      </c>
      <c r="L15" s="95">
        <v>1.21</v>
      </c>
      <c r="M15" s="95">
        <v>1.21</v>
      </c>
      <c r="N15" s="95">
        <v>1.21</v>
      </c>
      <c r="O15" s="95">
        <v>1.21</v>
      </c>
      <c r="P15" s="95">
        <v>1.21</v>
      </c>
      <c r="Q15" s="95">
        <v>1.21</v>
      </c>
      <c r="R15" s="95">
        <v>1.2</v>
      </c>
      <c r="S15" s="95">
        <v>1.2</v>
      </c>
      <c r="T15" s="95">
        <v>1.2</v>
      </c>
      <c r="U15" s="95">
        <v>1.2</v>
      </c>
      <c r="V15" s="95">
        <v>1.2</v>
      </c>
      <c r="W15" s="95">
        <v>1.2</v>
      </c>
      <c r="X15" s="95">
        <v>1.19</v>
      </c>
      <c r="Y15" s="95">
        <v>1.19</v>
      </c>
      <c r="Z15" s="95">
        <v>1.19</v>
      </c>
      <c r="AA15" s="95">
        <v>1.19</v>
      </c>
      <c r="AB15" s="95">
        <v>1.19</v>
      </c>
      <c r="AC15" s="95">
        <v>1.18</v>
      </c>
      <c r="AD15" s="95">
        <v>1.18</v>
      </c>
      <c r="AE15" s="95">
        <v>1.18</v>
      </c>
    </row>
    <row r="16" spans="2:31">
      <c r="B16" s="77" t="s">
        <v>124</v>
      </c>
      <c r="C16" s="96">
        <v>6.73</v>
      </c>
      <c r="D16" s="96">
        <v>7.08</v>
      </c>
      <c r="E16" s="97">
        <v>7.1</v>
      </c>
      <c r="F16" s="97">
        <v>6.73</v>
      </c>
      <c r="G16" s="95">
        <v>6.47</v>
      </c>
      <c r="H16" s="95">
        <v>6.36</v>
      </c>
      <c r="I16" s="95">
        <v>6.27</v>
      </c>
      <c r="J16" s="95">
        <v>6.26</v>
      </c>
      <c r="K16" s="95">
        <v>6.29</v>
      </c>
      <c r="L16" s="95">
        <v>6.31</v>
      </c>
      <c r="M16" s="95">
        <v>6.32</v>
      </c>
      <c r="N16" s="95">
        <v>6.32</v>
      </c>
      <c r="O16" s="95">
        <v>6.32</v>
      </c>
      <c r="P16" s="95">
        <v>6.32</v>
      </c>
      <c r="Q16" s="95">
        <v>6.31</v>
      </c>
      <c r="R16" s="95">
        <v>6.31</v>
      </c>
      <c r="S16" s="95">
        <v>6.3</v>
      </c>
      <c r="T16" s="95">
        <v>6.29</v>
      </c>
      <c r="U16" s="95">
        <v>6.29</v>
      </c>
      <c r="V16" s="95">
        <v>6.28</v>
      </c>
      <c r="W16" s="95">
        <v>6.28</v>
      </c>
      <c r="X16" s="95">
        <v>6.27</v>
      </c>
      <c r="Y16" s="95">
        <v>6.27</v>
      </c>
      <c r="Z16" s="95">
        <v>6.27</v>
      </c>
      <c r="AA16" s="95">
        <v>6.28</v>
      </c>
      <c r="AB16" s="95">
        <v>6.28</v>
      </c>
      <c r="AC16" s="95">
        <v>6.28</v>
      </c>
      <c r="AD16" s="95">
        <v>6.29</v>
      </c>
      <c r="AE16" s="95">
        <v>6.29</v>
      </c>
    </row>
    <row r="17" spans="2:31">
      <c r="B17" s="77" t="s">
        <v>125</v>
      </c>
      <c r="C17" s="100">
        <v>4255.3500000000004</v>
      </c>
      <c r="D17" s="86">
        <v>4326.7</v>
      </c>
      <c r="E17" s="99">
        <v>4055.51</v>
      </c>
      <c r="F17" s="99">
        <v>4194.74</v>
      </c>
      <c r="G17" s="99">
        <v>4210.75</v>
      </c>
      <c r="H17" s="99">
        <v>4202.49</v>
      </c>
      <c r="I17" s="99">
        <v>4210.6400000000003</v>
      </c>
      <c r="J17" s="99">
        <v>4219.2</v>
      </c>
      <c r="K17" s="99">
        <v>4229.07</v>
      </c>
      <c r="L17" s="99">
        <v>4242.93</v>
      </c>
      <c r="M17" s="99">
        <v>4261.42</v>
      </c>
      <c r="N17" s="99">
        <v>4285.03</v>
      </c>
      <c r="O17" s="99">
        <v>4312.4799999999996</v>
      </c>
      <c r="P17" s="99">
        <v>4342.82</v>
      </c>
      <c r="Q17" s="99">
        <v>4374.2700000000004</v>
      </c>
      <c r="R17" s="99">
        <v>4407.1899999999996</v>
      </c>
      <c r="S17" s="99">
        <v>4441.2299999999996</v>
      </c>
      <c r="T17" s="99">
        <v>4476.1400000000003</v>
      </c>
      <c r="U17" s="99">
        <v>4512.45</v>
      </c>
      <c r="V17" s="99">
        <v>4550.05</v>
      </c>
      <c r="W17" s="99">
        <v>4589.49</v>
      </c>
      <c r="X17" s="99">
        <v>4629.53</v>
      </c>
      <c r="Y17" s="99">
        <v>4669.54</v>
      </c>
      <c r="Z17" s="99">
        <v>4710.08</v>
      </c>
      <c r="AA17" s="99">
        <v>4751.97</v>
      </c>
      <c r="AB17" s="99">
        <v>4794.28</v>
      </c>
      <c r="AC17" s="99">
        <v>4837.04</v>
      </c>
      <c r="AD17" s="99">
        <v>4880.2700000000004</v>
      </c>
      <c r="AE17" s="99">
        <v>4924.68</v>
      </c>
    </row>
    <row r="18" spans="2:31">
      <c r="B18" s="77" t="s">
        <v>126</v>
      </c>
      <c r="C18" s="94">
        <v>23.36</v>
      </c>
      <c r="D18" s="94">
        <v>22.2</v>
      </c>
      <c r="E18" s="95">
        <v>22.81</v>
      </c>
      <c r="F18" s="95">
        <v>21.99</v>
      </c>
      <c r="G18" s="95">
        <v>21.08</v>
      </c>
      <c r="H18" s="95">
        <v>20.41</v>
      </c>
      <c r="I18" s="95">
        <v>19.91</v>
      </c>
      <c r="J18" s="95">
        <v>19.48</v>
      </c>
      <c r="K18" s="95">
        <v>19.190000000000001</v>
      </c>
      <c r="L18" s="95">
        <v>19.02</v>
      </c>
      <c r="M18" s="95">
        <v>18.91</v>
      </c>
      <c r="N18" s="95">
        <v>18.82</v>
      </c>
      <c r="O18" s="95">
        <v>18.73</v>
      </c>
      <c r="P18" s="95">
        <v>18.66</v>
      </c>
      <c r="Q18" s="95">
        <v>18.579999999999998</v>
      </c>
      <c r="R18" s="95">
        <v>18.510000000000002</v>
      </c>
      <c r="S18" s="95">
        <v>18.45</v>
      </c>
      <c r="T18" s="95">
        <v>18.399999999999999</v>
      </c>
      <c r="U18" s="95">
        <v>18.350000000000001</v>
      </c>
      <c r="V18" s="95">
        <v>18.3</v>
      </c>
      <c r="W18" s="95">
        <v>18.25</v>
      </c>
      <c r="X18" s="95">
        <v>18.2</v>
      </c>
      <c r="Y18" s="95">
        <v>18.16</v>
      </c>
      <c r="Z18" s="95">
        <v>18.11</v>
      </c>
      <c r="AA18" s="95">
        <v>18.059999999999999</v>
      </c>
      <c r="AB18" s="95">
        <v>18.010000000000002</v>
      </c>
      <c r="AC18" s="95">
        <v>17.96</v>
      </c>
      <c r="AD18" s="95">
        <v>17.920000000000002</v>
      </c>
      <c r="AE18" s="95">
        <v>17.87</v>
      </c>
    </row>
    <row r="19" spans="2:31">
      <c r="B19" s="77" t="s">
        <v>127</v>
      </c>
      <c r="C19" s="94">
        <v>7.08</v>
      </c>
      <c r="D19" s="94">
        <v>6.89</v>
      </c>
      <c r="E19" s="95">
        <v>6.82</v>
      </c>
      <c r="F19" s="95">
        <v>6.67</v>
      </c>
      <c r="G19" s="95">
        <v>6.51</v>
      </c>
      <c r="H19" s="95">
        <v>6.4</v>
      </c>
      <c r="I19" s="95">
        <v>6.31</v>
      </c>
      <c r="J19" s="95">
        <v>6.23</v>
      </c>
      <c r="K19" s="95">
        <v>6.18</v>
      </c>
      <c r="L19" s="95">
        <v>6.16</v>
      </c>
      <c r="M19" s="95">
        <v>6.15</v>
      </c>
      <c r="N19" s="95">
        <v>6.15</v>
      </c>
      <c r="O19" s="95">
        <v>6.14</v>
      </c>
      <c r="P19" s="95">
        <v>6.14</v>
      </c>
      <c r="Q19" s="95">
        <v>6.14</v>
      </c>
      <c r="R19" s="95">
        <v>6.14</v>
      </c>
      <c r="S19" s="95">
        <v>6.14</v>
      </c>
      <c r="T19" s="95">
        <v>6.14</v>
      </c>
      <c r="U19" s="95">
        <v>6.14</v>
      </c>
      <c r="V19" s="95">
        <v>6.14</v>
      </c>
      <c r="W19" s="95">
        <v>6.14</v>
      </c>
      <c r="X19" s="95">
        <v>6.14</v>
      </c>
      <c r="Y19" s="95">
        <v>6.14</v>
      </c>
      <c r="Z19" s="95">
        <v>6.14</v>
      </c>
      <c r="AA19" s="95">
        <v>6.14</v>
      </c>
      <c r="AB19" s="95">
        <v>6.14</v>
      </c>
      <c r="AC19" s="95">
        <v>6.14</v>
      </c>
      <c r="AD19" s="95">
        <v>6.14</v>
      </c>
      <c r="AE19" s="95">
        <v>6.14</v>
      </c>
    </row>
    <row r="20" spans="2:31">
      <c r="B20" s="77" t="s">
        <v>128</v>
      </c>
      <c r="C20" s="94">
        <v>19.21</v>
      </c>
      <c r="D20" s="94">
        <v>30.69</v>
      </c>
      <c r="E20" s="95">
        <v>50.29</v>
      </c>
      <c r="F20" s="95">
        <v>54.68</v>
      </c>
      <c r="G20" s="95">
        <v>53.59</v>
      </c>
      <c r="H20" s="95">
        <v>52.45</v>
      </c>
      <c r="I20" s="95">
        <v>52.46</v>
      </c>
      <c r="J20" s="95">
        <v>53.8</v>
      </c>
      <c r="K20" s="95">
        <v>55.6</v>
      </c>
      <c r="L20" s="95">
        <v>57.68</v>
      </c>
      <c r="M20" s="95">
        <v>59.9</v>
      </c>
      <c r="N20" s="95">
        <v>62.22</v>
      </c>
      <c r="O20" s="95">
        <v>64.67</v>
      </c>
      <c r="P20" s="95">
        <v>67.260000000000005</v>
      </c>
      <c r="Q20" s="95">
        <v>69.95</v>
      </c>
      <c r="R20" s="95">
        <v>72.739999999999995</v>
      </c>
      <c r="S20" s="95">
        <v>75.67</v>
      </c>
      <c r="T20" s="95">
        <v>78.75</v>
      </c>
      <c r="U20" s="95">
        <v>81.99</v>
      </c>
      <c r="V20" s="95">
        <v>85.4</v>
      </c>
      <c r="W20" s="95">
        <v>89</v>
      </c>
      <c r="X20" s="95">
        <v>92.8</v>
      </c>
      <c r="Y20" s="95">
        <v>96.8</v>
      </c>
      <c r="Z20" s="95">
        <v>101.01</v>
      </c>
      <c r="AA20" s="95">
        <v>105.46</v>
      </c>
      <c r="AB20" s="95">
        <v>110.15</v>
      </c>
      <c r="AC20" s="95">
        <v>115.09</v>
      </c>
      <c r="AD20" s="95">
        <v>120.31</v>
      </c>
      <c r="AE20" s="95">
        <v>125.82</v>
      </c>
    </row>
    <row r="21" spans="2:31">
      <c r="B21" s="77" t="s">
        <v>129</v>
      </c>
      <c r="C21" s="94">
        <v>1.0513157894736842</v>
      </c>
      <c r="D21" s="94">
        <v>1.0834782608695652</v>
      </c>
      <c r="E21" s="95">
        <v>1.0944505494505494</v>
      </c>
      <c r="F21" s="95">
        <v>1.1181818181818182</v>
      </c>
      <c r="G21" s="95">
        <v>1.1463953488372094</v>
      </c>
      <c r="H21" s="95">
        <v>1.168235294117647</v>
      </c>
      <c r="I21" s="95">
        <v>1.1832352941176469</v>
      </c>
      <c r="J21" s="95">
        <v>1.1982352941176471</v>
      </c>
      <c r="K21" s="95">
        <v>1.2082352941176471</v>
      </c>
      <c r="L21" s="95">
        <v>1.2132352941176472</v>
      </c>
      <c r="M21" s="95">
        <v>1.2132352941176472</v>
      </c>
      <c r="N21" s="95">
        <v>1.2132352941176472</v>
      </c>
      <c r="O21" s="95">
        <v>1.2132352941176472</v>
      </c>
      <c r="P21" s="95">
        <v>1.2132352941176472</v>
      </c>
      <c r="Q21" s="95">
        <v>1.2132352941176472</v>
      </c>
      <c r="R21" s="95">
        <v>1.2132352941176472</v>
      </c>
      <c r="S21" s="95">
        <v>1.2132352941176472</v>
      </c>
      <c r="T21" s="95">
        <v>1.2132352941176472</v>
      </c>
      <c r="U21" s="95">
        <v>1.2132352941176472</v>
      </c>
      <c r="V21" s="95">
        <v>1.2132352941176472</v>
      </c>
      <c r="W21" s="95">
        <v>1.2132352941176472</v>
      </c>
      <c r="X21" s="95">
        <v>1.2132352941176472</v>
      </c>
      <c r="Y21" s="95">
        <v>1.2132352941176472</v>
      </c>
      <c r="Z21" s="95">
        <v>1.2132352941176472</v>
      </c>
      <c r="AA21" s="95">
        <v>1.2132352941176472</v>
      </c>
      <c r="AB21" s="95">
        <v>1.2132352941176472</v>
      </c>
      <c r="AC21" s="95">
        <v>1.2132352941176472</v>
      </c>
      <c r="AD21" s="95">
        <v>1.2132352941176472</v>
      </c>
      <c r="AE21" s="95">
        <v>1.2132352941176472</v>
      </c>
    </row>
    <row r="22" spans="2:31">
      <c r="B22" s="77" t="s">
        <v>130</v>
      </c>
      <c r="C22" s="94">
        <v>2.92</v>
      </c>
      <c r="D22" s="94">
        <v>2.63</v>
      </c>
      <c r="E22" s="95">
        <v>2.75</v>
      </c>
      <c r="F22" s="95">
        <v>2.78</v>
      </c>
      <c r="G22" s="95">
        <v>2.79</v>
      </c>
      <c r="H22" s="95">
        <v>2.81</v>
      </c>
      <c r="I22" s="95">
        <v>2.82</v>
      </c>
      <c r="J22" s="95">
        <v>2.84</v>
      </c>
      <c r="K22" s="95">
        <v>2.85</v>
      </c>
      <c r="L22" s="95">
        <v>2.87</v>
      </c>
      <c r="M22" s="95">
        <v>2.89</v>
      </c>
      <c r="N22" s="95">
        <v>2.91</v>
      </c>
      <c r="O22" s="95">
        <v>2.93</v>
      </c>
      <c r="P22" s="95">
        <v>2.95</v>
      </c>
      <c r="Q22" s="95">
        <v>2.96</v>
      </c>
      <c r="R22" s="95">
        <v>2.98</v>
      </c>
      <c r="S22" s="95">
        <v>3</v>
      </c>
      <c r="T22" s="95">
        <v>3.02</v>
      </c>
      <c r="U22" s="95">
        <v>3.04</v>
      </c>
      <c r="V22" s="95">
        <v>3.06</v>
      </c>
      <c r="W22" s="95">
        <v>3.08</v>
      </c>
      <c r="X22" s="95">
        <v>3.1</v>
      </c>
      <c r="Y22" s="95">
        <v>3.12</v>
      </c>
      <c r="Z22" s="95">
        <v>3.14</v>
      </c>
      <c r="AA22" s="95">
        <v>3.16</v>
      </c>
      <c r="AB22" s="95">
        <v>3.18</v>
      </c>
      <c r="AC22" s="95">
        <v>3.2</v>
      </c>
      <c r="AD22" s="95">
        <v>3.21</v>
      </c>
      <c r="AE22" s="95">
        <v>3.23</v>
      </c>
    </row>
    <row r="23" spans="2:31">
      <c r="B23" s="77" t="s">
        <v>131</v>
      </c>
      <c r="C23" s="94">
        <v>372.6</v>
      </c>
      <c r="D23" s="94">
        <v>353.09</v>
      </c>
      <c r="E23" s="87">
        <v>360.78</v>
      </c>
      <c r="F23" s="87">
        <v>358.69</v>
      </c>
      <c r="G23" s="87">
        <v>356.28</v>
      </c>
      <c r="H23" s="87">
        <v>356.12</v>
      </c>
      <c r="I23" s="87">
        <v>356.72</v>
      </c>
      <c r="J23" s="87">
        <v>356.16</v>
      </c>
      <c r="K23" s="87">
        <v>356.82</v>
      </c>
      <c r="L23" s="87">
        <v>359.03</v>
      </c>
      <c r="M23" s="87">
        <v>361.98</v>
      </c>
      <c r="N23" s="87">
        <v>365.24</v>
      </c>
      <c r="O23" s="87">
        <v>368.55</v>
      </c>
      <c r="P23" s="87">
        <v>372.06</v>
      </c>
      <c r="Q23" s="87">
        <v>375.71</v>
      </c>
      <c r="R23" s="87">
        <v>378.27</v>
      </c>
      <c r="S23" s="87">
        <v>380.05</v>
      </c>
      <c r="T23" s="87">
        <v>381.84</v>
      </c>
      <c r="U23" s="87">
        <v>383.66</v>
      </c>
      <c r="V23" s="87">
        <v>385.51</v>
      </c>
      <c r="W23" s="87">
        <v>387.38</v>
      </c>
      <c r="X23" s="87">
        <v>389.27</v>
      </c>
      <c r="Y23" s="87">
        <v>391.18</v>
      </c>
      <c r="Z23" s="87">
        <v>393.11</v>
      </c>
      <c r="AA23" s="87">
        <v>395.06</v>
      </c>
      <c r="AB23" s="87">
        <v>397.02</v>
      </c>
      <c r="AC23" s="87">
        <v>399.01</v>
      </c>
      <c r="AD23" s="87">
        <v>401.02</v>
      </c>
      <c r="AE23" s="87">
        <v>403.05</v>
      </c>
    </row>
    <row r="24" spans="2:31">
      <c r="B24" s="77" t="s">
        <v>132</v>
      </c>
      <c r="C24" s="94">
        <v>78.61</v>
      </c>
      <c r="D24" s="94">
        <v>82.6</v>
      </c>
      <c r="E24" s="95">
        <v>82.65</v>
      </c>
      <c r="F24" s="95">
        <v>82.4</v>
      </c>
      <c r="G24" s="95">
        <v>83.02</v>
      </c>
      <c r="H24" s="95">
        <v>83.45</v>
      </c>
      <c r="I24" s="95">
        <v>83.86</v>
      </c>
      <c r="J24" s="95">
        <v>84.44</v>
      </c>
      <c r="K24" s="95">
        <v>85.08</v>
      </c>
      <c r="L24" s="95">
        <v>85.74</v>
      </c>
      <c r="M24" s="95">
        <v>86.43</v>
      </c>
      <c r="N24" s="95">
        <v>87.11</v>
      </c>
      <c r="O24" s="95">
        <v>87.75</v>
      </c>
      <c r="P24" s="95">
        <v>88.32</v>
      </c>
      <c r="Q24" s="95">
        <v>88.88</v>
      </c>
      <c r="R24" s="95">
        <v>89.5</v>
      </c>
      <c r="S24" s="95">
        <v>90.15</v>
      </c>
      <c r="T24" s="95">
        <v>90.82</v>
      </c>
      <c r="U24" s="95">
        <v>91.5</v>
      </c>
      <c r="V24" s="95">
        <v>92.19</v>
      </c>
      <c r="W24" s="95">
        <v>92.9</v>
      </c>
      <c r="X24" s="95">
        <v>93.62</v>
      </c>
      <c r="Y24" s="95">
        <v>94.34</v>
      </c>
      <c r="Z24" s="95">
        <v>95.07</v>
      </c>
      <c r="AA24" s="95">
        <v>95.81</v>
      </c>
      <c r="AB24" s="95">
        <v>96.56</v>
      </c>
      <c r="AC24" s="95">
        <v>97.3</v>
      </c>
      <c r="AD24" s="95">
        <v>98.04</v>
      </c>
      <c r="AE24" s="95">
        <v>98.79</v>
      </c>
    </row>
    <row r="25" spans="2:31">
      <c r="B25" s="77" t="s">
        <v>133</v>
      </c>
      <c r="C25" s="100">
        <v>14852.12</v>
      </c>
      <c r="D25" s="100">
        <v>15237.87</v>
      </c>
      <c r="E25" s="99">
        <v>15760.53</v>
      </c>
      <c r="F25" s="99">
        <v>15693.11</v>
      </c>
      <c r="G25" s="99">
        <v>15920.82</v>
      </c>
      <c r="H25" s="99">
        <v>16237.28</v>
      </c>
      <c r="I25" s="99">
        <v>16370.68</v>
      </c>
      <c r="J25" s="99">
        <v>16546.759999999998</v>
      </c>
      <c r="K25" s="99">
        <v>16798.419999999998</v>
      </c>
      <c r="L25" s="99">
        <v>17095.330000000002</v>
      </c>
      <c r="M25" s="99">
        <v>17412.02</v>
      </c>
      <c r="N25" s="99">
        <v>17729.400000000001</v>
      </c>
      <c r="O25" s="99">
        <v>18055.7</v>
      </c>
      <c r="P25" s="99">
        <v>18397.68</v>
      </c>
      <c r="Q25" s="99">
        <v>18749.12</v>
      </c>
      <c r="R25" s="99">
        <v>19110.41</v>
      </c>
      <c r="S25" s="99">
        <v>19482.830000000002</v>
      </c>
      <c r="T25" s="99">
        <v>19865.330000000002</v>
      </c>
      <c r="U25" s="99">
        <v>20255.34</v>
      </c>
      <c r="V25" s="99">
        <v>20657.669999999998</v>
      </c>
      <c r="W25" s="99">
        <v>21073.21</v>
      </c>
      <c r="X25" s="99">
        <v>21502.54</v>
      </c>
      <c r="Y25" s="99">
        <v>21944.14</v>
      </c>
      <c r="Z25" s="99">
        <v>22397.81</v>
      </c>
      <c r="AA25" s="99">
        <v>22865.32</v>
      </c>
      <c r="AB25" s="99">
        <v>23348.01</v>
      </c>
      <c r="AC25" s="99">
        <v>23843.599999999999</v>
      </c>
      <c r="AD25" s="99">
        <v>24351.63</v>
      </c>
      <c r="AE25" s="99">
        <v>24871.42</v>
      </c>
    </row>
    <row r="26" spans="2:31">
      <c r="B26" s="77" t="s">
        <v>134</v>
      </c>
      <c r="C26" s="100">
        <v>42000</v>
      </c>
      <c r="D26" s="100">
        <v>42000</v>
      </c>
      <c r="E26" s="99">
        <v>42000</v>
      </c>
      <c r="F26" s="99">
        <v>42066.879999999997</v>
      </c>
      <c r="G26" s="99">
        <v>42335.34</v>
      </c>
      <c r="H26" s="99">
        <v>42822.6</v>
      </c>
      <c r="I26" s="99">
        <v>43535.89</v>
      </c>
      <c r="J26" s="99">
        <v>44486.01</v>
      </c>
      <c r="K26" s="99">
        <v>45646.23</v>
      </c>
      <c r="L26" s="99">
        <v>46671.27</v>
      </c>
      <c r="M26" s="99">
        <v>47614.94</v>
      </c>
      <c r="N26" s="99">
        <v>48587.96</v>
      </c>
      <c r="O26" s="99">
        <v>49590.89</v>
      </c>
      <c r="P26" s="99">
        <v>50636.12</v>
      </c>
      <c r="Q26" s="99">
        <v>51717.95</v>
      </c>
      <c r="R26" s="99">
        <v>52834.39</v>
      </c>
      <c r="S26" s="99">
        <v>53972.26</v>
      </c>
      <c r="T26" s="99">
        <v>55128.05</v>
      </c>
      <c r="U26" s="99">
        <v>56301.93</v>
      </c>
      <c r="V26" s="99">
        <v>57493.96</v>
      </c>
      <c r="W26" s="99">
        <v>58704.49</v>
      </c>
      <c r="X26" s="99">
        <v>59933.63</v>
      </c>
      <c r="Y26" s="99">
        <v>61181.56</v>
      </c>
      <c r="Z26" s="99">
        <v>62448.21</v>
      </c>
      <c r="AA26" s="99">
        <v>63733.89</v>
      </c>
      <c r="AB26" s="99">
        <v>65062.25</v>
      </c>
      <c r="AC26" s="99">
        <v>66425.119999999995</v>
      </c>
      <c r="AD26" s="99">
        <v>67808.740000000005</v>
      </c>
      <c r="AE26" s="99">
        <v>69199.16</v>
      </c>
    </row>
    <row r="27" spans="2:31">
      <c r="B27" s="77" t="s">
        <v>135</v>
      </c>
      <c r="C27" s="100">
        <v>1450</v>
      </c>
      <c r="D27" s="100">
        <v>1315.62</v>
      </c>
      <c r="E27" s="99">
        <v>1300</v>
      </c>
      <c r="F27" s="99">
        <v>1300</v>
      </c>
      <c r="G27" s="99">
        <v>1300</v>
      </c>
      <c r="H27" s="99">
        <v>1300</v>
      </c>
      <c r="I27" s="99">
        <v>1300</v>
      </c>
      <c r="J27" s="99">
        <v>1300</v>
      </c>
      <c r="K27" s="99">
        <v>1300</v>
      </c>
      <c r="L27" s="99">
        <v>1300</v>
      </c>
      <c r="M27" s="99">
        <v>1300</v>
      </c>
      <c r="N27" s="99">
        <v>1300</v>
      </c>
      <c r="O27" s="99">
        <v>1300</v>
      </c>
      <c r="P27" s="99">
        <v>1300</v>
      </c>
      <c r="Q27" s="99">
        <v>1300</v>
      </c>
      <c r="R27" s="99">
        <v>1300</v>
      </c>
      <c r="S27" s="99">
        <v>1300</v>
      </c>
      <c r="T27" s="99">
        <v>1300</v>
      </c>
      <c r="U27" s="99">
        <v>1300</v>
      </c>
      <c r="V27" s="99">
        <v>1300</v>
      </c>
      <c r="W27" s="99">
        <v>1300</v>
      </c>
      <c r="X27" s="99">
        <v>1300</v>
      </c>
      <c r="Y27" s="99">
        <v>1300</v>
      </c>
      <c r="Z27" s="99">
        <v>1300</v>
      </c>
      <c r="AA27" s="99">
        <v>1300</v>
      </c>
      <c r="AB27" s="99">
        <v>1300</v>
      </c>
      <c r="AC27" s="99">
        <v>1300</v>
      </c>
      <c r="AD27" s="99">
        <v>1300</v>
      </c>
      <c r="AE27" s="99">
        <v>1300</v>
      </c>
    </row>
    <row r="28" spans="2:31">
      <c r="B28" s="77" t="s">
        <v>136</v>
      </c>
      <c r="C28" s="94">
        <v>131.47999999999999</v>
      </c>
      <c r="D28" s="94">
        <v>140.54</v>
      </c>
      <c r="E28" s="95">
        <v>143.29</v>
      </c>
      <c r="F28" s="95">
        <v>129.29</v>
      </c>
      <c r="G28" s="95">
        <v>120.66</v>
      </c>
      <c r="H28" s="95">
        <v>114.73</v>
      </c>
      <c r="I28" s="95">
        <v>112.06</v>
      </c>
      <c r="J28" s="95">
        <v>110.74</v>
      </c>
      <c r="K28" s="95">
        <v>109.6</v>
      </c>
      <c r="L28" s="95">
        <v>108.6</v>
      </c>
      <c r="M28" s="95">
        <v>107.72</v>
      </c>
      <c r="N28" s="95">
        <v>106.91</v>
      </c>
      <c r="O28" s="95">
        <v>106.14</v>
      </c>
      <c r="P28" s="95">
        <v>105.35</v>
      </c>
      <c r="Q28" s="95">
        <v>104.57</v>
      </c>
      <c r="R28" s="95">
        <v>103.75</v>
      </c>
      <c r="S28" s="95">
        <v>102.9</v>
      </c>
      <c r="T28" s="95">
        <v>102.04</v>
      </c>
      <c r="U28" s="95">
        <v>101.18</v>
      </c>
      <c r="V28" s="95">
        <v>100.31</v>
      </c>
      <c r="W28" s="95">
        <v>99.48</v>
      </c>
      <c r="X28" s="95">
        <v>98.66</v>
      </c>
      <c r="Y28" s="95">
        <v>97.84</v>
      </c>
      <c r="Z28" s="95">
        <v>97.01</v>
      </c>
      <c r="AA28" s="95">
        <v>96.21</v>
      </c>
      <c r="AB28" s="95">
        <v>95.44</v>
      </c>
      <c r="AC28" s="95">
        <v>94.67</v>
      </c>
      <c r="AD28" s="95">
        <v>93.9</v>
      </c>
      <c r="AE28" s="95">
        <v>93.1</v>
      </c>
    </row>
    <row r="29" spans="2:31">
      <c r="B29" s="77" t="s">
        <v>137</v>
      </c>
      <c r="C29" s="94">
        <v>0.71</v>
      </c>
      <c r="D29" s="94">
        <v>0.71</v>
      </c>
      <c r="E29" s="95">
        <v>0.71</v>
      </c>
      <c r="F29" s="95">
        <v>0.71</v>
      </c>
      <c r="G29" s="95">
        <v>0.71</v>
      </c>
      <c r="H29" s="95">
        <v>0.71</v>
      </c>
      <c r="I29" s="95">
        <v>0.71</v>
      </c>
      <c r="J29" s="95">
        <v>0.71</v>
      </c>
      <c r="K29" s="95">
        <v>0.71</v>
      </c>
      <c r="L29" s="95">
        <v>0.71</v>
      </c>
      <c r="M29" s="95">
        <v>0.71</v>
      </c>
      <c r="N29" s="95">
        <v>0.71</v>
      </c>
      <c r="O29" s="95">
        <v>0.71</v>
      </c>
      <c r="P29" s="95">
        <v>0.71</v>
      </c>
      <c r="Q29" s="95">
        <v>0.71</v>
      </c>
      <c r="R29" s="95">
        <v>0.71</v>
      </c>
      <c r="S29" s="95">
        <v>0.71</v>
      </c>
      <c r="T29" s="95">
        <v>0.71</v>
      </c>
      <c r="U29" s="95">
        <v>0.71</v>
      </c>
      <c r="V29" s="95">
        <v>0.71</v>
      </c>
      <c r="W29" s="95">
        <v>0.71</v>
      </c>
      <c r="X29" s="95">
        <v>0.71</v>
      </c>
      <c r="Y29" s="95">
        <v>0.71</v>
      </c>
      <c r="Z29" s="95">
        <v>0.71</v>
      </c>
      <c r="AA29" s="95">
        <v>0.71</v>
      </c>
      <c r="AB29" s="95">
        <v>0.71</v>
      </c>
      <c r="AC29" s="95">
        <v>0.71</v>
      </c>
      <c r="AD29" s="95">
        <v>0.71</v>
      </c>
      <c r="AE29" s="95">
        <v>0.71</v>
      </c>
    </row>
    <row r="30" spans="2:31">
      <c r="B30" s="77" t="s">
        <v>138</v>
      </c>
      <c r="C30" s="86">
        <v>459.68</v>
      </c>
      <c r="D30" s="86">
        <v>456.21</v>
      </c>
      <c r="E30" s="87">
        <v>458.95</v>
      </c>
      <c r="F30" s="87">
        <v>476.82</v>
      </c>
      <c r="G30" s="87">
        <v>488.6</v>
      </c>
      <c r="H30" s="87">
        <v>494.9</v>
      </c>
      <c r="I30" s="87">
        <v>494.05</v>
      </c>
      <c r="J30" s="87">
        <v>491.31</v>
      </c>
      <c r="K30" s="87">
        <v>490.75</v>
      </c>
      <c r="L30" s="87">
        <v>492.36</v>
      </c>
      <c r="M30" s="87">
        <v>495.76</v>
      </c>
      <c r="N30" s="87">
        <v>500.54</v>
      </c>
      <c r="O30" s="87">
        <v>506.94</v>
      </c>
      <c r="P30" s="87">
        <v>514.67999999999995</v>
      </c>
      <c r="Q30" s="87">
        <v>522.76</v>
      </c>
      <c r="R30" s="87">
        <v>530.69000000000005</v>
      </c>
      <c r="S30" s="87">
        <v>538.86</v>
      </c>
      <c r="T30" s="87">
        <v>546.54999999999995</v>
      </c>
      <c r="U30" s="87">
        <v>554.35</v>
      </c>
      <c r="V30" s="87">
        <v>562.05999999999995</v>
      </c>
      <c r="W30" s="87">
        <v>569.42999999999995</v>
      </c>
      <c r="X30" s="87">
        <v>576.51</v>
      </c>
      <c r="Y30" s="87">
        <v>583.63</v>
      </c>
      <c r="Z30" s="87">
        <v>590.5</v>
      </c>
      <c r="AA30" s="87">
        <v>597.41</v>
      </c>
      <c r="AB30" s="87">
        <v>604.28</v>
      </c>
      <c r="AC30" s="87">
        <v>611.13</v>
      </c>
      <c r="AD30" s="87">
        <v>617.99</v>
      </c>
      <c r="AE30" s="87">
        <v>624.79</v>
      </c>
    </row>
    <row r="31" spans="2:31">
      <c r="B31" s="77" t="s">
        <v>139</v>
      </c>
      <c r="C31" s="94">
        <v>0.31</v>
      </c>
      <c r="D31" s="94">
        <v>0.31</v>
      </c>
      <c r="E31" s="95">
        <v>0.31</v>
      </c>
      <c r="F31" s="95">
        <v>0.31</v>
      </c>
      <c r="G31" s="95">
        <v>0.31</v>
      </c>
      <c r="H31" s="95">
        <v>0.31</v>
      </c>
      <c r="I31" s="95">
        <v>0.31</v>
      </c>
      <c r="J31" s="95">
        <v>0.31</v>
      </c>
      <c r="K31" s="95">
        <v>0.31</v>
      </c>
      <c r="L31" s="95">
        <v>0.31</v>
      </c>
      <c r="M31" s="95">
        <v>0.31</v>
      </c>
      <c r="N31" s="95">
        <v>0.31</v>
      </c>
      <c r="O31" s="95">
        <v>0.31</v>
      </c>
      <c r="P31" s="95">
        <v>0.31</v>
      </c>
      <c r="Q31" s="95">
        <v>0.31</v>
      </c>
      <c r="R31" s="95">
        <v>0.31</v>
      </c>
      <c r="S31" s="95">
        <v>0.31</v>
      </c>
      <c r="T31" s="95">
        <v>0.31</v>
      </c>
      <c r="U31" s="95">
        <v>0.31</v>
      </c>
      <c r="V31" s="95">
        <v>0.31</v>
      </c>
      <c r="W31" s="95">
        <v>0.31</v>
      </c>
      <c r="X31" s="95">
        <v>0.31</v>
      </c>
      <c r="Y31" s="95">
        <v>0.31</v>
      </c>
      <c r="Z31" s="95">
        <v>0.31</v>
      </c>
      <c r="AA31" s="95">
        <v>0.32</v>
      </c>
      <c r="AB31" s="95">
        <v>0.32</v>
      </c>
      <c r="AC31" s="95">
        <v>0.32</v>
      </c>
      <c r="AD31" s="95">
        <v>0.32</v>
      </c>
      <c r="AE31" s="95">
        <v>0.32</v>
      </c>
    </row>
    <row r="32" spans="2:31">
      <c r="B32" s="77" t="s">
        <v>140</v>
      </c>
      <c r="C32" s="94">
        <v>4.8099999999999996</v>
      </c>
      <c r="D32" s="94">
        <v>4.8099999999999996</v>
      </c>
      <c r="E32" s="95">
        <v>4.84</v>
      </c>
      <c r="F32" s="95">
        <v>4.92</v>
      </c>
      <c r="G32" s="95">
        <v>4.9000000000000004</v>
      </c>
      <c r="H32" s="95">
        <v>4.8899999999999997</v>
      </c>
      <c r="I32" s="95">
        <v>4.88</v>
      </c>
      <c r="J32" s="95">
        <v>4.87</v>
      </c>
      <c r="K32" s="95">
        <v>4.87</v>
      </c>
      <c r="L32" s="95">
        <v>4.88</v>
      </c>
      <c r="M32" s="95">
        <v>4.8899999999999997</v>
      </c>
      <c r="N32" s="95">
        <v>4.9000000000000004</v>
      </c>
      <c r="O32" s="95">
        <v>4.91</v>
      </c>
      <c r="P32" s="95">
        <v>4.92</v>
      </c>
      <c r="Q32" s="95">
        <v>4.93</v>
      </c>
      <c r="R32" s="95">
        <v>4.9400000000000004</v>
      </c>
      <c r="S32" s="95">
        <v>4.95</v>
      </c>
      <c r="T32" s="95">
        <v>4.96</v>
      </c>
      <c r="U32" s="95">
        <v>4.9800000000000004</v>
      </c>
      <c r="V32" s="95">
        <v>4.99</v>
      </c>
      <c r="W32" s="95">
        <v>5</v>
      </c>
      <c r="X32" s="95">
        <v>5.01</v>
      </c>
      <c r="Y32" s="95">
        <v>5.0199999999999996</v>
      </c>
      <c r="Z32" s="95">
        <v>5.04</v>
      </c>
      <c r="AA32" s="95">
        <v>5.05</v>
      </c>
      <c r="AB32" s="95">
        <v>5.0599999999999996</v>
      </c>
      <c r="AC32" s="95">
        <v>5.08</v>
      </c>
      <c r="AD32" s="95">
        <v>5.09</v>
      </c>
      <c r="AE32" s="95">
        <v>5.0999999999999996</v>
      </c>
    </row>
    <row r="33" spans="2:31">
      <c r="B33" s="77" t="s">
        <v>141</v>
      </c>
      <c r="C33" s="94">
        <v>4.4000000000000004</v>
      </c>
      <c r="D33" s="94">
        <v>4.5599999999999996</v>
      </c>
      <c r="E33" s="95">
        <v>4.71</v>
      </c>
      <c r="F33" s="95">
        <v>4.51</v>
      </c>
      <c r="G33" s="95">
        <v>4.28</v>
      </c>
      <c r="H33" s="95">
        <v>4.1399999999999997</v>
      </c>
      <c r="I33" s="95">
        <v>4.04</v>
      </c>
      <c r="J33" s="95">
        <v>3.96</v>
      </c>
      <c r="K33" s="95">
        <v>3.91</v>
      </c>
      <c r="L33" s="95">
        <v>3.88</v>
      </c>
      <c r="M33" s="95">
        <v>3.86</v>
      </c>
      <c r="N33" s="95">
        <v>3.84</v>
      </c>
      <c r="O33" s="95">
        <v>3.83</v>
      </c>
      <c r="P33" s="95">
        <v>3.82</v>
      </c>
      <c r="Q33" s="95">
        <v>3.81</v>
      </c>
      <c r="R33" s="95">
        <v>3.8</v>
      </c>
      <c r="S33" s="95">
        <v>3.79</v>
      </c>
      <c r="T33" s="95">
        <v>3.78</v>
      </c>
      <c r="U33" s="95">
        <v>3.77</v>
      </c>
      <c r="V33" s="95">
        <v>3.77</v>
      </c>
      <c r="W33" s="95">
        <v>3.76</v>
      </c>
      <c r="X33" s="95">
        <v>3.75</v>
      </c>
      <c r="Y33" s="95">
        <v>3.74</v>
      </c>
      <c r="Z33" s="95">
        <v>3.74</v>
      </c>
      <c r="AA33" s="95">
        <v>3.73</v>
      </c>
      <c r="AB33" s="95">
        <v>3.73</v>
      </c>
      <c r="AC33" s="95">
        <v>3.72</v>
      </c>
      <c r="AD33" s="95">
        <v>3.71</v>
      </c>
      <c r="AE33" s="95">
        <v>3.71</v>
      </c>
    </row>
    <row r="34" spans="2:31">
      <c r="B34" s="77" t="s">
        <v>142</v>
      </c>
      <c r="C34" s="94">
        <v>20.12</v>
      </c>
      <c r="D34" s="94">
        <v>17.739999999999998</v>
      </c>
      <c r="E34" s="95">
        <v>17.559999999999999</v>
      </c>
      <c r="F34" s="95">
        <v>19.5</v>
      </c>
      <c r="G34" s="95">
        <v>20.99</v>
      </c>
      <c r="H34" s="95">
        <v>21.4</v>
      </c>
      <c r="I34" s="95">
        <v>21.62</v>
      </c>
      <c r="J34" s="95">
        <v>21.83</v>
      </c>
      <c r="K34" s="95">
        <v>22.01</v>
      </c>
      <c r="L34" s="95">
        <v>22.19</v>
      </c>
      <c r="M34" s="95">
        <v>22.36</v>
      </c>
      <c r="N34" s="95">
        <v>22.53</v>
      </c>
      <c r="O34" s="95">
        <v>22.71</v>
      </c>
      <c r="P34" s="95">
        <v>22.88</v>
      </c>
      <c r="Q34" s="95">
        <v>23.06</v>
      </c>
      <c r="R34" s="95">
        <v>23.25</v>
      </c>
      <c r="S34" s="95">
        <v>23.44</v>
      </c>
      <c r="T34" s="95">
        <v>23.63</v>
      </c>
      <c r="U34" s="95">
        <v>23.83</v>
      </c>
      <c r="V34" s="95">
        <v>24.04</v>
      </c>
      <c r="W34" s="95">
        <v>24.24</v>
      </c>
      <c r="X34" s="95">
        <v>24.45</v>
      </c>
      <c r="Y34" s="95">
        <v>24.65</v>
      </c>
      <c r="Z34" s="95">
        <v>24.85</v>
      </c>
      <c r="AA34" s="95">
        <v>25.05</v>
      </c>
      <c r="AB34" s="95">
        <v>25.25</v>
      </c>
      <c r="AC34" s="95">
        <v>25.44</v>
      </c>
      <c r="AD34" s="95">
        <v>25.61</v>
      </c>
      <c r="AE34" s="95">
        <v>25.79</v>
      </c>
    </row>
    <row r="35" spans="2:31">
      <c r="B35" s="77" t="s">
        <v>143</v>
      </c>
      <c r="C35" s="94">
        <v>63.85</v>
      </c>
      <c r="D35" s="94">
        <v>63.89</v>
      </c>
      <c r="E35" s="95">
        <v>63.94</v>
      </c>
      <c r="F35" s="95">
        <v>66.08</v>
      </c>
      <c r="G35" s="95">
        <v>72.16</v>
      </c>
      <c r="H35" s="95">
        <v>77.36</v>
      </c>
      <c r="I35" s="95">
        <v>79.739999999999995</v>
      </c>
      <c r="J35" s="95">
        <v>81.680000000000007</v>
      </c>
      <c r="K35" s="95">
        <v>83.65</v>
      </c>
      <c r="L35" s="95">
        <v>86.26</v>
      </c>
      <c r="M35" s="95">
        <v>89.32</v>
      </c>
      <c r="N35" s="95">
        <v>92.63</v>
      </c>
      <c r="O35" s="95">
        <v>96.13</v>
      </c>
      <c r="P35" s="95">
        <v>99.81</v>
      </c>
      <c r="Q35" s="95">
        <v>103.7</v>
      </c>
      <c r="R35" s="95">
        <v>107.78</v>
      </c>
      <c r="S35" s="95">
        <v>112.04</v>
      </c>
      <c r="T35" s="95">
        <v>116.49</v>
      </c>
      <c r="U35" s="95">
        <v>121.12</v>
      </c>
      <c r="V35" s="95">
        <v>125.96</v>
      </c>
      <c r="W35" s="95">
        <v>131.01</v>
      </c>
      <c r="X35" s="95">
        <v>136.27000000000001</v>
      </c>
      <c r="Y35" s="95">
        <v>141.77000000000001</v>
      </c>
      <c r="Z35" s="95">
        <v>147.5</v>
      </c>
      <c r="AA35" s="95">
        <v>153.49</v>
      </c>
      <c r="AB35" s="95">
        <v>159.74</v>
      </c>
      <c r="AC35" s="95">
        <v>166.27</v>
      </c>
      <c r="AD35" s="95">
        <v>173.09</v>
      </c>
      <c r="AE35" s="95">
        <v>180.2</v>
      </c>
    </row>
    <row r="36" spans="2:31">
      <c r="B36" s="77" t="s">
        <v>144</v>
      </c>
      <c r="C36" s="94">
        <v>1.58</v>
      </c>
      <c r="D36" s="94">
        <v>1.63</v>
      </c>
      <c r="E36" s="95">
        <v>1.58</v>
      </c>
      <c r="F36" s="95">
        <v>1.54</v>
      </c>
      <c r="G36" s="95">
        <v>1.5</v>
      </c>
      <c r="H36" s="95">
        <v>1.46</v>
      </c>
      <c r="I36" s="95">
        <v>1.46</v>
      </c>
      <c r="J36" s="95">
        <v>1.45</v>
      </c>
      <c r="K36" s="95">
        <v>1.45</v>
      </c>
      <c r="L36" s="95">
        <v>1.46</v>
      </c>
      <c r="M36" s="95">
        <v>1.48</v>
      </c>
      <c r="N36" s="95">
        <v>1.49</v>
      </c>
      <c r="O36" s="95">
        <v>1.5</v>
      </c>
      <c r="P36" s="95">
        <v>1.51</v>
      </c>
      <c r="Q36" s="95">
        <v>1.52</v>
      </c>
      <c r="R36" s="95">
        <v>1.52</v>
      </c>
      <c r="S36" s="95">
        <v>1.53</v>
      </c>
      <c r="T36" s="95">
        <v>1.53</v>
      </c>
      <c r="U36" s="95">
        <v>1.53</v>
      </c>
      <c r="V36" s="95">
        <v>1.53</v>
      </c>
      <c r="W36" s="95">
        <v>1.53</v>
      </c>
      <c r="X36" s="95">
        <v>1.53</v>
      </c>
      <c r="Y36" s="95">
        <v>1.53</v>
      </c>
      <c r="Z36" s="95">
        <v>1.53</v>
      </c>
      <c r="AA36" s="95">
        <v>1.53</v>
      </c>
      <c r="AB36" s="95">
        <v>1.53</v>
      </c>
      <c r="AC36" s="95">
        <v>1.53</v>
      </c>
      <c r="AD36" s="95">
        <v>1.52</v>
      </c>
      <c r="AE36" s="95">
        <v>1.52</v>
      </c>
    </row>
    <row r="37" spans="2:31">
      <c r="B37" s="77" t="s">
        <v>145</v>
      </c>
      <c r="C37" s="86">
        <v>425.06</v>
      </c>
      <c r="D37" s="86">
        <v>645.77</v>
      </c>
      <c r="E37" s="87">
        <v>1515.91</v>
      </c>
      <c r="F37" s="87">
        <v>1661.25</v>
      </c>
      <c r="G37" s="87">
        <v>1839.29</v>
      </c>
      <c r="H37" s="87">
        <v>1951.62</v>
      </c>
      <c r="I37" s="87">
        <v>1990.65</v>
      </c>
      <c r="J37" s="87">
        <v>2030.46</v>
      </c>
      <c r="K37" s="87">
        <v>2071.0700000000002</v>
      </c>
      <c r="L37" s="87">
        <v>2112.4899999999998</v>
      </c>
      <c r="M37" s="87">
        <v>2154.7399999999998</v>
      </c>
      <c r="N37" s="87">
        <v>2197.84</v>
      </c>
      <c r="O37" s="87">
        <v>2241.79</v>
      </c>
      <c r="P37" s="87">
        <v>2286.63</v>
      </c>
      <c r="Q37" s="87">
        <v>2332.36</v>
      </c>
      <c r="R37" s="87">
        <v>2379.0100000000002</v>
      </c>
      <c r="S37" s="87">
        <v>2426.59</v>
      </c>
      <c r="T37" s="87">
        <v>2475.12</v>
      </c>
      <c r="U37" s="87">
        <v>2524.62</v>
      </c>
      <c r="V37" s="87">
        <v>2575.12</v>
      </c>
      <c r="W37" s="87">
        <v>2626.62</v>
      </c>
      <c r="X37" s="87">
        <v>2679.15</v>
      </c>
      <c r="Y37" s="87">
        <v>2732.73</v>
      </c>
      <c r="Z37" s="87">
        <v>2787.39</v>
      </c>
      <c r="AA37" s="87">
        <v>2843.14</v>
      </c>
      <c r="AB37" s="87">
        <v>2900</v>
      </c>
      <c r="AC37" s="87">
        <v>2958</v>
      </c>
      <c r="AD37" s="87">
        <v>3017.16</v>
      </c>
      <c r="AE37" s="87">
        <v>3077.5</v>
      </c>
    </row>
    <row r="38" spans="2:31">
      <c r="B38" s="77" t="s">
        <v>146</v>
      </c>
      <c r="C38" s="94">
        <v>9.6199999999999992</v>
      </c>
      <c r="D38" s="94">
        <v>10.57</v>
      </c>
      <c r="E38" s="95">
        <v>10.37</v>
      </c>
      <c r="F38" s="95">
        <v>9.65</v>
      </c>
      <c r="G38" s="95">
        <v>8.6300000000000008</v>
      </c>
      <c r="H38" s="95">
        <v>8.06</v>
      </c>
      <c r="I38" s="95">
        <v>7.86</v>
      </c>
      <c r="J38" s="95">
        <v>7.72</v>
      </c>
      <c r="K38" s="95">
        <v>7.61</v>
      </c>
      <c r="L38" s="95">
        <v>7.53</v>
      </c>
      <c r="M38" s="95">
        <v>7.48</v>
      </c>
      <c r="N38" s="95">
        <v>7.44</v>
      </c>
      <c r="O38" s="95">
        <v>7.4</v>
      </c>
      <c r="P38" s="95">
        <v>7.39</v>
      </c>
      <c r="Q38" s="95">
        <v>7.39</v>
      </c>
      <c r="R38" s="95">
        <v>7.39</v>
      </c>
      <c r="S38" s="95">
        <v>7.4</v>
      </c>
      <c r="T38" s="95">
        <v>7.4</v>
      </c>
      <c r="U38" s="95">
        <v>7.41</v>
      </c>
      <c r="V38" s="95">
        <v>7.41</v>
      </c>
      <c r="W38" s="95">
        <v>7.41</v>
      </c>
      <c r="X38" s="95">
        <v>7.42</v>
      </c>
      <c r="Y38" s="95">
        <v>7.42</v>
      </c>
      <c r="Z38" s="95">
        <v>7.43</v>
      </c>
      <c r="AA38" s="95">
        <v>7.43</v>
      </c>
      <c r="AB38" s="95">
        <v>7.44</v>
      </c>
      <c r="AC38" s="95">
        <v>7.44</v>
      </c>
      <c r="AD38" s="95">
        <v>7.44</v>
      </c>
      <c r="AE38" s="95">
        <v>7.45</v>
      </c>
    </row>
    <row r="39" spans="2:31">
      <c r="B39" s="77" t="s">
        <v>147</v>
      </c>
      <c r="C39" s="94">
        <v>0.38</v>
      </c>
      <c r="D39" s="94">
        <v>0.38</v>
      </c>
      <c r="E39" s="95">
        <v>0.38</v>
      </c>
      <c r="F39" s="95">
        <v>0.38</v>
      </c>
      <c r="G39" s="95">
        <v>0.38</v>
      </c>
      <c r="H39" s="95">
        <v>0.38</v>
      </c>
      <c r="I39" s="95">
        <v>0.38</v>
      </c>
      <c r="J39" s="95">
        <v>0.38</v>
      </c>
      <c r="K39" s="95">
        <v>0.38</v>
      </c>
      <c r="L39" s="95">
        <v>0.38</v>
      </c>
      <c r="M39" s="95">
        <v>0.38</v>
      </c>
      <c r="N39" s="95">
        <v>0.38</v>
      </c>
      <c r="O39" s="95">
        <v>0.38</v>
      </c>
      <c r="P39" s="95">
        <v>0.38</v>
      </c>
      <c r="Q39" s="95">
        <v>0.38</v>
      </c>
      <c r="R39" s="95">
        <v>0.38</v>
      </c>
      <c r="S39" s="95">
        <v>0.38</v>
      </c>
      <c r="T39" s="95">
        <v>0.38</v>
      </c>
      <c r="U39" s="95">
        <v>0.38</v>
      </c>
      <c r="V39" s="95">
        <v>0.38</v>
      </c>
      <c r="W39" s="95">
        <v>0.38</v>
      </c>
      <c r="X39" s="95">
        <v>0.38</v>
      </c>
      <c r="Y39" s="95">
        <v>0.38</v>
      </c>
      <c r="Z39" s="95">
        <v>0.38</v>
      </c>
      <c r="AA39" s="95">
        <v>0.38</v>
      </c>
      <c r="AB39" s="95">
        <v>0.38</v>
      </c>
      <c r="AC39" s="95">
        <v>0.38</v>
      </c>
      <c r="AD39" s="95">
        <v>0.38</v>
      </c>
      <c r="AE39" s="95">
        <v>0.38</v>
      </c>
    </row>
    <row r="40" spans="2:31">
      <c r="B40" s="77" t="s">
        <v>148</v>
      </c>
      <c r="C40" s="94">
        <v>54.48</v>
      </c>
      <c r="D40" s="94">
        <v>55.63</v>
      </c>
      <c r="E40" s="95">
        <v>55.84</v>
      </c>
      <c r="F40" s="95">
        <v>54.19</v>
      </c>
      <c r="G40" s="95">
        <v>53.46</v>
      </c>
      <c r="H40" s="95">
        <v>53.09</v>
      </c>
      <c r="I40" s="95">
        <v>52.71</v>
      </c>
      <c r="J40" s="95">
        <v>52.33</v>
      </c>
      <c r="K40" s="95">
        <v>52</v>
      </c>
      <c r="L40" s="95">
        <v>51.7</v>
      </c>
      <c r="M40" s="95">
        <v>51.41</v>
      </c>
      <c r="N40" s="95">
        <v>51.11</v>
      </c>
      <c r="O40" s="95">
        <v>50.8</v>
      </c>
      <c r="P40" s="95">
        <v>50.51</v>
      </c>
      <c r="Q40" s="95">
        <v>50.24</v>
      </c>
      <c r="R40" s="95">
        <v>49.98</v>
      </c>
      <c r="S40" s="95">
        <v>49.75</v>
      </c>
      <c r="T40" s="95">
        <v>49.52</v>
      </c>
      <c r="U40" s="95">
        <v>49.3</v>
      </c>
      <c r="V40" s="95">
        <v>49.08</v>
      </c>
      <c r="W40" s="95">
        <v>48.86</v>
      </c>
      <c r="X40" s="95">
        <v>48.63</v>
      </c>
      <c r="Y40" s="95">
        <v>48.41</v>
      </c>
      <c r="Z40" s="95">
        <v>48.17</v>
      </c>
      <c r="AA40" s="95">
        <v>47.92</v>
      </c>
      <c r="AB40" s="95">
        <v>47.66</v>
      </c>
      <c r="AC40" s="95">
        <v>47.39</v>
      </c>
      <c r="AD40" s="95">
        <v>47.12</v>
      </c>
      <c r="AE40" s="95">
        <v>46.84</v>
      </c>
    </row>
    <row r="41" spans="2:31">
      <c r="B41" s="77" t="s">
        <v>149</v>
      </c>
      <c r="C41" s="94">
        <v>4.46</v>
      </c>
      <c r="D41" s="94">
        <v>4.2</v>
      </c>
      <c r="E41" s="95">
        <v>3.93</v>
      </c>
      <c r="F41" s="95">
        <v>3.83</v>
      </c>
      <c r="G41" s="95">
        <v>3.77</v>
      </c>
      <c r="H41" s="95">
        <v>3.68</v>
      </c>
      <c r="I41" s="95">
        <v>3.61</v>
      </c>
      <c r="J41" s="95">
        <v>3.54</v>
      </c>
      <c r="K41" s="95">
        <v>3.48</v>
      </c>
      <c r="L41" s="95">
        <v>3.44</v>
      </c>
      <c r="M41" s="95">
        <v>3.43</v>
      </c>
      <c r="N41" s="95">
        <v>3.42</v>
      </c>
      <c r="O41" s="95">
        <v>3.42</v>
      </c>
      <c r="P41" s="95">
        <v>3.42</v>
      </c>
      <c r="Q41" s="95">
        <v>3.42</v>
      </c>
      <c r="R41" s="95">
        <v>3.42</v>
      </c>
      <c r="S41" s="95">
        <v>3.42</v>
      </c>
      <c r="T41" s="95">
        <v>3.42</v>
      </c>
      <c r="U41" s="95">
        <v>3.42</v>
      </c>
      <c r="V41" s="95">
        <v>3.42</v>
      </c>
      <c r="W41" s="95">
        <v>3.42</v>
      </c>
      <c r="X41" s="95">
        <v>3.42</v>
      </c>
      <c r="Y41" s="95">
        <v>3.42</v>
      </c>
      <c r="Z41" s="95">
        <v>3.42</v>
      </c>
      <c r="AA41" s="95">
        <v>3.42</v>
      </c>
      <c r="AB41" s="95">
        <v>3.42</v>
      </c>
      <c r="AC41" s="95">
        <v>3.42</v>
      </c>
      <c r="AD41" s="95">
        <v>3.42</v>
      </c>
      <c r="AE41" s="95">
        <v>3.42</v>
      </c>
    </row>
    <row r="42" spans="2:31">
      <c r="B42" s="77" t="s">
        <v>150</v>
      </c>
      <c r="C42" s="94">
        <v>4.6900000000000004</v>
      </c>
      <c r="D42" s="94">
        <v>4.57</v>
      </c>
      <c r="E42" s="95">
        <v>4.58</v>
      </c>
      <c r="F42" s="95">
        <v>4.55</v>
      </c>
      <c r="G42" s="95">
        <v>4.4800000000000004</v>
      </c>
      <c r="H42" s="95">
        <v>4.37</v>
      </c>
      <c r="I42" s="95">
        <v>4.29</v>
      </c>
      <c r="J42" s="95">
        <v>4.21</v>
      </c>
      <c r="K42" s="95">
        <v>4.18</v>
      </c>
      <c r="L42" s="95">
        <v>4.16</v>
      </c>
      <c r="M42" s="95">
        <v>4.1399999999999997</v>
      </c>
      <c r="N42" s="95">
        <v>4.13</v>
      </c>
      <c r="O42" s="95">
        <v>4.13</v>
      </c>
      <c r="P42" s="95">
        <v>4.12</v>
      </c>
      <c r="Q42" s="95">
        <v>4.12</v>
      </c>
      <c r="R42" s="95">
        <v>4.12</v>
      </c>
      <c r="S42" s="95">
        <v>4.12</v>
      </c>
      <c r="T42" s="95">
        <v>4.12</v>
      </c>
      <c r="U42" s="95">
        <v>4.12</v>
      </c>
      <c r="V42" s="95">
        <v>4.12</v>
      </c>
      <c r="W42" s="95">
        <v>4.12</v>
      </c>
      <c r="X42" s="95">
        <v>4.12</v>
      </c>
      <c r="Y42" s="95">
        <v>4.12</v>
      </c>
      <c r="Z42" s="95">
        <v>4.12</v>
      </c>
      <c r="AA42" s="95">
        <v>4.12</v>
      </c>
      <c r="AB42" s="95">
        <v>4.12</v>
      </c>
      <c r="AC42" s="95">
        <v>4.12</v>
      </c>
      <c r="AD42" s="95">
        <v>4.12</v>
      </c>
      <c r="AE42" s="95">
        <v>4.12</v>
      </c>
    </row>
    <row r="43" spans="2:31">
      <c r="B43" s="77" t="s">
        <v>151</v>
      </c>
      <c r="C43" s="94"/>
      <c r="D43" s="94"/>
      <c r="E43" s="95"/>
      <c r="F43" s="95"/>
      <c r="G43" s="95"/>
      <c r="H43" s="95"/>
      <c r="I43" s="95"/>
      <c r="J43" s="95"/>
      <c r="K43" s="95"/>
      <c r="L43" s="95"/>
      <c r="M43" s="95"/>
      <c r="N43" s="95"/>
      <c r="O43" s="95"/>
      <c r="P43" s="95"/>
      <c r="Q43" s="95"/>
      <c r="R43" s="95"/>
      <c r="S43" s="95"/>
      <c r="T43" s="95"/>
      <c r="U43" s="95"/>
      <c r="V43" s="95"/>
      <c r="W43" s="95"/>
      <c r="X43" s="95"/>
      <c r="Y43" s="95"/>
      <c r="Z43" s="95"/>
      <c r="AA43" s="95"/>
      <c r="AB43" s="95"/>
      <c r="AC43" s="95"/>
      <c r="AD43" s="95"/>
      <c r="AE43" s="95"/>
    </row>
    <row r="44" spans="2:31">
      <c r="B44" s="77" t="s">
        <v>152</v>
      </c>
      <c r="C44" s="94">
        <v>3.75</v>
      </c>
      <c r="D44" s="94">
        <v>3.75</v>
      </c>
      <c r="E44" s="95">
        <v>3.75</v>
      </c>
      <c r="F44" s="95">
        <v>3.75</v>
      </c>
      <c r="G44" s="95">
        <v>3.75</v>
      </c>
      <c r="H44" s="95">
        <v>3.75</v>
      </c>
      <c r="I44" s="95">
        <v>3.75</v>
      </c>
      <c r="J44" s="95">
        <v>3.75</v>
      </c>
      <c r="K44" s="95">
        <v>3.75</v>
      </c>
      <c r="L44" s="95">
        <v>3.75</v>
      </c>
      <c r="M44" s="95">
        <v>3.75</v>
      </c>
      <c r="N44" s="95">
        <v>3.75</v>
      </c>
      <c r="O44" s="95">
        <v>3.75</v>
      </c>
      <c r="P44" s="95">
        <v>3.75</v>
      </c>
      <c r="Q44" s="95">
        <v>3.75</v>
      </c>
      <c r="R44" s="95">
        <v>3.75</v>
      </c>
      <c r="S44" s="95">
        <v>3.75</v>
      </c>
      <c r="T44" s="95">
        <v>3.75</v>
      </c>
      <c r="U44" s="95">
        <v>3.75</v>
      </c>
      <c r="V44" s="95">
        <v>3.75</v>
      </c>
      <c r="W44" s="95">
        <v>3.75</v>
      </c>
      <c r="X44" s="95">
        <v>3.75</v>
      </c>
      <c r="Y44" s="95">
        <v>3.75</v>
      </c>
      <c r="Z44" s="95">
        <v>3.75</v>
      </c>
      <c r="AA44" s="95">
        <v>3.75</v>
      </c>
      <c r="AB44" s="95">
        <v>3.75</v>
      </c>
      <c r="AC44" s="95">
        <v>3.75</v>
      </c>
      <c r="AD44" s="95">
        <v>3.75</v>
      </c>
      <c r="AE44" s="95">
        <v>3.75</v>
      </c>
    </row>
    <row r="45" spans="2:31">
      <c r="B45" s="77" t="s">
        <v>153</v>
      </c>
      <c r="C45" s="94">
        <v>1.38</v>
      </c>
      <c r="D45" s="94">
        <v>1.34</v>
      </c>
      <c r="E45" s="95">
        <v>1.34</v>
      </c>
      <c r="F45" s="95">
        <v>1.31</v>
      </c>
      <c r="G45" s="95">
        <v>1.31</v>
      </c>
      <c r="H45" s="95">
        <v>1.29</v>
      </c>
      <c r="I45" s="95">
        <v>1.28</v>
      </c>
      <c r="J45" s="95">
        <v>1.27</v>
      </c>
      <c r="K45" s="95">
        <v>1.26</v>
      </c>
      <c r="L45" s="95">
        <v>1.26</v>
      </c>
      <c r="M45" s="95">
        <v>1.25</v>
      </c>
      <c r="N45" s="95">
        <v>1.25</v>
      </c>
      <c r="O45" s="95">
        <v>1.24</v>
      </c>
      <c r="P45" s="95">
        <v>1.24</v>
      </c>
      <c r="Q45" s="95">
        <v>1.23</v>
      </c>
      <c r="R45" s="95">
        <v>1.23</v>
      </c>
      <c r="S45" s="95">
        <v>1.23</v>
      </c>
      <c r="T45" s="95">
        <v>1.22</v>
      </c>
      <c r="U45" s="95">
        <v>1.22</v>
      </c>
      <c r="V45" s="95">
        <v>1.22</v>
      </c>
      <c r="W45" s="95">
        <v>1.21</v>
      </c>
      <c r="X45" s="95">
        <v>1.21</v>
      </c>
      <c r="Y45" s="95">
        <v>1.21</v>
      </c>
      <c r="Z45" s="95">
        <v>1.2</v>
      </c>
      <c r="AA45" s="95">
        <v>1.2</v>
      </c>
      <c r="AB45" s="95">
        <v>1.19</v>
      </c>
      <c r="AC45" s="95">
        <v>1.19</v>
      </c>
      <c r="AD45" s="95">
        <v>1.19</v>
      </c>
      <c r="AE45" s="95">
        <v>1.18</v>
      </c>
    </row>
    <row r="46" spans="2:31">
      <c r="B46" s="77" t="s">
        <v>154</v>
      </c>
      <c r="C46" s="94">
        <v>16.37</v>
      </c>
      <c r="D46" s="94">
        <v>18.46</v>
      </c>
      <c r="E46" s="95">
        <v>18.809999999999999</v>
      </c>
      <c r="F46" s="95">
        <v>18.95</v>
      </c>
      <c r="G46" s="95">
        <v>19.37</v>
      </c>
      <c r="H46" s="95">
        <v>19.89</v>
      </c>
      <c r="I46" s="95">
        <v>20.440000000000001</v>
      </c>
      <c r="J46" s="95">
        <v>20.97</v>
      </c>
      <c r="K46" s="95">
        <v>21.5</v>
      </c>
      <c r="L46" s="95">
        <v>22.02</v>
      </c>
      <c r="M46" s="95">
        <v>22.44</v>
      </c>
      <c r="N46" s="95">
        <v>22.88</v>
      </c>
      <c r="O46" s="95">
        <v>23.38</v>
      </c>
      <c r="P46" s="95">
        <v>23.97</v>
      </c>
      <c r="Q46" s="95">
        <v>24.64</v>
      </c>
      <c r="R46" s="95">
        <v>25.34</v>
      </c>
      <c r="S46" s="95">
        <v>26.04</v>
      </c>
      <c r="T46" s="95">
        <v>26.72</v>
      </c>
      <c r="U46" s="95">
        <v>27.41</v>
      </c>
      <c r="V46" s="95">
        <v>28.09</v>
      </c>
      <c r="W46" s="95">
        <v>28.79</v>
      </c>
      <c r="X46" s="95">
        <v>29.49</v>
      </c>
      <c r="Y46" s="95">
        <v>30.21</v>
      </c>
      <c r="Z46" s="95">
        <v>30.94</v>
      </c>
      <c r="AA46" s="95">
        <v>31.68</v>
      </c>
      <c r="AB46" s="95">
        <v>32.44</v>
      </c>
      <c r="AC46" s="95">
        <v>33.21</v>
      </c>
      <c r="AD46" s="95">
        <v>34</v>
      </c>
      <c r="AE46" s="95">
        <v>34.81</v>
      </c>
    </row>
    <row r="47" spans="2:31">
      <c r="B47" s="77" t="s">
        <v>155</v>
      </c>
      <c r="C47" s="100">
        <v>1291.81</v>
      </c>
      <c r="D47" s="100">
        <v>1305.67</v>
      </c>
      <c r="E47" s="99">
        <v>1302.5999999999999</v>
      </c>
      <c r="F47" s="99">
        <v>1240.5899999999999</v>
      </c>
      <c r="G47" s="99">
        <v>1204.8800000000001</v>
      </c>
      <c r="H47" s="99">
        <v>1181.31</v>
      </c>
      <c r="I47" s="99">
        <v>1169.8800000000001</v>
      </c>
      <c r="J47" s="99">
        <v>1166.52</v>
      </c>
      <c r="K47" s="99">
        <v>1166.21</v>
      </c>
      <c r="L47" s="99">
        <v>1165.56</v>
      </c>
      <c r="M47" s="99">
        <v>1164.5999999999999</v>
      </c>
      <c r="N47" s="99">
        <v>1163.27</v>
      </c>
      <c r="O47" s="99">
        <v>1161.8800000000001</v>
      </c>
      <c r="P47" s="99">
        <v>1160.24</v>
      </c>
      <c r="Q47" s="99">
        <v>1158.4100000000001</v>
      </c>
      <c r="R47" s="99">
        <v>1156.42</v>
      </c>
      <c r="S47" s="99">
        <v>1154.26</v>
      </c>
      <c r="T47" s="99">
        <v>1151.98</v>
      </c>
      <c r="U47" s="99">
        <v>1149.3399999999999</v>
      </c>
      <c r="V47" s="99">
        <v>1146.2</v>
      </c>
      <c r="W47" s="99">
        <v>1143.0999999999999</v>
      </c>
      <c r="X47" s="99">
        <v>1139.8800000000001</v>
      </c>
      <c r="Y47" s="99">
        <v>1136.56</v>
      </c>
      <c r="Z47" s="99">
        <v>1133.21</v>
      </c>
      <c r="AA47" s="99">
        <v>1129.77</v>
      </c>
      <c r="AB47" s="99">
        <v>1126.3800000000001</v>
      </c>
      <c r="AC47" s="99">
        <v>1123.05</v>
      </c>
      <c r="AD47" s="99">
        <v>1119.8</v>
      </c>
      <c r="AE47" s="99">
        <v>1116.6300000000001</v>
      </c>
    </row>
    <row r="48" spans="2:31">
      <c r="B48" s="77" t="s">
        <v>156</v>
      </c>
      <c r="C48" s="94">
        <v>10.11</v>
      </c>
      <c r="D48" s="94">
        <v>10.61</v>
      </c>
      <c r="E48" s="95">
        <v>10.28</v>
      </c>
      <c r="F48" s="95">
        <v>9.9</v>
      </c>
      <c r="G48" s="95">
        <v>9.3699999999999992</v>
      </c>
      <c r="H48" s="95">
        <v>8.83</v>
      </c>
      <c r="I48" s="95">
        <v>8.48</v>
      </c>
      <c r="J48" s="95">
        <v>8.31</v>
      </c>
      <c r="K48" s="95">
        <v>8.2100000000000009</v>
      </c>
      <c r="L48" s="95">
        <v>8.16</v>
      </c>
      <c r="M48" s="95">
        <v>8.14</v>
      </c>
      <c r="N48" s="95">
        <v>8.1199999999999992</v>
      </c>
      <c r="O48" s="95">
        <v>8.11</v>
      </c>
      <c r="P48" s="95">
        <v>8.11</v>
      </c>
      <c r="Q48" s="95">
        <v>8.1</v>
      </c>
      <c r="R48" s="95">
        <v>8.09</v>
      </c>
      <c r="S48" s="95">
        <v>8.09</v>
      </c>
      <c r="T48" s="95">
        <v>8.08</v>
      </c>
      <c r="U48" s="95">
        <v>8.08</v>
      </c>
      <c r="V48" s="95">
        <v>8.07</v>
      </c>
      <c r="W48" s="95">
        <v>8.07</v>
      </c>
      <c r="X48" s="95">
        <v>8.06</v>
      </c>
      <c r="Y48" s="95">
        <v>8.0500000000000007</v>
      </c>
      <c r="Z48" s="95">
        <v>8.0500000000000007</v>
      </c>
      <c r="AA48" s="95">
        <v>8.0399999999999991</v>
      </c>
      <c r="AB48" s="95">
        <v>8.0399999999999991</v>
      </c>
      <c r="AC48" s="95">
        <v>8.0299999999999994</v>
      </c>
      <c r="AD48" s="95">
        <v>8.0299999999999994</v>
      </c>
      <c r="AE48" s="95">
        <v>8.02</v>
      </c>
    </row>
    <row r="49" spans="2:31">
      <c r="B49" s="77" t="s">
        <v>157</v>
      </c>
      <c r="C49" s="94">
        <v>0.96</v>
      </c>
      <c r="D49" s="94">
        <v>0.9</v>
      </c>
      <c r="E49" s="95">
        <v>0.88</v>
      </c>
      <c r="F49" s="95">
        <v>0.88</v>
      </c>
      <c r="G49" s="95">
        <v>0.87</v>
      </c>
      <c r="H49" s="95">
        <v>0.85</v>
      </c>
      <c r="I49" s="95">
        <v>0.84</v>
      </c>
      <c r="J49" s="95">
        <v>0.83</v>
      </c>
      <c r="K49" s="95">
        <v>0.82</v>
      </c>
      <c r="L49" s="95">
        <v>0.82</v>
      </c>
      <c r="M49" s="95">
        <v>0.81</v>
      </c>
      <c r="N49" s="95">
        <v>0.81</v>
      </c>
      <c r="O49" s="95">
        <v>0.8</v>
      </c>
      <c r="P49" s="95">
        <v>0.8</v>
      </c>
      <c r="Q49" s="95">
        <v>0.79</v>
      </c>
      <c r="R49" s="95">
        <v>0.79</v>
      </c>
      <c r="S49" s="95">
        <v>0.78</v>
      </c>
      <c r="T49" s="95">
        <v>0.78</v>
      </c>
      <c r="U49" s="95">
        <v>0.78</v>
      </c>
      <c r="V49" s="95">
        <v>0.77</v>
      </c>
      <c r="W49" s="95">
        <v>0.77</v>
      </c>
      <c r="X49" s="95">
        <v>0.76</v>
      </c>
      <c r="Y49" s="95">
        <v>0.76</v>
      </c>
      <c r="Z49" s="95">
        <v>0.75</v>
      </c>
      <c r="AA49" s="95">
        <v>0.75</v>
      </c>
      <c r="AB49" s="95">
        <v>0.75</v>
      </c>
      <c r="AC49" s="95">
        <v>0.74</v>
      </c>
      <c r="AD49" s="95">
        <v>0.74</v>
      </c>
      <c r="AE49" s="95">
        <v>0.73</v>
      </c>
    </row>
    <row r="50" spans="2:31">
      <c r="B50" s="77" t="s">
        <v>158</v>
      </c>
      <c r="C50" s="94">
        <v>29.8</v>
      </c>
      <c r="D50" s="94">
        <v>31.16</v>
      </c>
      <c r="E50" s="95">
        <v>31.07</v>
      </c>
      <c r="F50" s="95">
        <v>29.66</v>
      </c>
      <c r="G50" s="95">
        <v>28.62</v>
      </c>
      <c r="H50" s="95">
        <v>28.01</v>
      </c>
      <c r="I50" s="95">
        <v>27.81</v>
      </c>
      <c r="J50" s="95">
        <v>27.68</v>
      </c>
      <c r="K50" s="95">
        <v>27.58</v>
      </c>
      <c r="L50" s="95">
        <v>27.49</v>
      </c>
      <c r="M50" s="95">
        <v>27.41</v>
      </c>
      <c r="N50" s="95">
        <v>27.34</v>
      </c>
      <c r="O50" s="95">
        <v>27.26</v>
      </c>
      <c r="P50" s="95">
        <v>27.18</v>
      </c>
      <c r="Q50" s="95">
        <v>27.11</v>
      </c>
      <c r="R50" s="95">
        <v>27.04</v>
      </c>
      <c r="S50" s="95">
        <v>26.97</v>
      </c>
      <c r="T50" s="95">
        <v>26.89</v>
      </c>
      <c r="U50" s="95">
        <v>26.82</v>
      </c>
      <c r="V50" s="95">
        <v>26.73</v>
      </c>
      <c r="W50" s="95">
        <v>26.65</v>
      </c>
      <c r="X50" s="95">
        <v>26.56</v>
      </c>
      <c r="Y50" s="95">
        <v>26.49</v>
      </c>
      <c r="Z50" s="95">
        <v>26.41</v>
      </c>
      <c r="AA50" s="95">
        <v>26.34</v>
      </c>
      <c r="AB50" s="95">
        <v>26.28</v>
      </c>
      <c r="AC50" s="95">
        <v>26.21</v>
      </c>
      <c r="AD50" s="95">
        <v>26.15</v>
      </c>
      <c r="AE50" s="95">
        <v>26.09</v>
      </c>
    </row>
    <row r="51" spans="2:31">
      <c r="B51" s="77" t="s">
        <v>159</v>
      </c>
      <c r="C51" s="94">
        <v>35.07</v>
      </c>
      <c r="D51" s="94">
        <v>34.81</v>
      </c>
      <c r="E51" s="95">
        <v>35.06</v>
      </c>
      <c r="F51" s="95">
        <v>34.25</v>
      </c>
      <c r="G51" s="95">
        <v>33.92</v>
      </c>
      <c r="H51" s="95">
        <v>33.58</v>
      </c>
      <c r="I51" s="95">
        <v>33.31</v>
      </c>
      <c r="J51" s="95">
        <v>33.07</v>
      </c>
      <c r="K51" s="95">
        <v>32.869999999999997</v>
      </c>
      <c r="L51" s="95">
        <v>32.71</v>
      </c>
      <c r="M51" s="95">
        <v>32.57</v>
      </c>
      <c r="N51" s="95">
        <v>32.44</v>
      </c>
      <c r="O51" s="95">
        <v>32.33</v>
      </c>
      <c r="P51" s="95">
        <v>32.22</v>
      </c>
      <c r="Q51" s="95">
        <v>32.119999999999997</v>
      </c>
      <c r="R51" s="95">
        <v>32.03</v>
      </c>
      <c r="S51" s="95">
        <v>31.95</v>
      </c>
      <c r="T51" s="95">
        <v>31.88</v>
      </c>
      <c r="U51" s="95">
        <v>31.83</v>
      </c>
      <c r="V51" s="95">
        <v>31.77</v>
      </c>
      <c r="W51" s="95">
        <v>31.73</v>
      </c>
      <c r="X51" s="95">
        <v>31.7</v>
      </c>
      <c r="Y51" s="95">
        <v>31.67</v>
      </c>
      <c r="Z51" s="95">
        <v>31.64</v>
      </c>
      <c r="AA51" s="95">
        <v>31.63</v>
      </c>
      <c r="AB51" s="95">
        <v>31.61</v>
      </c>
      <c r="AC51" s="95">
        <v>31.59</v>
      </c>
      <c r="AD51" s="95">
        <v>31.58</v>
      </c>
      <c r="AE51" s="95">
        <v>31.57</v>
      </c>
    </row>
    <row r="52" spans="2:31">
      <c r="B52" s="77" t="s">
        <v>160</v>
      </c>
      <c r="C52" s="94">
        <v>6.76</v>
      </c>
      <c r="D52" s="94">
        <v>6.75</v>
      </c>
      <c r="E52" s="95">
        <v>6.75</v>
      </c>
      <c r="F52" s="95">
        <v>6.77</v>
      </c>
      <c r="G52" s="95">
        <v>6.81</v>
      </c>
      <c r="H52" s="95">
        <v>6.85</v>
      </c>
      <c r="I52" s="95">
        <v>6.89</v>
      </c>
      <c r="J52" s="95">
        <v>6.94</v>
      </c>
      <c r="K52" s="95">
        <v>6.98</v>
      </c>
      <c r="L52" s="95">
        <v>7.03</v>
      </c>
      <c r="M52" s="95">
        <v>7.09</v>
      </c>
      <c r="N52" s="95">
        <v>7.14</v>
      </c>
      <c r="O52" s="95">
        <v>7.19</v>
      </c>
      <c r="P52" s="95">
        <v>7.25</v>
      </c>
      <c r="Q52" s="95">
        <v>7.3</v>
      </c>
      <c r="R52" s="95">
        <v>7.35</v>
      </c>
      <c r="S52" s="95">
        <v>7.41</v>
      </c>
      <c r="T52" s="95">
        <v>7.47</v>
      </c>
      <c r="U52" s="95">
        <v>7.52</v>
      </c>
      <c r="V52" s="95">
        <v>7.58</v>
      </c>
      <c r="W52" s="95">
        <v>7.64</v>
      </c>
      <c r="X52" s="95">
        <v>7.69</v>
      </c>
      <c r="Y52" s="95">
        <v>7.75</v>
      </c>
      <c r="Z52" s="95">
        <v>7.81</v>
      </c>
      <c r="AA52" s="95">
        <v>7.87</v>
      </c>
      <c r="AB52" s="95">
        <v>7.93</v>
      </c>
      <c r="AC52" s="95">
        <v>7.99</v>
      </c>
      <c r="AD52" s="95">
        <v>8.0500000000000007</v>
      </c>
      <c r="AE52" s="95">
        <v>8.11</v>
      </c>
    </row>
    <row r="53" spans="2:31">
      <c r="B53" s="77" t="s">
        <v>161</v>
      </c>
      <c r="C53" s="94">
        <v>16.57</v>
      </c>
      <c r="D53" s="94">
        <v>23.75</v>
      </c>
      <c r="E53" s="95">
        <v>32.909999999999997</v>
      </c>
      <c r="F53" s="95">
        <v>35.86</v>
      </c>
      <c r="G53" s="95">
        <v>38.049999999999997</v>
      </c>
      <c r="H53" s="95">
        <v>40.479999999999997</v>
      </c>
      <c r="I53" s="95">
        <v>43.12</v>
      </c>
      <c r="J53" s="95">
        <v>45.41</v>
      </c>
      <c r="K53" s="95">
        <v>47.18</v>
      </c>
      <c r="L53" s="95">
        <v>48.63</v>
      </c>
      <c r="M53" s="95">
        <v>50.15</v>
      </c>
      <c r="N53" s="95">
        <v>51.64</v>
      </c>
      <c r="O53" s="95">
        <v>53.12</v>
      </c>
      <c r="P53" s="95">
        <v>54.62</v>
      </c>
      <c r="Q53" s="95">
        <v>56.15</v>
      </c>
      <c r="R53" s="95">
        <v>57.63</v>
      </c>
      <c r="S53" s="95">
        <v>59.06</v>
      </c>
      <c r="T53" s="95">
        <v>60.54</v>
      </c>
      <c r="U53" s="95">
        <v>62.16</v>
      </c>
      <c r="V53" s="95">
        <v>63.93</v>
      </c>
      <c r="W53" s="95">
        <v>65.63</v>
      </c>
      <c r="X53" s="95">
        <v>67.17</v>
      </c>
      <c r="Y53" s="95">
        <v>68.62</v>
      </c>
      <c r="Z53" s="95">
        <v>70.06</v>
      </c>
      <c r="AA53" s="95">
        <v>71.569999999999993</v>
      </c>
      <c r="AB53" s="95">
        <v>73.12</v>
      </c>
      <c r="AC53" s="95">
        <v>74.66</v>
      </c>
      <c r="AD53" s="95">
        <v>76.14</v>
      </c>
      <c r="AE53" s="95">
        <v>77.62</v>
      </c>
    </row>
    <row r="54" spans="2:31">
      <c r="B54" s="77" t="s">
        <v>162</v>
      </c>
      <c r="C54" s="94">
        <v>32.32</v>
      </c>
      <c r="D54" s="94">
        <v>36.57</v>
      </c>
      <c r="E54" s="95">
        <v>38.979999999999997</v>
      </c>
      <c r="F54" s="95">
        <v>40.56</v>
      </c>
      <c r="G54" s="95">
        <v>40.729999999999997</v>
      </c>
      <c r="H54" s="95">
        <v>40.520000000000003</v>
      </c>
      <c r="I54" s="95">
        <v>39.53</v>
      </c>
      <c r="J54" s="95">
        <v>38.72</v>
      </c>
      <c r="K54" s="95">
        <v>38.32</v>
      </c>
      <c r="L54" s="95">
        <v>38.19</v>
      </c>
      <c r="M54" s="95">
        <v>37.950000000000003</v>
      </c>
      <c r="N54" s="95">
        <v>38.159999999999997</v>
      </c>
      <c r="O54" s="95">
        <v>38.49</v>
      </c>
      <c r="P54" s="95">
        <v>38.89</v>
      </c>
      <c r="Q54" s="95">
        <v>39.29</v>
      </c>
      <c r="R54" s="95">
        <v>39.590000000000003</v>
      </c>
      <c r="S54" s="95">
        <v>40.11</v>
      </c>
      <c r="T54" s="95">
        <v>40.840000000000003</v>
      </c>
      <c r="U54" s="95">
        <v>41.71</v>
      </c>
      <c r="V54" s="95">
        <v>42.55</v>
      </c>
      <c r="W54" s="95">
        <v>43.25</v>
      </c>
      <c r="X54" s="95">
        <v>43.98</v>
      </c>
      <c r="Y54" s="95">
        <v>44.68</v>
      </c>
      <c r="Z54" s="95">
        <v>45.37</v>
      </c>
      <c r="AA54" s="95">
        <v>45.99</v>
      </c>
      <c r="AB54" s="95">
        <v>46.62</v>
      </c>
      <c r="AC54" s="95">
        <v>47.23</v>
      </c>
      <c r="AD54" s="95">
        <v>47.89</v>
      </c>
      <c r="AE54" s="95">
        <v>48.59</v>
      </c>
    </row>
    <row r="55" spans="2:31">
      <c r="B55" s="77" t="s">
        <v>163</v>
      </c>
      <c r="C55" s="94">
        <v>3.67</v>
      </c>
      <c r="D55" s="94">
        <v>3.67</v>
      </c>
      <c r="E55" s="95">
        <v>3.67</v>
      </c>
      <c r="F55" s="95">
        <v>3.67</v>
      </c>
      <c r="G55" s="95">
        <v>3.67</v>
      </c>
      <c r="H55" s="95">
        <v>3.67</v>
      </c>
      <c r="I55" s="95">
        <v>3.67</v>
      </c>
      <c r="J55" s="95">
        <v>3.67</v>
      </c>
      <c r="K55" s="95">
        <v>3.67</v>
      </c>
      <c r="L55" s="95">
        <v>3.67</v>
      </c>
      <c r="M55" s="95">
        <v>3.67</v>
      </c>
      <c r="N55" s="95">
        <v>3.67</v>
      </c>
      <c r="O55" s="95">
        <v>3.67</v>
      </c>
      <c r="P55" s="95">
        <v>3.67</v>
      </c>
      <c r="Q55" s="95">
        <v>3.67</v>
      </c>
      <c r="R55" s="95">
        <v>3.67</v>
      </c>
      <c r="S55" s="95">
        <v>3.67</v>
      </c>
      <c r="T55" s="95">
        <v>3.67</v>
      </c>
      <c r="U55" s="95">
        <v>3.67</v>
      </c>
      <c r="V55" s="95">
        <v>3.67</v>
      </c>
      <c r="W55" s="95">
        <v>3.67</v>
      </c>
      <c r="X55" s="95">
        <v>3.67</v>
      </c>
      <c r="Y55" s="95">
        <v>3.67</v>
      </c>
      <c r="Z55" s="95">
        <v>3.67</v>
      </c>
      <c r="AA55" s="95">
        <v>3.67</v>
      </c>
      <c r="AB55" s="95">
        <v>3.67</v>
      </c>
      <c r="AC55" s="95">
        <v>3.67</v>
      </c>
      <c r="AD55" s="95">
        <v>3.67</v>
      </c>
      <c r="AE55" s="95">
        <v>3.67</v>
      </c>
    </row>
    <row r="56" spans="2:31">
      <c r="B56" s="77" t="s">
        <v>192</v>
      </c>
      <c r="C56" s="94">
        <v>1.2372839506172839</v>
      </c>
      <c r="D56" s="94">
        <v>1.2450000000000001</v>
      </c>
      <c r="E56" s="95">
        <v>1.2729113924050632</v>
      </c>
      <c r="F56" s="95">
        <v>1.2810256410256411</v>
      </c>
      <c r="G56" s="95">
        <v>1.2993506493506493</v>
      </c>
      <c r="H56" s="95">
        <v>1.3228947368421053</v>
      </c>
      <c r="I56" s="95">
        <v>1.3378947368421055</v>
      </c>
      <c r="J56" s="95">
        <v>1.3616666666666666</v>
      </c>
      <c r="K56" s="95">
        <v>1.3666666666666667</v>
      </c>
      <c r="L56" s="95">
        <v>1.3756756756756756</v>
      </c>
      <c r="M56" s="95">
        <v>1.3756756756756756</v>
      </c>
      <c r="N56" s="95">
        <v>1.3756756756756756</v>
      </c>
      <c r="O56" s="95">
        <v>1.3756756756756756</v>
      </c>
      <c r="P56" s="95">
        <v>1.3756756756756756</v>
      </c>
      <c r="Q56" s="95">
        <v>1.3756756756756756</v>
      </c>
      <c r="R56" s="95">
        <v>1.3849315068493149</v>
      </c>
      <c r="S56" s="95">
        <v>1.3849315068493149</v>
      </c>
      <c r="T56" s="95">
        <v>1.3849315068493149</v>
      </c>
      <c r="U56" s="95">
        <v>1.3849315068493149</v>
      </c>
      <c r="V56" s="95">
        <v>1.3849315068493149</v>
      </c>
      <c r="W56" s="95">
        <v>1.3849315068493149</v>
      </c>
      <c r="X56" s="95">
        <v>1.3944444444444444</v>
      </c>
      <c r="Y56" s="95">
        <v>1.3944444444444444</v>
      </c>
      <c r="Z56" s="95">
        <v>1.3944444444444444</v>
      </c>
      <c r="AA56" s="95">
        <v>1.3944444444444444</v>
      </c>
      <c r="AB56" s="95">
        <v>1.3944444444444444</v>
      </c>
      <c r="AC56" s="95">
        <v>1.3944444444444444</v>
      </c>
      <c r="AD56" s="95">
        <v>1.3944444444444444</v>
      </c>
      <c r="AE56" s="95">
        <v>1.3944444444444444</v>
      </c>
    </row>
    <row r="57" spans="2:31">
      <c r="B57" s="77" t="s">
        <v>165</v>
      </c>
      <c r="C57" s="94">
        <v>1</v>
      </c>
      <c r="D57" s="94">
        <v>1</v>
      </c>
      <c r="E57" s="95">
        <v>1</v>
      </c>
      <c r="F57" s="95">
        <v>1</v>
      </c>
      <c r="G57" s="95">
        <v>1</v>
      </c>
      <c r="H57" s="95">
        <v>1</v>
      </c>
      <c r="I57" s="95">
        <v>1</v>
      </c>
      <c r="J57" s="95">
        <v>1</v>
      </c>
      <c r="K57" s="95">
        <v>1</v>
      </c>
      <c r="L57" s="95">
        <v>1</v>
      </c>
      <c r="M57" s="95">
        <v>1</v>
      </c>
      <c r="N57" s="95">
        <v>1</v>
      </c>
      <c r="O57" s="95">
        <v>1</v>
      </c>
      <c r="P57" s="95">
        <v>1</v>
      </c>
      <c r="Q57" s="95">
        <v>1</v>
      </c>
      <c r="R57" s="95">
        <v>1</v>
      </c>
      <c r="S57" s="95">
        <v>1</v>
      </c>
      <c r="T57" s="95">
        <v>1</v>
      </c>
      <c r="U57" s="95">
        <v>1</v>
      </c>
      <c r="V57" s="95">
        <v>1</v>
      </c>
      <c r="W57" s="95">
        <v>1</v>
      </c>
      <c r="X57" s="95">
        <v>1</v>
      </c>
      <c r="Y57" s="95">
        <v>1</v>
      </c>
      <c r="Z57" s="95">
        <v>1</v>
      </c>
      <c r="AA57" s="95">
        <v>1</v>
      </c>
      <c r="AB57" s="95">
        <v>1</v>
      </c>
      <c r="AC57" s="95">
        <v>1</v>
      </c>
      <c r="AD57" s="95">
        <v>1</v>
      </c>
      <c r="AE57" s="95">
        <v>1</v>
      </c>
    </row>
    <row r="58" spans="2:31">
      <c r="B58" s="77" t="s">
        <v>166</v>
      </c>
      <c r="C58" s="94">
        <v>6.69</v>
      </c>
      <c r="D58" s="94">
        <v>28.67</v>
      </c>
      <c r="E58" s="87">
        <v>50.7</v>
      </c>
      <c r="F58" s="87">
        <v>76</v>
      </c>
      <c r="G58" s="87">
        <v>85.31</v>
      </c>
      <c r="H58" s="87">
        <v>96.34</v>
      </c>
      <c r="I58" s="87">
        <v>110.39</v>
      </c>
      <c r="J58" s="87">
        <v>121.03</v>
      </c>
      <c r="K58" s="87">
        <v>132.16999999999999</v>
      </c>
      <c r="L58" s="87">
        <v>143.56</v>
      </c>
      <c r="M58" s="87">
        <v>154.34</v>
      </c>
      <c r="N58" s="87">
        <v>164.23</v>
      </c>
      <c r="O58" s="87">
        <v>172.35</v>
      </c>
      <c r="P58" s="87">
        <v>179.25</v>
      </c>
      <c r="Q58" s="87">
        <v>185.56</v>
      </c>
      <c r="R58" s="87">
        <v>191.92</v>
      </c>
      <c r="S58" s="87">
        <v>198.11</v>
      </c>
      <c r="T58" s="87">
        <v>204.21</v>
      </c>
      <c r="U58" s="87">
        <v>210.52</v>
      </c>
      <c r="V58" s="87">
        <v>217.02</v>
      </c>
      <c r="W58" s="87">
        <v>223.68</v>
      </c>
      <c r="X58" s="87">
        <v>229.52</v>
      </c>
      <c r="Y58" s="87">
        <v>234.9</v>
      </c>
      <c r="Z58" s="87">
        <v>240.35</v>
      </c>
      <c r="AA58" s="87">
        <v>245.9</v>
      </c>
      <c r="AB58" s="87">
        <v>251.58</v>
      </c>
      <c r="AC58" s="87">
        <v>257.39999999999998</v>
      </c>
      <c r="AD58" s="87">
        <v>263.35000000000002</v>
      </c>
      <c r="AE58" s="87">
        <v>269.44</v>
      </c>
    </row>
    <row r="59" spans="2:31">
      <c r="B59" s="77" t="s">
        <v>45</v>
      </c>
      <c r="C59" s="94">
        <v>23.33512</v>
      </c>
      <c r="D59" s="100">
        <v>23805.42</v>
      </c>
      <c r="E59" s="99">
        <v>24233.45</v>
      </c>
      <c r="F59" s="99">
        <v>24224.01</v>
      </c>
      <c r="G59" s="99">
        <v>24332.36</v>
      </c>
      <c r="H59" s="99">
        <v>24550.31</v>
      </c>
      <c r="I59" s="99">
        <v>24802.18</v>
      </c>
      <c r="J59" s="99">
        <v>25021.48</v>
      </c>
      <c r="K59" s="99">
        <v>25258.28</v>
      </c>
      <c r="L59" s="99">
        <v>25498.65</v>
      </c>
      <c r="M59" s="99">
        <v>25751.93</v>
      </c>
      <c r="N59" s="99">
        <v>25998.19</v>
      </c>
      <c r="O59" s="99">
        <v>26237.41</v>
      </c>
      <c r="P59" s="99">
        <v>26486.35</v>
      </c>
      <c r="Q59" s="99">
        <v>26734.38</v>
      </c>
      <c r="R59" s="99">
        <v>26985.06</v>
      </c>
      <c r="S59" s="99">
        <v>27225.45</v>
      </c>
      <c r="T59" s="99">
        <v>27459.13</v>
      </c>
      <c r="U59" s="99">
        <v>27697.88</v>
      </c>
      <c r="V59" s="99">
        <v>27938.34</v>
      </c>
      <c r="W59" s="99">
        <v>28179.279999999999</v>
      </c>
      <c r="X59" s="99">
        <v>28419.47</v>
      </c>
      <c r="Y59" s="99">
        <v>28663.18</v>
      </c>
      <c r="Z59" s="99">
        <v>28910.99</v>
      </c>
      <c r="AA59" s="99">
        <v>29158.89</v>
      </c>
      <c r="AB59" s="99">
        <v>29403.66</v>
      </c>
      <c r="AC59" s="99">
        <v>29645.360000000001</v>
      </c>
      <c r="AD59" s="99">
        <v>29889.25</v>
      </c>
      <c r="AE59" s="99">
        <v>30132.97</v>
      </c>
    </row>
    <row r="60" spans="2:31">
      <c r="B60" s="77" t="s">
        <v>167</v>
      </c>
      <c r="C60" s="94">
        <v>36.42</v>
      </c>
      <c r="D60" s="94">
        <v>36.130000000000003</v>
      </c>
      <c r="E60" s="95">
        <v>38.340000000000003</v>
      </c>
      <c r="F60" s="95">
        <v>39.99</v>
      </c>
      <c r="G60" s="95">
        <v>41.09</v>
      </c>
      <c r="H60" s="95">
        <v>42.19</v>
      </c>
      <c r="I60" s="95">
        <v>43.46</v>
      </c>
      <c r="J60" s="95">
        <v>44.61</v>
      </c>
      <c r="K60" s="95">
        <v>45.67</v>
      </c>
      <c r="L60" s="95">
        <v>46.64</v>
      </c>
      <c r="M60" s="95">
        <v>47.55</v>
      </c>
      <c r="N60" s="95">
        <v>48.43</v>
      </c>
      <c r="O60" s="95">
        <v>49.28</v>
      </c>
      <c r="P60" s="95">
        <v>50.12</v>
      </c>
      <c r="Q60" s="95">
        <v>50.97</v>
      </c>
      <c r="R60" s="95">
        <v>51.8</v>
      </c>
      <c r="S60" s="95">
        <v>52.63</v>
      </c>
      <c r="T60" s="95">
        <v>53.47</v>
      </c>
      <c r="U60" s="95">
        <v>54.3</v>
      </c>
      <c r="V60" s="95">
        <v>55.11</v>
      </c>
      <c r="W60" s="95">
        <v>55.94</v>
      </c>
      <c r="X60" s="95">
        <v>56.77</v>
      </c>
      <c r="Y60" s="95">
        <v>57.59</v>
      </c>
      <c r="Z60" s="95">
        <v>58.41</v>
      </c>
      <c r="AA60" s="95">
        <v>59.24</v>
      </c>
      <c r="AB60" s="95">
        <v>60.07</v>
      </c>
      <c r="AC60" s="95">
        <v>60.9</v>
      </c>
      <c r="AD60" s="95">
        <v>61.73</v>
      </c>
      <c r="AE60" s="95">
        <v>62.56</v>
      </c>
    </row>
    <row r="61" spans="2:31">
      <c r="B61" s="77" t="s">
        <v>169</v>
      </c>
      <c r="C61" s="94">
        <v>113.18</v>
      </c>
      <c r="D61" s="94">
        <v>101.38</v>
      </c>
      <c r="E61" s="95">
        <v>102.48</v>
      </c>
      <c r="F61" s="95">
        <v>103.38</v>
      </c>
      <c r="G61" s="95">
        <v>104.08</v>
      </c>
      <c r="H61" s="95">
        <v>106.37</v>
      </c>
      <c r="I61" s="95">
        <v>107.3</v>
      </c>
      <c r="J61" s="95">
        <v>108.24</v>
      </c>
      <c r="K61" s="95">
        <v>109.07</v>
      </c>
      <c r="L61" s="95">
        <v>109.91</v>
      </c>
      <c r="M61" s="95">
        <v>110.77</v>
      </c>
      <c r="N61" s="95">
        <v>111.65</v>
      </c>
      <c r="O61" s="95">
        <v>112.55</v>
      </c>
      <c r="P61" s="95">
        <v>113.46</v>
      </c>
      <c r="Q61" s="95">
        <v>114.38</v>
      </c>
      <c r="R61" s="95">
        <v>115.31</v>
      </c>
      <c r="S61" s="95">
        <v>116.24</v>
      </c>
      <c r="T61" s="95">
        <v>117.19</v>
      </c>
      <c r="U61" s="95">
        <v>117.84</v>
      </c>
      <c r="V61" s="95">
        <v>118.49</v>
      </c>
      <c r="W61" s="95">
        <v>119.15</v>
      </c>
      <c r="X61" s="95">
        <v>119.81</v>
      </c>
      <c r="Y61" s="95">
        <v>120.49</v>
      </c>
      <c r="Z61" s="95">
        <v>121.16</v>
      </c>
      <c r="AA61" s="95">
        <v>121.85</v>
      </c>
      <c r="AB61" s="95">
        <v>122.54</v>
      </c>
      <c r="AC61" s="95">
        <v>123.24</v>
      </c>
      <c r="AD61" s="95">
        <v>123.95</v>
      </c>
      <c r="AE61" s="95">
        <v>124.67</v>
      </c>
    </row>
    <row r="62" spans="2:31">
      <c r="B62" s="77" t="s">
        <v>170</v>
      </c>
      <c r="C62" s="94">
        <v>7.83</v>
      </c>
      <c r="D62" s="94">
        <v>7.83</v>
      </c>
      <c r="E62" s="95">
        <v>7.8</v>
      </c>
      <c r="F62" s="95">
        <v>7.79</v>
      </c>
      <c r="G62" s="95">
        <v>7.78</v>
      </c>
      <c r="H62" s="95">
        <v>7.78</v>
      </c>
      <c r="I62" s="95">
        <v>7.78</v>
      </c>
      <c r="J62" s="95">
        <v>7.78</v>
      </c>
      <c r="K62" s="95">
        <v>7.78</v>
      </c>
      <c r="L62" s="95">
        <v>7.78</v>
      </c>
      <c r="M62" s="95">
        <v>7.78</v>
      </c>
      <c r="N62" s="95">
        <v>7.78</v>
      </c>
      <c r="O62" s="95">
        <v>7.78</v>
      </c>
      <c r="P62" s="95">
        <v>7.78</v>
      </c>
      <c r="Q62" s="95">
        <v>7.78</v>
      </c>
      <c r="R62" s="95">
        <v>7.78</v>
      </c>
      <c r="S62" s="95">
        <v>7.78</v>
      </c>
      <c r="T62" s="95">
        <v>7.78</v>
      </c>
      <c r="U62" s="95">
        <v>7.78</v>
      </c>
      <c r="V62" s="95">
        <v>7.78</v>
      </c>
      <c r="W62" s="95">
        <v>7.78</v>
      </c>
      <c r="X62" s="95">
        <v>7.78</v>
      </c>
      <c r="Y62" s="95">
        <v>7.78</v>
      </c>
      <c r="Z62" s="95">
        <v>7.78</v>
      </c>
      <c r="AA62" s="95">
        <v>7.78</v>
      </c>
      <c r="AB62" s="95">
        <v>7.78</v>
      </c>
      <c r="AC62" s="95">
        <v>7.78</v>
      </c>
      <c r="AD62" s="95">
        <v>7.78</v>
      </c>
      <c r="AE62" s="95">
        <v>7.78</v>
      </c>
    </row>
    <row r="63" spans="2:31">
      <c r="B63" s="77" t="s">
        <v>171</v>
      </c>
      <c r="C63" s="86">
        <v>873.25</v>
      </c>
      <c r="D63" s="86">
        <v>839.9</v>
      </c>
      <c r="E63" s="87">
        <v>933.33</v>
      </c>
      <c r="F63" s="87">
        <v>886.79</v>
      </c>
      <c r="G63" s="87">
        <v>844.53</v>
      </c>
      <c r="H63" s="87">
        <v>823.01</v>
      </c>
      <c r="I63" s="87">
        <v>812.28</v>
      </c>
      <c r="J63" s="87">
        <v>810.28</v>
      </c>
      <c r="K63" s="87">
        <v>815.47</v>
      </c>
      <c r="L63" s="87">
        <v>823.37</v>
      </c>
      <c r="M63" s="87">
        <v>830.47</v>
      </c>
      <c r="N63" s="87">
        <v>836.6</v>
      </c>
      <c r="O63" s="87">
        <v>842.44</v>
      </c>
      <c r="P63" s="87">
        <v>848.73</v>
      </c>
      <c r="Q63" s="87">
        <v>855.72</v>
      </c>
      <c r="R63" s="87">
        <v>863.28</v>
      </c>
      <c r="S63" s="87">
        <v>871.06</v>
      </c>
      <c r="T63" s="87">
        <v>878.84</v>
      </c>
      <c r="U63" s="87">
        <v>886.56</v>
      </c>
      <c r="V63" s="87">
        <v>894.23</v>
      </c>
      <c r="W63" s="87">
        <v>901.88</v>
      </c>
      <c r="X63" s="87">
        <v>909.55</v>
      </c>
      <c r="Y63" s="87">
        <v>917.24</v>
      </c>
      <c r="Z63" s="87">
        <v>924.97</v>
      </c>
      <c r="AA63" s="87">
        <v>932.75</v>
      </c>
      <c r="AB63" s="87">
        <v>940.55</v>
      </c>
      <c r="AC63" s="87">
        <v>948.31</v>
      </c>
      <c r="AD63" s="87">
        <v>956.1</v>
      </c>
      <c r="AE63" s="87">
        <v>963.96</v>
      </c>
    </row>
    <row r="64" spans="2:31">
      <c r="B64" s="77" t="s">
        <v>172</v>
      </c>
      <c r="C64" s="94">
        <v>3.83</v>
      </c>
      <c r="D64" s="94">
        <v>3.74</v>
      </c>
      <c r="E64" s="95">
        <v>3.81</v>
      </c>
      <c r="F64" s="95">
        <v>3.81</v>
      </c>
      <c r="G64" s="95">
        <v>3.81</v>
      </c>
      <c r="H64" s="95">
        <v>3.81</v>
      </c>
      <c r="I64" s="95">
        <v>3.82</v>
      </c>
      <c r="J64" s="95">
        <v>3.83</v>
      </c>
      <c r="K64" s="95">
        <v>3.83</v>
      </c>
      <c r="L64" s="95">
        <v>3.84</v>
      </c>
      <c r="M64" s="95">
        <v>3.84</v>
      </c>
      <c r="N64" s="95">
        <v>3.85</v>
      </c>
      <c r="O64" s="95">
        <v>3.85</v>
      </c>
      <c r="P64" s="95">
        <v>3.86</v>
      </c>
      <c r="Q64" s="95">
        <v>3.87</v>
      </c>
      <c r="R64" s="95">
        <v>3.87</v>
      </c>
      <c r="S64" s="95">
        <v>3.88</v>
      </c>
      <c r="T64" s="95">
        <v>3.89</v>
      </c>
      <c r="U64" s="95">
        <v>3.9</v>
      </c>
      <c r="V64" s="95">
        <v>3.91</v>
      </c>
      <c r="W64" s="95">
        <v>3.92</v>
      </c>
      <c r="X64" s="95">
        <v>3.93</v>
      </c>
      <c r="Y64" s="95">
        <v>3.94</v>
      </c>
      <c r="Z64" s="95">
        <v>3.95</v>
      </c>
      <c r="AA64" s="95">
        <v>3.96</v>
      </c>
      <c r="AB64" s="95">
        <v>3.97</v>
      </c>
      <c r="AC64" s="95">
        <v>3.98</v>
      </c>
      <c r="AD64" s="95">
        <v>3.99</v>
      </c>
      <c r="AE64" s="95">
        <v>4</v>
      </c>
    </row>
    <row r="65" spans="2:31">
      <c r="B65" s="77" t="s">
        <v>173</v>
      </c>
      <c r="C65" s="94">
        <v>8.66</v>
      </c>
      <c r="D65" s="94">
        <v>11.34</v>
      </c>
      <c r="E65" s="95">
        <v>12.52</v>
      </c>
      <c r="F65" s="95">
        <v>13.15</v>
      </c>
      <c r="G65" s="95">
        <v>14.15</v>
      </c>
      <c r="H65" s="95">
        <v>15.35</v>
      </c>
      <c r="I65" s="95">
        <v>16.64</v>
      </c>
      <c r="J65" s="95">
        <v>18.059999999999999</v>
      </c>
      <c r="K65" s="95">
        <v>19.57</v>
      </c>
      <c r="L65" s="95">
        <v>20.75</v>
      </c>
      <c r="M65" s="95">
        <v>21.97</v>
      </c>
      <c r="N65" s="95">
        <v>23.27</v>
      </c>
      <c r="O65" s="95">
        <v>24.63</v>
      </c>
      <c r="P65" s="95">
        <v>26.08</v>
      </c>
      <c r="Q65" s="95">
        <v>27.62</v>
      </c>
      <c r="R65" s="95">
        <v>29.25</v>
      </c>
      <c r="S65" s="95">
        <v>30.98</v>
      </c>
      <c r="T65" s="95">
        <v>32.799999999999997</v>
      </c>
      <c r="U65" s="95">
        <v>34.729999999999997</v>
      </c>
      <c r="V65" s="95">
        <v>36.75</v>
      </c>
      <c r="W65" s="95">
        <v>38.89</v>
      </c>
      <c r="X65" s="95">
        <v>41.16</v>
      </c>
      <c r="Y65" s="95">
        <v>43.54</v>
      </c>
      <c r="Z65" s="95">
        <v>46.07</v>
      </c>
      <c r="AA65" s="95">
        <v>48.73</v>
      </c>
      <c r="AB65" s="95">
        <v>51.55</v>
      </c>
      <c r="AC65" s="95">
        <v>54.51</v>
      </c>
      <c r="AD65" s="95">
        <v>57.65</v>
      </c>
      <c r="AE65" s="95">
        <v>60.95</v>
      </c>
    </row>
    <row r="66" spans="2:31">
      <c r="B66" s="77" t="s">
        <v>168</v>
      </c>
      <c r="C66" s="86">
        <v>623.77</v>
      </c>
      <c r="D66" s="94">
        <v>606.61</v>
      </c>
      <c r="E66" s="95">
        <v>597.73</v>
      </c>
      <c r="F66" s="95">
        <v>586.29</v>
      </c>
      <c r="G66" s="95">
        <v>572.83000000000004</v>
      </c>
      <c r="H66" s="95">
        <v>562.53</v>
      </c>
      <c r="I66" s="95">
        <v>554.91999999999996</v>
      </c>
      <c r="J66" s="95">
        <v>548.02</v>
      </c>
      <c r="K66" s="95">
        <v>543.39</v>
      </c>
      <c r="L66" s="95">
        <v>541.36</v>
      </c>
      <c r="M66" s="95">
        <v>540.71</v>
      </c>
      <c r="N66" s="95">
        <v>540.47</v>
      </c>
      <c r="O66" s="95">
        <v>540.33000000000004</v>
      </c>
      <c r="P66" s="95">
        <v>540.24</v>
      </c>
      <c r="Q66" s="95">
        <v>540.16999999999996</v>
      </c>
      <c r="R66" s="95">
        <v>540.11</v>
      </c>
      <c r="S66" s="95">
        <v>540.04</v>
      </c>
      <c r="T66" s="95">
        <v>539.97</v>
      </c>
      <c r="U66" s="95">
        <v>539.92999999999995</v>
      </c>
      <c r="V66" s="95">
        <v>539.89</v>
      </c>
      <c r="W66" s="95">
        <v>539.86</v>
      </c>
      <c r="X66" s="95">
        <v>539.83000000000004</v>
      </c>
      <c r="Y66" s="95">
        <v>539.79</v>
      </c>
      <c r="Z66" s="95">
        <v>539.76</v>
      </c>
      <c r="AA66" s="95">
        <v>539.73</v>
      </c>
      <c r="AB66" s="95">
        <v>539.69000000000005</v>
      </c>
      <c r="AC66" s="95">
        <v>539.66</v>
      </c>
      <c r="AD66" s="95">
        <v>539.63</v>
      </c>
      <c r="AE66" s="95">
        <v>539.59</v>
      </c>
    </row>
    <row r="67" spans="2:31">
      <c r="B67" s="77" t="s">
        <v>608</v>
      </c>
      <c r="D67" s="76">
        <v>137.09</v>
      </c>
      <c r="E67" s="95">
        <v>133.09</v>
      </c>
      <c r="F67" s="95">
        <v>131.47</v>
      </c>
      <c r="G67" s="95">
        <v>129.54</v>
      </c>
      <c r="H67" s="95">
        <v>127.73</v>
      </c>
      <c r="I67" s="95">
        <v>125.93</v>
      </c>
      <c r="J67" s="95">
        <v>124</v>
      </c>
      <c r="K67" s="95">
        <v>122.55</v>
      </c>
      <c r="L67" s="95">
        <v>122.48</v>
      </c>
      <c r="M67" s="95">
        <v>122.42</v>
      </c>
      <c r="N67" s="95">
        <v>122.35</v>
      </c>
      <c r="O67" s="95">
        <v>122.29</v>
      </c>
      <c r="P67" s="95">
        <v>122.23</v>
      </c>
      <c r="Q67" s="95">
        <v>122.16</v>
      </c>
      <c r="R67" s="95">
        <v>122.1</v>
      </c>
      <c r="S67" s="95">
        <v>122.04</v>
      </c>
      <c r="T67" s="95">
        <v>121.97</v>
      </c>
      <c r="U67" s="95">
        <v>121.91</v>
      </c>
      <c r="V67" s="95">
        <v>121.85</v>
      </c>
      <c r="W67" s="95">
        <v>121.78</v>
      </c>
      <c r="X67" s="95">
        <v>121.72</v>
      </c>
      <c r="Y67" s="95">
        <v>121.66</v>
      </c>
      <c r="Z67" s="95">
        <v>121.59</v>
      </c>
      <c r="AA67" s="95">
        <v>121.53</v>
      </c>
      <c r="AB67" s="95">
        <v>121.47</v>
      </c>
      <c r="AC67" s="95">
        <v>121.4</v>
      </c>
      <c r="AD67" s="95">
        <v>121.34</v>
      </c>
      <c r="AE67" s="95">
        <v>121.28</v>
      </c>
    </row>
    <row r="69" spans="2:31">
      <c r="B69" s="91" t="s">
        <v>193</v>
      </c>
    </row>
    <row r="70" spans="2:31">
      <c r="B70" s="9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27D28-8612-4373-AC0B-94BE01C4EB77}">
  <dimension ref="C1:F75"/>
  <sheetViews>
    <sheetView workbookViewId="0">
      <selection activeCell="H10" sqref="H10"/>
    </sheetView>
  </sheetViews>
  <sheetFormatPr defaultRowHeight="12.75"/>
  <cols>
    <col min="1" max="2" width="9.140625" style="231"/>
    <col min="3" max="5" width="24.140625" style="231" customWidth="1"/>
    <col min="6" max="6" width="15.85546875" style="231" customWidth="1"/>
    <col min="7" max="16384" width="9.140625" style="231"/>
  </cols>
  <sheetData>
    <row r="1" spans="3:6">
      <c r="C1" s="5" t="s">
        <v>195</v>
      </c>
      <c r="D1" s="5" t="s">
        <v>196</v>
      </c>
      <c r="E1" s="5" t="s">
        <v>268</v>
      </c>
      <c r="F1" s="5" t="s">
        <v>590</v>
      </c>
    </row>
    <row r="2" spans="3:6" ht="14.25">
      <c r="C2" s="85" t="s">
        <v>169</v>
      </c>
      <c r="D2" s="231" t="s">
        <v>169</v>
      </c>
      <c r="E2" s="231" t="s">
        <v>484</v>
      </c>
      <c r="F2" s="231" t="s">
        <v>485</v>
      </c>
    </row>
    <row r="3" spans="3:6" ht="14.25">
      <c r="C3" s="85" t="s">
        <v>116</v>
      </c>
      <c r="D3" s="231" t="s">
        <v>116</v>
      </c>
      <c r="E3" s="231" t="s">
        <v>486</v>
      </c>
      <c r="F3" s="231" t="s">
        <v>487</v>
      </c>
    </row>
    <row r="4" spans="3:6" ht="14.25">
      <c r="C4" s="85" t="s">
        <v>117</v>
      </c>
      <c r="D4" s="231" t="s">
        <v>117</v>
      </c>
      <c r="E4" s="231" t="s">
        <v>489</v>
      </c>
      <c r="F4" s="231" t="s">
        <v>490</v>
      </c>
    </row>
    <row r="5" spans="3:6" ht="14.25">
      <c r="C5" s="85" t="s">
        <v>118</v>
      </c>
      <c r="D5" s="231" t="s">
        <v>118</v>
      </c>
      <c r="E5" s="231" t="s">
        <v>491</v>
      </c>
      <c r="F5" s="231" t="s">
        <v>492</v>
      </c>
    </row>
    <row r="6" spans="3:6" ht="14.25">
      <c r="C6" s="85" t="s">
        <v>119</v>
      </c>
      <c r="D6" s="231" t="s">
        <v>119</v>
      </c>
      <c r="E6" s="231" t="s">
        <v>493</v>
      </c>
      <c r="F6" s="231" t="s">
        <v>494</v>
      </c>
    </row>
    <row r="7" spans="3:6" ht="14.25">
      <c r="C7" s="85" t="s">
        <v>174</v>
      </c>
      <c r="D7" s="85" t="s">
        <v>129</v>
      </c>
      <c r="E7" s="231" t="s">
        <v>488</v>
      </c>
      <c r="F7" s="231" t="s">
        <v>477</v>
      </c>
    </row>
    <row r="8" spans="3:6" ht="14.25">
      <c r="C8" s="85" t="s">
        <v>120</v>
      </c>
      <c r="D8" s="231" t="s">
        <v>120</v>
      </c>
      <c r="E8" s="231" t="s">
        <v>495</v>
      </c>
      <c r="F8" s="231" t="s">
        <v>496</v>
      </c>
    </row>
    <row r="9" spans="3:6" ht="14.25">
      <c r="C9" s="85" t="s">
        <v>121</v>
      </c>
      <c r="D9" s="231" t="s">
        <v>121</v>
      </c>
      <c r="E9" s="231" t="s">
        <v>497</v>
      </c>
      <c r="F9" s="231" t="s">
        <v>498</v>
      </c>
    </row>
    <row r="10" spans="3:6" ht="14.25">
      <c r="C10" s="85" t="s">
        <v>175</v>
      </c>
      <c r="D10" s="85" t="s">
        <v>129</v>
      </c>
      <c r="E10" s="231" t="s">
        <v>488</v>
      </c>
      <c r="F10" s="231" t="s">
        <v>477</v>
      </c>
    </row>
    <row r="11" spans="3:6" ht="14.25">
      <c r="C11" s="85" t="s">
        <v>122</v>
      </c>
      <c r="D11" s="231" t="s">
        <v>122</v>
      </c>
      <c r="E11" s="231" t="s">
        <v>501</v>
      </c>
      <c r="F11" s="231" t="s">
        <v>502</v>
      </c>
    </row>
    <row r="12" spans="3:6" ht="14.25">
      <c r="C12" s="85" t="s">
        <v>123</v>
      </c>
      <c r="D12" s="231" t="s">
        <v>123</v>
      </c>
      <c r="E12" s="231" t="s">
        <v>503</v>
      </c>
      <c r="F12" s="231" t="s">
        <v>504</v>
      </c>
    </row>
    <row r="13" spans="3:6" ht="14.25">
      <c r="C13" s="85" t="s">
        <v>171</v>
      </c>
      <c r="D13" s="231" t="s">
        <v>171</v>
      </c>
      <c r="E13" s="231" t="s">
        <v>505</v>
      </c>
      <c r="F13" s="231" t="s">
        <v>506</v>
      </c>
    </row>
    <row r="14" spans="3:6" ht="14.25">
      <c r="C14" s="85" t="s">
        <v>124</v>
      </c>
      <c r="D14" s="231" t="s">
        <v>124</v>
      </c>
      <c r="E14" s="231" t="s">
        <v>507</v>
      </c>
      <c r="F14" s="231" t="s">
        <v>508</v>
      </c>
    </row>
    <row r="15" spans="3:6" ht="14.25">
      <c r="C15" s="85" t="s">
        <v>125</v>
      </c>
      <c r="D15" s="231" t="s">
        <v>125</v>
      </c>
      <c r="E15" s="231" t="s">
        <v>509</v>
      </c>
      <c r="F15" s="231" t="s">
        <v>510</v>
      </c>
    </row>
    <row r="16" spans="3:6" ht="14.25">
      <c r="C16" s="85" t="s">
        <v>176</v>
      </c>
      <c r="D16" s="85" t="s">
        <v>129</v>
      </c>
      <c r="E16" s="231" t="s">
        <v>488</v>
      </c>
      <c r="F16" s="231" t="s">
        <v>477</v>
      </c>
    </row>
    <row r="17" spans="3:6" ht="14.25">
      <c r="C17" s="85" t="s">
        <v>126</v>
      </c>
      <c r="D17" s="85" t="s">
        <v>126</v>
      </c>
      <c r="E17" s="231" t="s">
        <v>511</v>
      </c>
      <c r="F17" s="231" t="s">
        <v>512</v>
      </c>
    </row>
    <row r="18" spans="3:6" ht="14.25">
      <c r="C18" s="85" t="s">
        <v>127</v>
      </c>
      <c r="D18" s="85" t="s">
        <v>127</v>
      </c>
      <c r="E18" s="231" t="s">
        <v>513</v>
      </c>
      <c r="F18" s="231" t="s">
        <v>514</v>
      </c>
    </row>
    <row r="19" spans="3:6" ht="14.25">
      <c r="C19" s="85" t="s">
        <v>128</v>
      </c>
      <c r="D19" s="231" t="s">
        <v>128</v>
      </c>
      <c r="E19" s="231" t="s">
        <v>516</v>
      </c>
      <c r="F19" s="231" t="s">
        <v>517</v>
      </c>
    </row>
    <row r="20" spans="3:6" ht="14.25">
      <c r="C20" s="85" t="s">
        <v>129</v>
      </c>
      <c r="D20" s="85" t="s">
        <v>129</v>
      </c>
      <c r="E20" s="231" t="s">
        <v>488</v>
      </c>
      <c r="F20" s="231" t="s">
        <v>477</v>
      </c>
    </row>
    <row r="21" spans="3:6" ht="14.25">
      <c r="C21" s="85" t="s">
        <v>177</v>
      </c>
      <c r="D21" s="85" t="s">
        <v>129</v>
      </c>
      <c r="E21" s="231" t="s">
        <v>488</v>
      </c>
      <c r="F21" s="231" t="s">
        <v>477</v>
      </c>
    </row>
    <row r="22" spans="3:6" ht="14.25">
      <c r="C22" s="85" t="s">
        <v>178</v>
      </c>
      <c r="D22" s="85" t="s">
        <v>129</v>
      </c>
      <c r="E22" s="231" t="s">
        <v>488</v>
      </c>
      <c r="F22" s="231" t="s">
        <v>477</v>
      </c>
    </row>
    <row r="23" spans="3:6" ht="14.25">
      <c r="C23" s="85" t="s">
        <v>130</v>
      </c>
      <c r="D23" s="231" t="s">
        <v>130</v>
      </c>
      <c r="E23" s="231" t="s">
        <v>518</v>
      </c>
      <c r="F23" s="231" t="s">
        <v>519</v>
      </c>
    </row>
    <row r="24" spans="3:6" ht="14.25">
      <c r="C24" s="85" t="s">
        <v>179</v>
      </c>
      <c r="D24" s="85" t="s">
        <v>129</v>
      </c>
      <c r="E24" s="231" t="s">
        <v>488</v>
      </c>
      <c r="F24" s="231" t="s">
        <v>477</v>
      </c>
    </row>
    <row r="25" spans="3:6" ht="14.25">
      <c r="C25" s="85" t="s">
        <v>173</v>
      </c>
      <c r="D25" s="231" t="s">
        <v>173</v>
      </c>
      <c r="E25" s="231" t="s">
        <v>520</v>
      </c>
      <c r="F25" s="231" t="s">
        <v>521</v>
      </c>
    </row>
    <row r="26" spans="3:6" ht="14.25">
      <c r="C26" s="85" t="s">
        <v>180</v>
      </c>
      <c r="D26" s="85" t="s">
        <v>129</v>
      </c>
      <c r="E26" s="231" t="s">
        <v>488</v>
      </c>
      <c r="F26" s="231" t="s">
        <v>477</v>
      </c>
    </row>
    <row r="27" spans="3:6" ht="14.25">
      <c r="C27" s="85" t="s">
        <v>170</v>
      </c>
      <c r="D27" s="231" t="s">
        <v>170</v>
      </c>
      <c r="E27" s="231" t="s">
        <v>592</v>
      </c>
      <c r="F27" s="231" t="s">
        <v>593</v>
      </c>
    </row>
    <row r="28" spans="3:6" ht="14.25">
      <c r="C28" s="85" t="s">
        <v>131</v>
      </c>
      <c r="D28" s="85" t="s">
        <v>131</v>
      </c>
      <c r="E28" s="231" t="s">
        <v>522</v>
      </c>
      <c r="F28" s="231" t="s">
        <v>479</v>
      </c>
    </row>
    <row r="29" spans="3:6" ht="14.25">
      <c r="C29" s="85" t="s">
        <v>132</v>
      </c>
      <c r="D29" s="231" t="s">
        <v>132</v>
      </c>
      <c r="E29" s="231" t="s">
        <v>523</v>
      </c>
      <c r="F29" s="231" t="s">
        <v>524</v>
      </c>
    </row>
    <row r="30" spans="3:6" ht="14.25">
      <c r="C30" s="85" t="s">
        <v>133</v>
      </c>
      <c r="D30" s="231" t="s">
        <v>133</v>
      </c>
      <c r="E30" s="231" t="s">
        <v>525</v>
      </c>
      <c r="F30" s="231" t="s">
        <v>526</v>
      </c>
    </row>
    <row r="31" spans="3:6" ht="14.25">
      <c r="C31" s="85" t="s">
        <v>134</v>
      </c>
      <c r="D31" s="231" t="s">
        <v>134</v>
      </c>
      <c r="E31" s="231" t="s">
        <v>527</v>
      </c>
      <c r="F31" s="231" t="s">
        <v>96</v>
      </c>
    </row>
    <row r="32" spans="3:6" ht="14.25">
      <c r="C32" s="85" t="s">
        <v>135</v>
      </c>
      <c r="D32" s="231" t="s">
        <v>135</v>
      </c>
      <c r="E32" s="231" t="s">
        <v>528</v>
      </c>
      <c r="F32" s="231" t="s">
        <v>529</v>
      </c>
    </row>
    <row r="33" spans="3:6" ht="14.25">
      <c r="C33" s="85" t="s">
        <v>181</v>
      </c>
      <c r="D33" s="85" t="s">
        <v>129</v>
      </c>
      <c r="E33" s="231" t="s">
        <v>488</v>
      </c>
      <c r="F33" s="231" t="s">
        <v>477</v>
      </c>
    </row>
    <row r="34" spans="3:6" ht="14.25">
      <c r="C34" s="85" t="s">
        <v>182</v>
      </c>
      <c r="D34" s="85" t="s">
        <v>129</v>
      </c>
      <c r="E34" s="231" t="s">
        <v>488</v>
      </c>
      <c r="F34" s="231" t="s">
        <v>477</v>
      </c>
    </row>
    <row r="35" spans="3:6" ht="14.25">
      <c r="C35" s="85" t="s">
        <v>136</v>
      </c>
      <c r="D35" s="231" t="s">
        <v>136</v>
      </c>
      <c r="E35" s="231" t="s">
        <v>530</v>
      </c>
      <c r="F35" s="231" t="s">
        <v>531</v>
      </c>
    </row>
    <row r="36" spans="3:6" ht="14.25">
      <c r="C36" s="85" t="s">
        <v>137</v>
      </c>
      <c r="D36" s="231" t="s">
        <v>137</v>
      </c>
      <c r="E36" s="231" t="s">
        <v>532</v>
      </c>
      <c r="F36" s="231" t="s">
        <v>533</v>
      </c>
    </row>
    <row r="37" spans="3:6" ht="14.25">
      <c r="C37" s="85" t="s">
        <v>138</v>
      </c>
      <c r="D37" s="231" t="s">
        <v>138</v>
      </c>
      <c r="E37" s="231" t="s">
        <v>534</v>
      </c>
      <c r="F37" s="231" t="s">
        <v>535</v>
      </c>
    </row>
    <row r="38" spans="3:6" ht="14.25">
      <c r="C38" s="85" t="s">
        <v>139</v>
      </c>
      <c r="D38" s="231" t="s">
        <v>139</v>
      </c>
      <c r="E38" s="231" t="s">
        <v>537</v>
      </c>
      <c r="F38" s="231" t="s">
        <v>538</v>
      </c>
    </row>
    <row r="39" spans="3:6" ht="14.25">
      <c r="C39" s="85" t="s">
        <v>140</v>
      </c>
      <c r="D39" s="231" t="s">
        <v>140</v>
      </c>
      <c r="E39" s="231" t="s">
        <v>539</v>
      </c>
      <c r="F39" s="231" t="s">
        <v>540</v>
      </c>
    </row>
    <row r="40" spans="3:6" ht="14.25">
      <c r="C40" s="85" t="s">
        <v>141</v>
      </c>
      <c r="D40" s="231" t="s">
        <v>141</v>
      </c>
      <c r="E40" s="231" t="s">
        <v>543</v>
      </c>
      <c r="F40" s="231" t="s">
        <v>544</v>
      </c>
    </row>
    <row r="41" spans="3:6" ht="14.25">
      <c r="C41" s="85" t="s">
        <v>183</v>
      </c>
      <c r="D41" s="231" t="s">
        <v>183</v>
      </c>
      <c r="E41" s="231" t="s">
        <v>488</v>
      </c>
      <c r="F41" s="231" t="s">
        <v>477</v>
      </c>
    </row>
    <row r="42" spans="3:6" ht="14.25">
      <c r="C42" s="85" t="s">
        <v>167</v>
      </c>
      <c r="D42" s="231" t="s">
        <v>167</v>
      </c>
      <c r="E42" s="231" t="s">
        <v>545</v>
      </c>
      <c r="F42" s="231" t="s">
        <v>546</v>
      </c>
    </row>
    <row r="43" spans="3:6" ht="14.25">
      <c r="C43" s="85" t="s">
        <v>142</v>
      </c>
      <c r="D43" s="231" t="s">
        <v>142</v>
      </c>
      <c r="E43" s="231" t="s">
        <v>547</v>
      </c>
      <c r="F43" s="231" t="s">
        <v>548</v>
      </c>
    </row>
    <row r="44" spans="3:6" ht="14.25">
      <c r="C44" s="85" t="s">
        <v>143</v>
      </c>
      <c r="D44" s="231" t="s">
        <v>143</v>
      </c>
      <c r="E44" s="231" t="s">
        <v>549</v>
      </c>
      <c r="F44" s="231" t="s">
        <v>550</v>
      </c>
    </row>
    <row r="45" spans="3:6" ht="14.25">
      <c r="C45" s="85" t="s">
        <v>184</v>
      </c>
      <c r="D45" s="231" t="s">
        <v>184</v>
      </c>
      <c r="E45" s="231" t="s">
        <v>488</v>
      </c>
      <c r="F45" s="231" t="s">
        <v>477</v>
      </c>
    </row>
    <row r="46" spans="3:6" ht="14.25">
      <c r="C46" s="85" t="s">
        <v>144</v>
      </c>
      <c r="D46" s="231" t="s">
        <v>144</v>
      </c>
      <c r="E46" s="231" t="s">
        <v>551</v>
      </c>
      <c r="F46" s="231" t="s">
        <v>552</v>
      </c>
    </row>
    <row r="47" spans="3:6" ht="14.25">
      <c r="C47" s="85" t="s">
        <v>145</v>
      </c>
      <c r="D47" s="231" t="s">
        <v>145</v>
      </c>
      <c r="E47" s="231" t="s">
        <v>553</v>
      </c>
      <c r="F47" s="231" t="s">
        <v>554</v>
      </c>
    </row>
    <row r="48" spans="3:6" ht="14.25">
      <c r="C48" s="85" t="s">
        <v>146</v>
      </c>
      <c r="D48" s="231" t="s">
        <v>146</v>
      </c>
      <c r="E48" s="231" t="s">
        <v>555</v>
      </c>
      <c r="F48" s="231" t="s">
        <v>482</v>
      </c>
    </row>
    <row r="49" spans="3:6" ht="14.25">
      <c r="C49" s="85" t="s">
        <v>147</v>
      </c>
      <c r="D49" s="231" t="s">
        <v>147</v>
      </c>
      <c r="E49" s="231" t="s">
        <v>556</v>
      </c>
      <c r="F49" s="231" t="s">
        <v>557</v>
      </c>
    </row>
    <row r="50" spans="3:6" ht="14.25">
      <c r="C50" s="85" t="s">
        <v>172</v>
      </c>
      <c r="D50" s="231" t="s">
        <v>172</v>
      </c>
      <c r="E50" s="231" t="s">
        <v>558</v>
      </c>
      <c r="F50" s="231" t="s">
        <v>559</v>
      </c>
    </row>
    <row r="51" spans="3:6" ht="14.25">
      <c r="C51" s="85" t="s">
        <v>148</v>
      </c>
      <c r="D51" s="231" t="s">
        <v>148</v>
      </c>
      <c r="E51" s="231" t="s">
        <v>560</v>
      </c>
      <c r="F51" s="231" t="s">
        <v>561</v>
      </c>
    </row>
    <row r="52" spans="3:6" ht="14.25">
      <c r="C52" s="85" t="s">
        <v>149</v>
      </c>
      <c r="D52" s="231" t="s">
        <v>149</v>
      </c>
      <c r="E52" s="231" t="s">
        <v>562</v>
      </c>
      <c r="F52" s="231" t="s">
        <v>563</v>
      </c>
    </row>
    <row r="53" spans="3:6" ht="14.25">
      <c r="C53" s="85" t="s">
        <v>185</v>
      </c>
      <c r="D53" s="85" t="s">
        <v>129</v>
      </c>
      <c r="E53" s="231" t="s">
        <v>488</v>
      </c>
      <c r="F53" s="231" t="s">
        <v>477</v>
      </c>
    </row>
    <row r="54" spans="3:6" ht="14.25">
      <c r="C54" s="85" t="s">
        <v>150</v>
      </c>
      <c r="D54" s="231" t="s">
        <v>150</v>
      </c>
      <c r="E54" s="231" t="s">
        <v>564</v>
      </c>
      <c r="F54" s="231" t="s">
        <v>565</v>
      </c>
    </row>
    <row r="55" spans="3:6" ht="14.25">
      <c r="C55" s="85" t="s">
        <v>151</v>
      </c>
      <c r="D55" s="231" t="s">
        <v>151</v>
      </c>
      <c r="E55" s="231" t="s">
        <v>566</v>
      </c>
      <c r="F55" s="231" t="s">
        <v>480</v>
      </c>
    </row>
    <row r="56" spans="3:6" ht="14.25">
      <c r="C56" s="85" t="s">
        <v>152</v>
      </c>
      <c r="D56" s="231" t="s">
        <v>152</v>
      </c>
      <c r="E56" s="231" t="s">
        <v>567</v>
      </c>
      <c r="F56" s="231" t="s">
        <v>568</v>
      </c>
    </row>
    <row r="57" spans="3:6" ht="14.25">
      <c r="C57" s="85" t="s">
        <v>168</v>
      </c>
      <c r="D57" s="231" t="s">
        <v>168</v>
      </c>
      <c r="E57" s="231" t="s">
        <v>499</v>
      </c>
      <c r="F57" s="231" t="s">
        <v>500</v>
      </c>
    </row>
    <row r="58" spans="3:6" ht="14.25">
      <c r="C58" s="85" t="s">
        <v>153</v>
      </c>
      <c r="D58" s="231" t="s">
        <v>153</v>
      </c>
      <c r="E58" s="231" t="s">
        <v>569</v>
      </c>
      <c r="F58" s="231" t="s">
        <v>570</v>
      </c>
    </row>
    <row r="59" spans="3:6" ht="14.25">
      <c r="C59" s="85" t="s">
        <v>186</v>
      </c>
      <c r="D59" s="85" t="s">
        <v>129</v>
      </c>
      <c r="E59" s="231" t="s">
        <v>488</v>
      </c>
      <c r="F59" s="231" t="s">
        <v>477</v>
      </c>
    </row>
    <row r="60" spans="3:6" ht="14.25">
      <c r="C60" s="85" t="s">
        <v>187</v>
      </c>
      <c r="D60" s="85" t="s">
        <v>129</v>
      </c>
      <c r="E60" s="231" t="s">
        <v>488</v>
      </c>
      <c r="F60" s="231" t="s">
        <v>477</v>
      </c>
    </row>
    <row r="61" spans="3:6" ht="14.25">
      <c r="C61" s="85" t="s">
        <v>154</v>
      </c>
      <c r="D61" s="231" t="s">
        <v>154</v>
      </c>
      <c r="E61" s="231" t="s">
        <v>571</v>
      </c>
      <c r="F61" s="231" t="s">
        <v>572</v>
      </c>
    </row>
    <row r="62" spans="3:6" ht="14.25">
      <c r="C62" s="85" t="s">
        <v>155</v>
      </c>
      <c r="D62" s="231" t="s">
        <v>155</v>
      </c>
      <c r="E62" s="231" t="s">
        <v>591</v>
      </c>
      <c r="F62" s="231" t="s">
        <v>536</v>
      </c>
    </row>
    <row r="63" spans="3:6" ht="14.25">
      <c r="C63" s="85" t="s">
        <v>188</v>
      </c>
      <c r="D63" s="85" t="s">
        <v>129</v>
      </c>
      <c r="E63" s="231" t="s">
        <v>488</v>
      </c>
      <c r="F63" s="231" t="s">
        <v>477</v>
      </c>
    </row>
    <row r="64" spans="3:6" ht="14.25">
      <c r="C64" s="85" t="s">
        <v>156</v>
      </c>
      <c r="D64" s="231" t="s">
        <v>156</v>
      </c>
      <c r="E64" s="231" t="s">
        <v>573</v>
      </c>
      <c r="F64" s="231" t="s">
        <v>481</v>
      </c>
    </row>
    <row r="65" spans="3:6" ht="14.25">
      <c r="C65" s="85" t="s">
        <v>157</v>
      </c>
      <c r="D65" s="231" t="s">
        <v>157</v>
      </c>
      <c r="E65" s="231" t="s">
        <v>541</v>
      </c>
      <c r="F65" s="231" t="s">
        <v>542</v>
      </c>
    </row>
    <row r="66" spans="3:6" ht="14.25">
      <c r="C66" s="85" t="s">
        <v>158</v>
      </c>
      <c r="D66" s="231" t="s">
        <v>158</v>
      </c>
      <c r="E66" s="231" t="s">
        <v>574</v>
      </c>
      <c r="F66" s="231" t="s">
        <v>575</v>
      </c>
    </row>
    <row r="67" spans="3:6" ht="14.25">
      <c r="C67" s="85" t="s">
        <v>159</v>
      </c>
      <c r="D67" s="231" t="s">
        <v>159</v>
      </c>
      <c r="E67" s="231" t="s">
        <v>576</v>
      </c>
      <c r="F67" s="231" t="s">
        <v>577</v>
      </c>
    </row>
    <row r="68" spans="3:6" ht="14.25">
      <c r="C68" s="85" t="s">
        <v>160</v>
      </c>
      <c r="D68" s="231" t="s">
        <v>160</v>
      </c>
      <c r="E68" s="231" t="s">
        <v>594</v>
      </c>
      <c r="F68" s="231" t="s">
        <v>578</v>
      </c>
    </row>
    <row r="69" spans="3:6" ht="14.25">
      <c r="C69" s="85" t="s">
        <v>161</v>
      </c>
      <c r="D69" s="231" t="s">
        <v>161</v>
      </c>
      <c r="E69" s="231" t="s">
        <v>579</v>
      </c>
      <c r="F69" s="231" t="s">
        <v>478</v>
      </c>
    </row>
    <row r="70" spans="3:6" ht="14.25">
      <c r="C70" s="85" t="s">
        <v>162</v>
      </c>
      <c r="D70" s="231" t="s">
        <v>162</v>
      </c>
      <c r="E70" s="231" t="s">
        <v>580</v>
      </c>
      <c r="F70" s="231" t="s">
        <v>581</v>
      </c>
    </row>
    <row r="71" spans="3:6" ht="14.25">
      <c r="C71" s="85" t="s">
        <v>163</v>
      </c>
      <c r="D71" s="231" t="s">
        <v>163</v>
      </c>
      <c r="E71" s="231" t="s">
        <v>582</v>
      </c>
      <c r="F71" s="231" t="s">
        <v>583</v>
      </c>
    </row>
    <row r="72" spans="3:6" ht="14.25">
      <c r="C72" s="85" t="s">
        <v>164</v>
      </c>
      <c r="D72" s="231" t="s">
        <v>164</v>
      </c>
      <c r="E72" s="231" t="s">
        <v>584</v>
      </c>
      <c r="F72" s="231" t="s">
        <v>585</v>
      </c>
    </row>
    <row r="73" spans="3:6" ht="14.25">
      <c r="C73" s="85" t="s">
        <v>165</v>
      </c>
      <c r="D73" s="231" t="s">
        <v>165</v>
      </c>
      <c r="E73" s="231" t="s">
        <v>515</v>
      </c>
      <c r="F73" s="231" t="s">
        <v>483</v>
      </c>
    </row>
    <row r="74" spans="3:6" ht="14.25">
      <c r="C74" s="85" t="s">
        <v>166</v>
      </c>
      <c r="D74" s="231" t="s">
        <v>166</v>
      </c>
      <c r="E74" s="231" t="s">
        <v>586</v>
      </c>
      <c r="F74" s="231" t="s">
        <v>587</v>
      </c>
    </row>
    <row r="75" spans="3:6" ht="14.25">
      <c r="C75" s="85" t="s">
        <v>45</v>
      </c>
      <c r="D75" s="231" t="s">
        <v>45</v>
      </c>
      <c r="E75" s="231" t="s">
        <v>588</v>
      </c>
      <c r="F75" s="231" t="s">
        <v>589</v>
      </c>
    </row>
  </sheetData>
  <autoFilter ref="C1:D75" xr:uid="{EE727D28-8612-4373-AC0B-94BE01C4EB77}"/>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5D199-1576-4839-AE20-44E5B10BF5ED}">
  <dimension ref="B2:AF71"/>
  <sheetViews>
    <sheetView zoomScale="90" zoomScaleNormal="90" workbookViewId="0">
      <selection activeCell="AB18" sqref="AB18"/>
    </sheetView>
  </sheetViews>
  <sheetFormatPr defaultColWidth="8.42578125" defaultRowHeight="14.25"/>
  <cols>
    <col min="1" max="1" width="8.42578125" style="77"/>
    <col min="2" max="2" width="33.5703125" style="77" bestFit="1" customWidth="1"/>
    <col min="3" max="31" width="7.85546875" style="76" customWidth="1"/>
    <col min="32" max="32" width="13.85546875" style="77" bestFit="1" customWidth="1"/>
    <col min="33" max="16384" width="8.42578125" style="77"/>
  </cols>
  <sheetData>
    <row r="2" spans="2:32" ht="18">
      <c r="B2" s="75" t="s">
        <v>194</v>
      </c>
    </row>
    <row r="3" spans="2:32">
      <c r="B3" s="78"/>
    </row>
    <row r="4" spans="2:32" ht="15" thickBot="1">
      <c r="B4" s="79"/>
      <c r="C4" s="80"/>
      <c r="D4" s="80"/>
      <c r="E4" s="80"/>
      <c r="F4" s="80"/>
      <c r="G4" s="80"/>
      <c r="H4" s="80"/>
      <c r="I4" s="80"/>
      <c r="J4" s="80"/>
      <c r="K4" s="80"/>
      <c r="L4" s="80"/>
      <c r="M4" s="80"/>
      <c r="N4" s="80"/>
      <c r="O4" s="80"/>
      <c r="P4" s="80"/>
      <c r="Q4" s="80"/>
      <c r="R4" s="80"/>
      <c r="S4" s="80"/>
      <c r="T4" s="80"/>
      <c r="U4" s="80"/>
      <c r="V4" s="80"/>
      <c r="W4" s="80"/>
      <c r="X4" s="80"/>
      <c r="Y4" s="80"/>
      <c r="Z4" s="80"/>
      <c r="AA4" s="80"/>
      <c r="AB4" s="80"/>
      <c r="AC4" s="80"/>
      <c r="AD4" s="80"/>
      <c r="AE4" s="80"/>
    </row>
    <row r="5" spans="2:32">
      <c r="B5" s="81"/>
    </row>
    <row r="6" spans="2:32" ht="15">
      <c r="B6" s="81" t="s">
        <v>115</v>
      </c>
      <c r="C6" s="82">
        <v>2022</v>
      </c>
      <c r="D6" s="83">
        <v>2023</v>
      </c>
      <c r="E6" s="83">
        <v>2024</v>
      </c>
      <c r="F6" s="83">
        <v>2025</v>
      </c>
      <c r="G6" s="83">
        <v>2026</v>
      </c>
      <c r="H6" s="83">
        <v>2027</v>
      </c>
      <c r="I6" s="83">
        <v>2028</v>
      </c>
      <c r="J6" s="83">
        <v>2029</v>
      </c>
      <c r="K6" s="83">
        <v>2030</v>
      </c>
      <c r="L6" s="83">
        <v>2031</v>
      </c>
      <c r="M6" s="83">
        <v>2032</v>
      </c>
      <c r="N6" s="83">
        <v>2033</v>
      </c>
      <c r="O6" s="83">
        <v>2034</v>
      </c>
      <c r="P6" s="83">
        <v>2035</v>
      </c>
      <c r="Q6" s="83">
        <v>2036</v>
      </c>
      <c r="R6" s="83">
        <v>2037</v>
      </c>
      <c r="S6" s="83">
        <v>2038</v>
      </c>
      <c r="T6" s="83">
        <v>2039</v>
      </c>
      <c r="U6" s="83">
        <v>2040</v>
      </c>
      <c r="V6" s="83">
        <v>2041</v>
      </c>
      <c r="W6" s="83">
        <v>2042</v>
      </c>
      <c r="X6" s="83">
        <v>2043</v>
      </c>
      <c r="Y6" s="83">
        <v>2044</v>
      </c>
      <c r="Z6" s="83">
        <v>2045</v>
      </c>
      <c r="AA6" s="83">
        <v>2046</v>
      </c>
      <c r="AB6" s="83">
        <v>2047</v>
      </c>
      <c r="AC6" s="83">
        <v>2048</v>
      </c>
      <c r="AD6" s="83">
        <v>2049</v>
      </c>
      <c r="AE6" s="83">
        <v>2050</v>
      </c>
      <c r="AF6" s="77" t="s">
        <v>464</v>
      </c>
    </row>
    <row r="7" spans="2:32">
      <c r="B7" s="85" t="s">
        <v>116</v>
      </c>
      <c r="C7" s="86">
        <v>26</v>
      </c>
      <c r="D7" s="87">
        <f>C7</f>
        <v>26</v>
      </c>
      <c r="E7" s="87">
        <f t="shared" ref="E7:AE7" si="0">D7</f>
        <v>26</v>
      </c>
      <c r="F7" s="87">
        <f t="shared" si="0"/>
        <v>26</v>
      </c>
      <c r="G7" s="87">
        <f t="shared" si="0"/>
        <v>26</v>
      </c>
      <c r="H7" s="87">
        <f t="shared" si="0"/>
        <v>26</v>
      </c>
      <c r="I7" s="87">
        <f t="shared" si="0"/>
        <v>26</v>
      </c>
      <c r="J7" s="87">
        <f t="shared" si="0"/>
        <v>26</v>
      </c>
      <c r="K7" s="87">
        <f t="shared" si="0"/>
        <v>26</v>
      </c>
      <c r="L7" s="87">
        <f t="shared" si="0"/>
        <v>26</v>
      </c>
      <c r="M7" s="87">
        <f t="shared" si="0"/>
        <v>26</v>
      </c>
      <c r="N7" s="87">
        <f t="shared" si="0"/>
        <v>26</v>
      </c>
      <c r="O7" s="87">
        <f t="shared" si="0"/>
        <v>26</v>
      </c>
      <c r="P7" s="87">
        <f t="shared" si="0"/>
        <v>26</v>
      </c>
      <c r="Q7" s="87">
        <f t="shared" si="0"/>
        <v>26</v>
      </c>
      <c r="R7" s="87">
        <f t="shared" si="0"/>
        <v>26</v>
      </c>
      <c r="S7" s="87">
        <f t="shared" si="0"/>
        <v>26</v>
      </c>
      <c r="T7" s="87">
        <f t="shared" si="0"/>
        <v>26</v>
      </c>
      <c r="U7" s="87">
        <f t="shared" si="0"/>
        <v>26</v>
      </c>
      <c r="V7" s="87">
        <f t="shared" si="0"/>
        <v>26</v>
      </c>
      <c r="W7" s="87">
        <f t="shared" si="0"/>
        <v>26</v>
      </c>
      <c r="X7" s="87">
        <f t="shared" si="0"/>
        <v>26</v>
      </c>
      <c r="Y7" s="87">
        <f t="shared" si="0"/>
        <v>26</v>
      </c>
      <c r="Z7" s="87">
        <f t="shared" si="0"/>
        <v>26</v>
      </c>
      <c r="AA7" s="87">
        <f t="shared" si="0"/>
        <v>26</v>
      </c>
      <c r="AB7" s="87">
        <f t="shared" si="0"/>
        <v>26</v>
      </c>
      <c r="AC7" s="87">
        <f t="shared" si="0"/>
        <v>26</v>
      </c>
      <c r="AD7" s="87">
        <f t="shared" si="0"/>
        <v>26</v>
      </c>
      <c r="AE7" s="87">
        <f t="shared" si="0"/>
        <v>26</v>
      </c>
      <c r="AF7" s="77" t="s">
        <v>465</v>
      </c>
    </row>
    <row r="8" spans="2:32">
      <c r="B8" s="85" t="s">
        <v>119</v>
      </c>
      <c r="C8" s="86">
        <v>30</v>
      </c>
      <c r="D8" s="87">
        <v>30</v>
      </c>
      <c r="E8" s="87">
        <v>30</v>
      </c>
      <c r="F8" s="87">
        <v>30</v>
      </c>
      <c r="G8" s="87">
        <v>30</v>
      </c>
      <c r="H8" s="87">
        <v>30</v>
      </c>
      <c r="I8" s="87">
        <v>30</v>
      </c>
      <c r="J8" s="87">
        <v>30</v>
      </c>
      <c r="K8" s="87">
        <v>30</v>
      </c>
      <c r="L8" s="87">
        <v>30</v>
      </c>
      <c r="M8" s="87">
        <v>30</v>
      </c>
      <c r="N8" s="87">
        <v>30</v>
      </c>
      <c r="O8" s="87">
        <v>30</v>
      </c>
      <c r="P8" s="87">
        <v>30</v>
      </c>
      <c r="Q8" s="87">
        <v>30</v>
      </c>
      <c r="R8" s="87">
        <v>30</v>
      </c>
      <c r="S8" s="87">
        <v>30</v>
      </c>
      <c r="T8" s="87">
        <v>30</v>
      </c>
      <c r="U8" s="87">
        <v>30</v>
      </c>
      <c r="V8" s="87">
        <v>30</v>
      </c>
      <c r="W8" s="87">
        <v>30</v>
      </c>
      <c r="X8" s="87">
        <v>30</v>
      </c>
      <c r="Y8" s="87">
        <v>30</v>
      </c>
      <c r="Z8" s="87">
        <v>30</v>
      </c>
      <c r="AA8" s="87">
        <v>30</v>
      </c>
      <c r="AB8" s="87">
        <v>30</v>
      </c>
      <c r="AC8" s="87">
        <v>30</v>
      </c>
      <c r="AD8" s="87">
        <v>30</v>
      </c>
      <c r="AE8" s="87">
        <v>30</v>
      </c>
      <c r="AF8" s="77" t="s">
        <v>609</v>
      </c>
    </row>
    <row r="9" spans="2:32">
      <c r="B9" s="85" t="s">
        <v>120</v>
      </c>
      <c r="C9" s="86">
        <v>20</v>
      </c>
      <c r="D9" s="87">
        <f t="shared" ref="D9:S15" si="1">C9</f>
        <v>20</v>
      </c>
      <c r="E9" s="87">
        <f t="shared" si="1"/>
        <v>20</v>
      </c>
      <c r="F9" s="87">
        <f t="shared" si="1"/>
        <v>20</v>
      </c>
      <c r="G9" s="87">
        <f t="shared" si="1"/>
        <v>20</v>
      </c>
      <c r="H9" s="87">
        <f t="shared" si="1"/>
        <v>20</v>
      </c>
      <c r="I9" s="87">
        <f t="shared" si="1"/>
        <v>20</v>
      </c>
      <c r="J9" s="87">
        <f t="shared" si="1"/>
        <v>20</v>
      </c>
      <c r="K9" s="87">
        <f t="shared" si="1"/>
        <v>20</v>
      </c>
      <c r="L9" s="87">
        <f t="shared" si="1"/>
        <v>20</v>
      </c>
      <c r="M9" s="87">
        <f t="shared" si="1"/>
        <v>20</v>
      </c>
      <c r="N9" s="87">
        <f t="shared" si="1"/>
        <v>20</v>
      </c>
      <c r="O9" s="87">
        <f t="shared" si="1"/>
        <v>20</v>
      </c>
      <c r="P9" s="87">
        <f t="shared" si="1"/>
        <v>20</v>
      </c>
      <c r="Q9" s="87">
        <f t="shared" si="1"/>
        <v>20</v>
      </c>
      <c r="R9" s="87">
        <f t="shared" si="1"/>
        <v>20</v>
      </c>
      <c r="S9" s="87">
        <f t="shared" si="1"/>
        <v>20</v>
      </c>
      <c r="T9" s="87">
        <f t="shared" ref="T9:AE15" si="2">S9</f>
        <v>20</v>
      </c>
      <c r="U9" s="87">
        <f t="shared" si="2"/>
        <v>20</v>
      </c>
      <c r="V9" s="87">
        <f t="shared" si="2"/>
        <v>20</v>
      </c>
      <c r="W9" s="87">
        <f t="shared" si="2"/>
        <v>20</v>
      </c>
      <c r="X9" s="87">
        <f t="shared" si="2"/>
        <v>20</v>
      </c>
      <c r="Y9" s="87">
        <f t="shared" si="2"/>
        <v>20</v>
      </c>
      <c r="Z9" s="87">
        <f t="shared" si="2"/>
        <v>20</v>
      </c>
      <c r="AA9" s="87">
        <f t="shared" si="2"/>
        <v>20</v>
      </c>
      <c r="AB9" s="87">
        <f t="shared" si="2"/>
        <v>20</v>
      </c>
      <c r="AC9" s="87">
        <f t="shared" si="2"/>
        <v>20</v>
      </c>
      <c r="AD9" s="87">
        <f t="shared" si="2"/>
        <v>20</v>
      </c>
      <c r="AE9" s="87">
        <f t="shared" si="2"/>
        <v>20</v>
      </c>
      <c r="AF9" s="77" t="s">
        <v>465</v>
      </c>
    </row>
    <row r="10" spans="2:32">
      <c r="B10" s="85" t="s">
        <v>122</v>
      </c>
      <c r="C10" s="86">
        <v>34</v>
      </c>
      <c r="D10" s="87">
        <f t="shared" si="1"/>
        <v>34</v>
      </c>
      <c r="E10" s="87">
        <f t="shared" si="1"/>
        <v>34</v>
      </c>
      <c r="F10" s="87">
        <f t="shared" si="1"/>
        <v>34</v>
      </c>
      <c r="G10" s="87">
        <f t="shared" si="1"/>
        <v>34</v>
      </c>
      <c r="H10" s="87">
        <f t="shared" si="1"/>
        <v>34</v>
      </c>
      <c r="I10" s="87">
        <f t="shared" si="1"/>
        <v>34</v>
      </c>
      <c r="J10" s="87">
        <f t="shared" si="1"/>
        <v>34</v>
      </c>
      <c r="K10" s="87">
        <f t="shared" si="1"/>
        <v>34</v>
      </c>
      <c r="L10" s="87">
        <f t="shared" si="1"/>
        <v>34</v>
      </c>
      <c r="M10" s="87">
        <f t="shared" si="1"/>
        <v>34</v>
      </c>
      <c r="N10" s="87">
        <f t="shared" si="1"/>
        <v>34</v>
      </c>
      <c r="O10" s="87">
        <f t="shared" si="1"/>
        <v>34</v>
      </c>
      <c r="P10" s="87">
        <f t="shared" si="1"/>
        <v>34</v>
      </c>
      <c r="Q10" s="87">
        <f t="shared" si="1"/>
        <v>34</v>
      </c>
      <c r="R10" s="87">
        <f t="shared" si="1"/>
        <v>34</v>
      </c>
      <c r="S10" s="87">
        <f t="shared" si="1"/>
        <v>34</v>
      </c>
      <c r="T10" s="87">
        <f t="shared" si="2"/>
        <v>34</v>
      </c>
      <c r="U10" s="87">
        <f t="shared" si="2"/>
        <v>34</v>
      </c>
      <c r="V10" s="87">
        <f t="shared" si="2"/>
        <v>34</v>
      </c>
      <c r="W10" s="87">
        <f t="shared" si="2"/>
        <v>34</v>
      </c>
      <c r="X10" s="87">
        <f t="shared" si="2"/>
        <v>34</v>
      </c>
      <c r="Y10" s="87">
        <f t="shared" si="2"/>
        <v>34</v>
      </c>
      <c r="Z10" s="87">
        <f t="shared" si="2"/>
        <v>34</v>
      </c>
      <c r="AA10" s="87">
        <f t="shared" si="2"/>
        <v>34</v>
      </c>
      <c r="AB10" s="87">
        <f t="shared" si="2"/>
        <v>34</v>
      </c>
      <c r="AC10" s="87">
        <f t="shared" si="2"/>
        <v>34</v>
      </c>
      <c r="AD10" s="87">
        <f t="shared" si="2"/>
        <v>34</v>
      </c>
      <c r="AE10" s="87">
        <f t="shared" si="2"/>
        <v>34</v>
      </c>
      <c r="AF10" s="77" t="s">
        <v>465</v>
      </c>
    </row>
    <row r="11" spans="2:32">
      <c r="B11" s="85" t="s">
        <v>123</v>
      </c>
      <c r="C11" s="86">
        <v>26.21</v>
      </c>
      <c r="D11" s="87">
        <f t="shared" si="1"/>
        <v>26.21</v>
      </c>
      <c r="E11" s="87">
        <f t="shared" si="1"/>
        <v>26.21</v>
      </c>
      <c r="F11" s="87">
        <f t="shared" si="1"/>
        <v>26.21</v>
      </c>
      <c r="G11" s="87">
        <f t="shared" si="1"/>
        <v>26.21</v>
      </c>
      <c r="H11" s="87">
        <f t="shared" si="1"/>
        <v>26.21</v>
      </c>
      <c r="I11" s="87">
        <f t="shared" si="1"/>
        <v>26.21</v>
      </c>
      <c r="J11" s="87">
        <f t="shared" si="1"/>
        <v>26.21</v>
      </c>
      <c r="K11" s="87">
        <f t="shared" si="1"/>
        <v>26.21</v>
      </c>
      <c r="L11" s="87">
        <f t="shared" si="1"/>
        <v>26.21</v>
      </c>
      <c r="M11" s="87">
        <f t="shared" si="1"/>
        <v>26.21</v>
      </c>
      <c r="N11" s="87">
        <f t="shared" si="1"/>
        <v>26.21</v>
      </c>
      <c r="O11" s="87">
        <f t="shared" si="1"/>
        <v>26.21</v>
      </c>
      <c r="P11" s="87">
        <f t="shared" si="1"/>
        <v>26.21</v>
      </c>
      <c r="Q11" s="87">
        <f t="shared" si="1"/>
        <v>26.21</v>
      </c>
      <c r="R11" s="87">
        <f t="shared" si="1"/>
        <v>26.21</v>
      </c>
      <c r="S11" s="87">
        <f t="shared" si="1"/>
        <v>26.21</v>
      </c>
      <c r="T11" s="87">
        <f t="shared" si="2"/>
        <v>26.21</v>
      </c>
      <c r="U11" s="87">
        <f t="shared" si="2"/>
        <v>26.21</v>
      </c>
      <c r="V11" s="87">
        <f t="shared" si="2"/>
        <v>26.21</v>
      </c>
      <c r="W11" s="87">
        <f t="shared" si="2"/>
        <v>26.21</v>
      </c>
      <c r="X11" s="87">
        <f t="shared" si="2"/>
        <v>26.21</v>
      </c>
      <c r="Y11" s="87">
        <f t="shared" si="2"/>
        <v>26.21</v>
      </c>
      <c r="Z11" s="87">
        <f t="shared" si="2"/>
        <v>26.21</v>
      </c>
      <c r="AA11" s="87">
        <f t="shared" si="2"/>
        <v>26.21</v>
      </c>
      <c r="AB11" s="87">
        <f t="shared" si="2"/>
        <v>26.21</v>
      </c>
      <c r="AC11" s="87">
        <f t="shared" si="2"/>
        <v>26.21</v>
      </c>
      <c r="AD11" s="87">
        <f t="shared" si="2"/>
        <v>26.21</v>
      </c>
      <c r="AE11" s="87">
        <f t="shared" si="2"/>
        <v>26.21</v>
      </c>
      <c r="AF11" s="77" t="s">
        <v>465</v>
      </c>
    </row>
    <row r="12" spans="2:32">
      <c r="B12" s="85" t="s">
        <v>124</v>
      </c>
      <c r="C12" s="86">
        <v>25</v>
      </c>
      <c r="D12" s="87">
        <f t="shared" si="1"/>
        <v>25</v>
      </c>
      <c r="E12" s="87">
        <f t="shared" si="1"/>
        <v>25</v>
      </c>
      <c r="F12" s="87">
        <f t="shared" si="1"/>
        <v>25</v>
      </c>
      <c r="G12" s="87">
        <f t="shared" si="1"/>
        <v>25</v>
      </c>
      <c r="H12" s="87">
        <f t="shared" si="1"/>
        <v>25</v>
      </c>
      <c r="I12" s="87">
        <f t="shared" si="1"/>
        <v>25</v>
      </c>
      <c r="J12" s="87">
        <f t="shared" si="1"/>
        <v>25</v>
      </c>
      <c r="K12" s="87">
        <f t="shared" si="1"/>
        <v>25</v>
      </c>
      <c r="L12" s="87">
        <f t="shared" si="1"/>
        <v>25</v>
      </c>
      <c r="M12" s="87">
        <f t="shared" si="1"/>
        <v>25</v>
      </c>
      <c r="N12" s="87">
        <f t="shared" si="1"/>
        <v>25</v>
      </c>
      <c r="O12" s="87">
        <f t="shared" si="1"/>
        <v>25</v>
      </c>
      <c r="P12" s="87">
        <f t="shared" si="1"/>
        <v>25</v>
      </c>
      <c r="Q12" s="87">
        <f t="shared" si="1"/>
        <v>25</v>
      </c>
      <c r="R12" s="87">
        <f t="shared" si="1"/>
        <v>25</v>
      </c>
      <c r="S12" s="87">
        <f t="shared" si="1"/>
        <v>25</v>
      </c>
      <c r="T12" s="87">
        <f t="shared" si="2"/>
        <v>25</v>
      </c>
      <c r="U12" s="87">
        <f t="shared" si="2"/>
        <v>25</v>
      </c>
      <c r="V12" s="87">
        <f t="shared" si="2"/>
        <v>25</v>
      </c>
      <c r="W12" s="87">
        <f t="shared" si="2"/>
        <v>25</v>
      </c>
      <c r="X12" s="87">
        <f t="shared" si="2"/>
        <v>25</v>
      </c>
      <c r="Y12" s="87">
        <f t="shared" si="2"/>
        <v>25</v>
      </c>
      <c r="Z12" s="87">
        <f t="shared" si="2"/>
        <v>25</v>
      </c>
      <c r="AA12" s="87">
        <f t="shared" si="2"/>
        <v>25</v>
      </c>
      <c r="AB12" s="87">
        <f t="shared" si="2"/>
        <v>25</v>
      </c>
      <c r="AC12" s="87">
        <f t="shared" si="2"/>
        <v>25</v>
      </c>
      <c r="AD12" s="87">
        <f t="shared" si="2"/>
        <v>25</v>
      </c>
      <c r="AE12" s="87">
        <f t="shared" si="2"/>
        <v>25</v>
      </c>
      <c r="AF12" s="77" t="s">
        <v>465</v>
      </c>
    </row>
    <row r="13" spans="2:32">
      <c r="B13" s="85" t="s">
        <v>126</v>
      </c>
      <c r="C13" s="86">
        <v>19</v>
      </c>
      <c r="D13" s="87">
        <f t="shared" si="1"/>
        <v>19</v>
      </c>
      <c r="E13" s="87">
        <f t="shared" si="1"/>
        <v>19</v>
      </c>
      <c r="F13" s="87">
        <f t="shared" si="1"/>
        <v>19</v>
      </c>
      <c r="G13" s="87">
        <f t="shared" si="1"/>
        <v>19</v>
      </c>
      <c r="H13" s="87">
        <f t="shared" si="1"/>
        <v>19</v>
      </c>
      <c r="I13" s="87">
        <f t="shared" si="1"/>
        <v>19</v>
      </c>
      <c r="J13" s="87">
        <f t="shared" si="1"/>
        <v>19</v>
      </c>
      <c r="K13" s="87">
        <f t="shared" si="1"/>
        <v>19</v>
      </c>
      <c r="L13" s="87">
        <f t="shared" si="1"/>
        <v>19</v>
      </c>
      <c r="M13" s="87">
        <f t="shared" si="1"/>
        <v>19</v>
      </c>
      <c r="N13" s="87">
        <f t="shared" si="1"/>
        <v>19</v>
      </c>
      <c r="O13" s="87">
        <f t="shared" si="1"/>
        <v>19</v>
      </c>
      <c r="P13" s="87">
        <f t="shared" si="1"/>
        <v>19</v>
      </c>
      <c r="Q13" s="87">
        <f t="shared" si="1"/>
        <v>19</v>
      </c>
      <c r="R13" s="87">
        <f t="shared" si="1"/>
        <v>19</v>
      </c>
      <c r="S13" s="87">
        <f t="shared" si="1"/>
        <v>19</v>
      </c>
      <c r="T13" s="87">
        <f t="shared" si="2"/>
        <v>19</v>
      </c>
      <c r="U13" s="87">
        <f t="shared" si="2"/>
        <v>19</v>
      </c>
      <c r="V13" s="87">
        <f t="shared" si="2"/>
        <v>19</v>
      </c>
      <c r="W13" s="87">
        <f t="shared" si="2"/>
        <v>19</v>
      </c>
      <c r="X13" s="87">
        <f t="shared" si="2"/>
        <v>19</v>
      </c>
      <c r="Y13" s="87">
        <f t="shared" si="2"/>
        <v>19</v>
      </c>
      <c r="Z13" s="87">
        <f t="shared" si="2"/>
        <v>19</v>
      </c>
      <c r="AA13" s="87">
        <f t="shared" si="2"/>
        <v>19</v>
      </c>
      <c r="AB13" s="87">
        <f t="shared" si="2"/>
        <v>19</v>
      </c>
      <c r="AC13" s="87">
        <f t="shared" si="2"/>
        <v>19</v>
      </c>
      <c r="AD13" s="87">
        <f t="shared" si="2"/>
        <v>19</v>
      </c>
      <c r="AE13" s="87">
        <f t="shared" si="2"/>
        <v>19</v>
      </c>
      <c r="AF13" s="77" t="s">
        <v>465</v>
      </c>
    </row>
    <row r="14" spans="2:32">
      <c r="B14" s="85" t="s">
        <v>127</v>
      </c>
      <c r="C14" s="86">
        <v>22</v>
      </c>
      <c r="D14" s="87">
        <f t="shared" si="1"/>
        <v>22</v>
      </c>
      <c r="E14" s="87">
        <f t="shared" si="1"/>
        <v>22</v>
      </c>
      <c r="F14" s="87">
        <f t="shared" si="1"/>
        <v>22</v>
      </c>
      <c r="G14" s="87">
        <f t="shared" si="1"/>
        <v>22</v>
      </c>
      <c r="H14" s="87">
        <f t="shared" si="1"/>
        <v>22</v>
      </c>
      <c r="I14" s="87">
        <f t="shared" si="1"/>
        <v>22</v>
      </c>
      <c r="J14" s="87">
        <f t="shared" si="1"/>
        <v>22</v>
      </c>
      <c r="K14" s="87">
        <f t="shared" si="1"/>
        <v>22</v>
      </c>
      <c r="L14" s="87">
        <f t="shared" si="1"/>
        <v>22</v>
      </c>
      <c r="M14" s="87">
        <f t="shared" si="1"/>
        <v>22</v>
      </c>
      <c r="N14" s="87">
        <f t="shared" si="1"/>
        <v>22</v>
      </c>
      <c r="O14" s="87">
        <f t="shared" si="1"/>
        <v>22</v>
      </c>
      <c r="P14" s="87">
        <f t="shared" si="1"/>
        <v>22</v>
      </c>
      <c r="Q14" s="87">
        <f t="shared" si="1"/>
        <v>22</v>
      </c>
      <c r="R14" s="87">
        <f t="shared" si="1"/>
        <v>22</v>
      </c>
      <c r="S14" s="87">
        <f t="shared" si="1"/>
        <v>22</v>
      </c>
      <c r="T14" s="87">
        <f t="shared" si="2"/>
        <v>22</v>
      </c>
      <c r="U14" s="87">
        <f t="shared" si="2"/>
        <v>22</v>
      </c>
      <c r="V14" s="87">
        <f t="shared" si="2"/>
        <v>22</v>
      </c>
      <c r="W14" s="87">
        <f t="shared" si="2"/>
        <v>22</v>
      </c>
      <c r="X14" s="87">
        <f t="shared" si="2"/>
        <v>22</v>
      </c>
      <c r="Y14" s="87">
        <f t="shared" si="2"/>
        <v>22</v>
      </c>
      <c r="Z14" s="87">
        <f t="shared" si="2"/>
        <v>22</v>
      </c>
      <c r="AA14" s="87">
        <f t="shared" si="2"/>
        <v>22</v>
      </c>
      <c r="AB14" s="87">
        <f t="shared" si="2"/>
        <v>22</v>
      </c>
      <c r="AC14" s="87">
        <f t="shared" si="2"/>
        <v>22</v>
      </c>
      <c r="AD14" s="87">
        <f t="shared" si="2"/>
        <v>22</v>
      </c>
      <c r="AE14" s="87">
        <f t="shared" si="2"/>
        <v>22</v>
      </c>
      <c r="AF14" s="77" t="s">
        <v>465</v>
      </c>
    </row>
    <row r="15" spans="2:32">
      <c r="B15" s="85" t="s">
        <v>128</v>
      </c>
      <c r="C15" s="86">
        <v>22.5</v>
      </c>
      <c r="D15" s="87">
        <f t="shared" si="1"/>
        <v>22.5</v>
      </c>
      <c r="E15" s="87">
        <f t="shared" si="1"/>
        <v>22.5</v>
      </c>
      <c r="F15" s="87">
        <f t="shared" si="1"/>
        <v>22.5</v>
      </c>
      <c r="G15" s="87">
        <f t="shared" si="1"/>
        <v>22.5</v>
      </c>
      <c r="H15" s="87">
        <f t="shared" si="1"/>
        <v>22.5</v>
      </c>
      <c r="I15" s="87">
        <f t="shared" si="1"/>
        <v>22.5</v>
      </c>
      <c r="J15" s="87">
        <f t="shared" si="1"/>
        <v>22.5</v>
      </c>
      <c r="K15" s="87">
        <f t="shared" si="1"/>
        <v>22.5</v>
      </c>
      <c r="L15" s="87">
        <f t="shared" si="1"/>
        <v>22.5</v>
      </c>
      <c r="M15" s="87">
        <f t="shared" si="1"/>
        <v>22.5</v>
      </c>
      <c r="N15" s="87">
        <f t="shared" si="1"/>
        <v>22.5</v>
      </c>
      <c r="O15" s="87">
        <f t="shared" si="1"/>
        <v>22.5</v>
      </c>
      <c r="P15" s="87">
        <f t="shared" si="1"/>
        <v>22.5</v>
      </c>
      <c r="Q15" s="87">
        <f t="shared" si="1"/>
        <v>22.5</v>
      </c>
      <c r="R15" s="87">
        <f t="shared" si="1"/>
        <v>22.5</v>
      </c>
      <c r="S15" s="87">
        <f t="shared" si="1"/>
        <v>22.5</v>
      </c>
      <c r="T15" s="87">
        <f t="shared" si="2"/>
        <v>22.5</v>
      </c>
      <c r="U15" s="87">
        <f t="shared" si="2"/>
        <v>22.5</v>
      </c>
      <c r="V15" s="87">
        <f t="shared" si="2"/>
        <v>22.5</v>
      </c>
      <c r="W15" s="87">
        <f t="shared" si="2"/>
        <v>22.5</v>
      </c>
      <c r="X15" s="87">
        <f t="shared" si="2"/>
        <v>22.5</v>
      </c>
      <c r="Y15" s="87">
        <f t="shared" si="2"/>
        <v>22.5</v>
      </c>
      <c r="Z15" s="87">
        <f t="shared" si="2"/>
        <v>22.5</v>
      </c>
      <c r="AA15" s="87">
        <f t="shared" si="2"/>
        <v>22.5</v>
      </c>
      <c r="AB15" s="87">
        <f t="shared" si="2"/>
        <v>22.5</v>
      </c>
      <c r="AC15" s="87">
        <f t="shared" si="2"/>
        <v>22.5</v>
      </c>
      <c r="AD15" s="87">
        <f t="shared" si="2"/>
        <v>22.5</v>
      </c>
      <c r="AE15" s="87">
        <f t="shared" si="2"/>
        <v>22.5</v>
      </c>
      <c r="AF15" s="77" t="s">
        <v>465</v>
      </c>
    </row>
    <row r="16" spans="2:32">
      <c r="B16" s="85" t="s">
        <v>129</v>
      </c>
      <c r="C16" s="86">
        <v>25</v>
      </c>
      <c r="D16" s="87">
        <v>25</v>
      </c>
      <c r="E16" s="87">
        <v>25</v>
      </c>
      <c r="F16" s="87">
        <v>25</v>
      </c>
      <c r="G16" s="87">
        <v>25</v>
      </c>
      <c r="H16" s="87">
        <v>25</v>
      </c>
      <c r="I16" s="87">
        <v>25</v>
      </c>
      <c r="J16" s="87">
        <v>25</v>
      </c>
      <c r="K16" s="87">
        <v>25</v>
      </c>
      <c r="L16" s="87">
        <v>25</v>
      </c>
      <c r="M16" s="87">
        <v>25</v>
      </c>
      <c r="N16" s="87">
        <v>25</v>
      </c>
      <c r="O16" s="87">
        <v>25</v>
      </c>
      <c r="P16" s="87">
        <v>25</v>
      </c>
      <c r="Q16" s="87">
        <v>25</v>
      </c>
      <c r="R16" s="87">
        <v>25</v>
      </c>
      <c r="S16" s="87">
        <v>25</v>
      </c>
      <c r="T16" s="87">
        <v>25</v>
      </c>
      <c r="U16" s="87">
        <v>25</v>
      </c>
      <c r="V16" s="87">
        <v>25</v>
      </c>
      <c r="W16" s="87">
        <v>25</v>
      </c>
      <c r="X16" s="87">
        <v>25</v>
      </c>
      <c r="Y16" s="87">
        <v>25</v>
      </c>
      <c r="Z16" s="87">
        <v>25</v>
      </c>
      <c r="AA16" s="87">
        <v>25</v>
      </c>
      <c r="AB16" s="87">
        <v>25</v>
      </c>
      <c r="AC16" s="87">
        <v>25</v>
      </c>
      <c r="AD16" s="87">
        <v>25</v>
      </c>
      <c r="AE16" s="87">
        <v>25</v>
      </c>
      <c r="AF16" s="77" t="s">
        <v>609</v>
      </c>
    </row>
    <row r="17" spans="2:32">
      <c r="B17" s="85" t="s">
        <v>130</v>
      </c>
      <c r="C17" s="86">
        <v>15</v>
      </c>
      <c r="D17" s="87">
        <f t="shared" ref="D17:AE17" si="3">C17</f>
        <v>15</v>
      </c>
      <c r="E17" s="87">
        <f t="shared" si="3"/>
        <v>15</v>
      </c>
      <c r="F17" s="87">
        <f t="shared" si="3"/>
        <v>15</v>
      </c>
      <c r="G17" s="87">
        <f t="shared" si="3"/>
        <v>15</v>
      </c>
      <c r="H17" s="87">
        <f t="shared" si="3"/>
        <v>15</v>
      </c>
      <c r="I17" s="87">
        <f t="shared" si="3"/>
        <v>15</v>
      </c>
      <c r="J17" s="87">
        <f t="shared" si="3"/>
        <v>15</v>
      </c>
      <c r="K17" s="87">
        <f t="shared" si="3"/>
        <v>15</v>
      </c>
      <c r="L17" s="87">
        <f t="shared" si="3"/>
        <v>15</v>
      </c>
      <c r="M17" s="87">
        <f t="shared" si="3"/>
        <v>15</v>
      </c>
      <c r="N17" s="87">
        <f t="shared" si="3"/>
        <v>15</v>
      </c>
      <c r="O17" s="87">
        <f t="shared" si="3"/>
        <v>15</v>
      </c>
      <c r="P17" s="87">
        <f t="shared" si="3"/>
        <v>15</v>
      </c>
      <c r="Q17" s="87">
        <f t="shared" si="3"/>
        <v>15</v>
      </c>
      <c r="R17" s="87">
        <f t="shared" si="3"/>
        <v>15</v>
      </c>
      <c r="S17" s="87">
        <f t="shared" si="3"/>
        <v>15</v>
      </c>
      <c r="T17" s="87">
        <f t="shared" si="3"/>
        <v>15</v>
      </c>
      <c r="U17" s="87">
        <f t="shared" si="3"/>
        <v>15</v>
      </c>
      <c r="V17" s="87">
        <f t="shared" si="3"/>
        <v>15</v>
      </c>
      <c r="W17" s="87">
        <f t="shared" si="3"/>
        <v>15</v>
      </c>
      <c r="X17" s="87">
        <f t="shared" si="3"/>
        <v>15</v>
      </c>
      <c r="Y17" s="87">
        <f t="shared" si="3"/>
        <v>15</v>
      </c>
      <c r="Z17" s="87">
        <f t="shared" si="3"/>
        <v>15</v>
      </c>
      <c r="AA17" s="87">
        <f t="shared" si="3"/>
        <v>15</v>
      </c>
      <c r="AB17" s="87">
        <f t="shared" si="3"/>
        <v>15</v>
      </c>
      <c r="AC17" s="87">
        <f t="shared" si="3"/>
        <v>15</v>
      </c>
      <c r="AD17" s="87">
        <f t="shared" si="3"/>
        <v>15</v>
      </c>
      <c r="AE17" s="87">
        <f t="shared" si="3"/>
        <v>15</v>
      </c>
      <c r="AF17" s="77" t="s">
        <v>465</v>
      </c>
    </row>
    <row r="18" spans="2:32">
      <c r="B18" s="85" t="s">
        <v>131</v>
      </c>
      <c r="C18" s="86">
        <v>9</v>
      </c>
      <c r="D18" s="87">
        <v>9</v>
      </c>
      <c r="E18" s="87">
        <v>15</v>
      </c>
      <c r="F18" s="87">
        <v>15</v>
      </c>
      <c r="G18" s="87">
        <v>15</v>
      </c>
      <c r="H18" s="87">
        <v>15</v>
      </c>
      <c r="I18" s="87">
        <v>15</v>
      </c>
      <c r="J18" s="87">
        <v>15</v>
      </c>
      <c r="K18" s="87">
        <v>15</v>
      </c>
      <c r="L18" s="87">
        <v>15</v>
      </c>
      <c r="M18" s="87">
        <v>15</v>
      </c>
      <c r="N18" s="87">
        <v>15</v>
      </c>
      <c r="O18" s="87">
        <v>15</v>
      </c>
      <c r="P18" s="87">
        <v>15</v>
      </c>
      <c r="Q18" s="87">
        <v>15</v>
      </c>
      <c r="R18" s="87">
        <v>15</v>
      </c>
      <c r="S18" s="87">
        <v>15</v>
      </c>
      <c r="T18" s="87">
        <v>15</v>
      </c>
      <c r="U18" s="87">
        <v>15</v>
      </c>
      <c r="V18" s="87">
        <v>15</v>
      </c>
      <c r="W18" s="87">
        <v>15</v>
      </c>
      <c r="X18" s="87">
        <v>15</v>
      </c>
      <c r="Y18" s="87">
        <v>15</v>
      </c>
      <c r="Z18" s="87">
        <v>15</v>
      </c>
      <c r="AA18" s="87">
        <v>15</v>
      </c>
      <c r="AB18" s="87">
        <v>15</v>
      </c>
      <c r="AC18" s="87">
        <v>15</v>
      </c>
      <c r="AD18" s="87">
        <v>15</v>
      </c>
      <c r="AE18" s="87">
        <v>15</v>
      </c>
      <c r="AF18" s="77" t="s">
        <v>609</v>
      </c>
    </row>
    <row r="19" spans="2:32">
      <c r="B19" s="85" t="s">
        <v>132</v>
      </c>
      <c r="C19" s="86">
        <v>25.169999999999998</v>
      </c>
      <c r="D19" s="87">
        <v>25.169999999999998</v>
      </c>
      <c r="E19" s="87">
        <v>25.169999999999998</v>
      </c>
      <c r="F19" s="87">
        <v>25.169999999999998</v>
      </c>
      <c r="G19" s="87">
        <v>25.169999999999998</v>
      </c>
      <c r="H19" s="87">
        <v>25.169999999999998</v>
      </c>
      <c r="I19" s="87">
        <v>25.169999999999998</v>
      </c>
      <c r="J19" s="87">
        <v>25.169999999999998</v>
      </c>
      <c r="K19" s="87">
        <v>25.169999999999998</v>
      </c>
      <c r="L19" s="87">
        <v>25.169999999999998</v>
      </c>
      <c r="M19" s="87">
        <v>25.169999999999998</v>
      </c>
      <c r="N19" s="87">
        <v>25.169999999999998</v>
      </c>
      <c r="O19" s="87">
        <v>25.169999999999998</v>
      </c>
      <c r="P19" s="87">
        <v>25.169999999999998</v>
      </c>
      <c r="Q19" s="87">
        <v>25.169999999999998</v>
      </c>
      <c r="R19" s="87">
        <v>25.169999999999998</v>
      </c>
      <c r="S19" s="87">
        <v>25.169999999999998</v>
      </c>
      <c r="T19" s="87">
        <v>25.169999999999998</v>
      </c>
      <c r="U19" s="87">
        <v>25.169999999999998</v>
      </c>
      <c r="V19" s="87">
        <v>25.169999999999998</v>
      </c>
      <c r="W19" s="87">
        <v>25.169999999999998</v>
      </c>
      <c r="X19" s="87">
        <v>25.169999999999998</v>
      </c>
      <c r="Y19" s="87">
        <v>25.169999999999998</v>
      </c>
      <c r="Z19" s="87">
        <v>25.169999999999998</v>
      </c>
      <c r="AA19" s="87">
        <v>25.169999999999998</v>
      </c>
      <c r="AB19" s="87">
        <v>25.169999999999998</v>
      </c>
      <c r="AC19" s="87">
        <v>25.169999999999998</v>
      </c>
      <c r="AD19" s="87">
        <v>25.169999999999998</v>
      </c>
      <c r="AE19" s="87">
        <v>25.169999999999998</v>
      </c>
      <c r="AF19" s="77" t="s">
        <v>609</v>
      </c>
    </row>
    <row r="20" spans="2:32">
      <c r="B20" s="85" t="s">
        <v>133</v>
      </c>
      <c r="C20" s="86">
        <v>22</v>
      </c>
      <c r="D20" s="87">
        <f t="shared" ref="D20:S26" si="4">C20</f>
        <v>22</v>
      </c>
      <c r="E20" s="87">
        <f t="shared" si="4"/>
        <v>22</v>
      </c>
      <c r="F20" s="87">
        <f t="shared" si="4"/>
        <v>22</v>
      </c>
      <c r="G20" s="87">
        <f t="shared" si="4"/>
        <v>22</v>
      </c>
      <c r="H20" s="87">
        <f t="shared" si="4"/>
        <v>22</v>
      </c>
      <c r="I20" s="87">
        <f t="shared" si="4"/>
        <v>22</v>
      </c>
      <c r="J20" s="87">
        <f t="shared" si="4"/>
        <v>22</v>
      </c>
      <c r="K20" s="87">
        <f t="shared" si="4"/>
        <v>22</v>
      </c>
      <c r="L20" s="87">
        <f t="shared" si="4"/>
        <v>22</v>
      </c>
      <c r="M20" s="87">
        <f t="shared" si="4"/>
        <v>22</v>
      </c>
      <c r="N20" s="87">
        <f t="shared" si="4"/>
        <v>22</v>
      </c>
      <c r="O20" s="87">
        <f t="shared" si="4"/>
        <v>22</v>
      </c>
      <c r="P20" s="87">
        <f t="shared" si="4"/>
        <v>22</v>
      </c>
      <c r="Q20" s="87">
        <f t="shared" si="4"/>
        <v>22</v>
      </c>
      <c r="R20" s="87">
        <f t="shared" si="4"/>
        <v>22</v>
      </c>
      <c r="S20" s="87">
        <f t="shared" si="4"/>
        <v>22</v>
      </c>
      <c r="T20" s="87">
        <f t="shared" ref="T20:AE26" si="5">S20</f>
        <v>22</v>
      </c>
      <c r="U20" s="87">
        <f t="shared" si="5"/>
        <v>22</v>
      </c>
      <c r="V20" s="87">
        <f t="shared" si="5"/>
        <v>22</v>
      </c>
      <c r="W20" s="87">
        <f t="shared" si="5"/>
        <v>22</v>
      </c>
      <c r="X20" s="87">
        <f t="shared" si="5"/>
        <v>22</v>
      </c>
      <c r="Y20" s="87">
        <f t="shared" si="5"/>
        <v>22</v>
      </c>
      <c r="Z20" s="87">
        <f t="shared" si="5"/>
        <v>22</v>
      </c>
      <c r="AA20" s="87">
        <f t="shared" si="5"/>
        <v>22</v>
      </c>
      <c r="AB20" s="87">
        <f t="shared" si="5"/>
        <v>22</v>
      </c>
      <c r="AC20" s="87">
        <f t="shared" si="5"/>
        <v>22</v>
      </c>
      <c r="AD20" s="87">
        <f t="shared" si="5"/>
        <v>22</v>
      </c>
      <c r="AE20" s="87">
        <f t="shared" si="5"/>
        <v>22</v>
      </c>
      <c r="AF20" s="77" t="s">
        <v>465</v>
      </c>
    </row>
    <row r="21" spans="2:32">
      <c r="B21" s="85" t="s">
        <v>135</v>
      </c>
      <c r="C21" s="86">
        <v>15</v>
      </c>
      <c r="D21" s="87">
        <f t="shared" si="4"/>
        <v>15</v>
      </c>
      <c r="E21" s="87">
        <f t="shared" si="4"/>
        <v>15</v>
      </c>
      <c r="F21" s="87">
        <f t="shared" si="4"/>
        <v>15</v>
      </c>
      <c r="G21" s="87">
        <f t="shared" si="4"/>
        <v>15</v>
      </c>
      <c r="H21" s="87">
        <f t="shared" si="4"/>
        <v>15</v>
      </c>
      <c r="I21" s="87">
        <f t="shared" si="4"/>
        <v>15</v>
      </c>
      <c r="J21" s="87">
        <f t="shared" si="4"/>
        <v>15</v>
      </c>
      <c r="K21" s="87">
        <f t="shared" si="4"/>
        <v>15</v>
      </c>
      <c r="L21" s="87">
        <f t="shared" si="4"/>
        <v>15</v>
      </c>
      <c r="M21" s="87">
        <f t="shared" si="4"/>
        <v>15</v>
      </c>
      <c r="N21" s="87">
        <f t="shared" si="4"/>
        <v>15</v>
      </c>
      <c r="O21" s="87">
        <f t="shared" si="4"/>
        <v>15</v>
      </c>
      <c r="P21" s="87">
        <f t="shared" si="4"/>
        <v>15</v>
      </c>
      <c r="Q21" s="87">
        <f t="shared" si="4"/>
        <v>15</v>
      </c>
      <c r="R21" s="87">
        <f t="shared" si="4"/>
        <v>15</v>
      </c>
      <c r="S21" s="87">
        <f t="shared" si="4"/>
        <v>15</v>
      </c>
      <c r="T21" s="87">
        <f t="shared" si="5"/>
        <v>15</v>
      </c>
      <c r="U21" s="87">
        <f t="shared" si="5"/>
        <v>15</v>
      </c>
      <c r="V21" s="87">
        <f t="shared" si="5"/>
        <v>15</v>
      </c>
      <c r="W21" s="87">
        <f t="shared" si="5"/>
        <v>15</v>
      </c>
      <c r="X21" s="87">
        <f t="shared" si="5"/>
        <v>15</v>
      </c>
      <c r="Y21" s="87">
        <f t="shared" si="5"/>
        <v>15</v>
      </c>
      <c r="Z21" s="87">
        <f t="shared" si="5"/>
        <v>15</v>
      </c>
      <c r="AA21" s="87">
        <f t="shared" si="5"/>
        <v>15</v>
      </c>
      <c r="AB21" s="87">
        <f t="shared" si="5"/>
        <v>15</v>
      </c>
      <c r="AC21" s="87">
        <f t="shared" si="5"/>
        <v>15</v>
      </c>
      <c r="AD21" s="87">
        <f t="shared" si="5"/>
        <v>15</v>
      </c>
      <c r="AE21" s="87">
        <f t="shared" si="5"/>
        <v>15</v>
      </c>
      <c r="AF21" s="77" t="s">
        <v>465</v>
      </c>
    </row>
    <row r="22" spans="2:32">
      <c r="B22" s="85" t="s">
        <v>136</v>
      </c>
      <c r="C22" s="86">
        <v>30.62</v>
      </c>
      <c r="D22" s="87">
        <f t="shared" si="4"/>
        <v>30.62</v>
      </c>
      <c r="E22" s="87">
        <f t="shared" si="4"/>
        <v>30.62</v>
      </c>
      <c r="F22" s="87">
        <f t="shared" si="4"/>
        <v>30.62</v>
      </c>
      <c r="G22" s="87">
        <f t="shared" si="4"/>
        <v>30.62</v>
      </c>
      <c r="H22" s="87">
        <f t="shared" si="4"/>
        <v>30.62</v>
      </c>
      <c r="I22" s="87">
        <f t="shared" si="4"/>
        <v>30.62</v>
      </c>
      <c r="J22" s="87">
        <f t="shared" si="4"/>
        <v>30.62</v>
      </c>
      <c r="K22" s="87">
        <f t="shared" si="4"/>
        <v>30.62</v>
      </c>
      <c r="L22" s="87">
        <f t="shared" si="4"/>
        <v>30.62</v>
      </c>
      <c r="M22" s="87">
        <f t="shared" si="4"/>
        <v>30.62</v>
      </c>
      <c r="N22" s="87">
        <f t="shared" si="4"/>
        <v>30.62</v>
      </c>
      <c r="O22" s="87">
        <f t="shared" si="4"/>
        <v>30.62</v>
      </c>
      <c r="P22" s="87">
        <f t="shared" si="4"/>
        <v>30.62</v>
      </c>
      <c r="Q22" s="87">
        <f t="shared" si="4"/>
        <v>30.62</v>
      </c>
      <c r="R22" s="87">
        <f t="shared" si="4"/>
        <v>30.62</v>
      </c>
      <c r="S22" s="87">
        <f t="shared" si="4"/>
        <v>30.62</v>
      </c>
      <c r="T22" s="87">
        <f t="shared" si="5"/>
        <v>30.62</v>
      </c>
      <c r="U22" s="87">
        <f t="shared" si="5"/>
        <v>30.62</v>
      </c>
      <c r="V22" s="87">
        <f t="shared" si="5"/>
        <v>30.62</v>
      </c>
      <c r="W22" s="87">
        <f t="shared" si="5"/>
        <v>30.62</v>
      </c>
      <c r="X22" s="87">
        <f t="shared" si="5"/>
        <v>30.62</v>
      </c>
      <c r="Y22" s="87">
        <f t="shared" si="5"/>
        <v>30.62</v>
      </c>
      <c r="Z22" s="87">
        <f t="shared" si="5"/>
        <v>30.62</v>
      </c>
      <c r="AA22" s="87">
        <f t="shared" si="5"/>
        <v>30.62</v>
      </c>
      <c r="AB22" s="87">
        <f t="shared" si="5"/>
        <v>30.62</v>
      </c>
      <c r="AC22" s="87">
        <f t="shared" si="5"/>
        <v>30.62</v>
      </c>
      <c r="AD22" s="87">
        <f t="shared" si="5"/>
        <v>30.62</v>
      </c>
      <c r="AE22" s="87">
        <f t="shared" si="5"/>
        <v>30.62</v>
      </c>
      <c r="AF22" s="77" t="s">
        <v>465</v>
      </c>
    </row>
    <row r="23" spans="2:32">
      <c r="B23" s="85" t="s">
        <v>137</v>
      </c>
      <c r="C23" s="86">
        <v>20</v>
      </c>
      <c r="D23" s="87">
        <f t="shared" si="4"/>
        <v>20</v>
      </c>
      <c r="E23" s="87">
        <f t="shared" si="4"/>
        <v>20</v>
      </c>
      <c r="F23" s="87">
        <f t="shared" si="4"/>
        <v>20</v>
      </c>
      <c r="G23" s="87">
        <f t="shared" si="4"/>
        <v>20</v>
      </c>
      <c r="H23" s="87">
        <f t="shared" si="4"/>
        <v>20</v>
      </c>
      <c r="I23" s="87">
        <f t="shared" si="4"/>
        <v>20</v>
      </c>
      <c r="J23" s="87">
        <f t="shared" si="4"/>
        <v>20</v>
      </c>
      <c r="K23" s="87">
        <f t="shared" si="4"/>
        <v>20</v>
      </c>
      <c r="L23" s="87">
        <f t="shared" si="4"/>
        <v>20</v>
      </c>
      <c r="M23" s="87">
        <f t="shared" si="4"/>
        <v>20</v>
      </c>
      <c r="N23" s="87">
        <f t="shared" si="4"/>
        <v>20</v>
      </c>
      <c r="O23" s="87">
        <f t="shared" si="4"/>
        <v>20</v>
      </c>
      <c r="P23" s="87">
        <f t="shared" si="4"/>
        <v>20</v>
      </c>
      <c r="Q23" s="87">
        <f t="shared" si="4"/>
        <v>20</v>
      </c>
      <c r="R23" s="87">
        <f t="shared" si="4"/>
        <v>20</v>
      </c>
      <c r="S23" s="87">
        <f t="shared" si="4"/>
        <v>20</v>
      </c>
      <c r="T23" s="87">
        <f t="shared" si="5"/>
        <v>20</v>
      </c>
      <c r="U23" s="87">
        <f t="shared" si="5"/>
        <v>20</v>
      </c>
      <c r="V23" s="87">
        <f t="shared" si="5"/>
        <v>20</v>
      </c>
      <c r="W23" s="87">
        <f t="shared" si="5"/>
        <v>20</v>
      </c>
      <c r="X23" s="87">
        <f t="shared" si="5"/>
        <v>20</v>
      </c>
      <c r="Y23" s="87">
        <f t="shared" si="5"/>
        <v>20</v>
      </c>
      <c r="Z23" s="87">
        <f t="shared" si="5"/>
        <v>20</v>
      </c>
      <c r="AA23" s="87">
        <f t="shared" si="5"/>
        <v>20</v>
      </c>
      <c r="AB23" s="87">
        <f t="shared" si="5"/>
        <v>20</v>
      </c>
      <c r="AC23" s="87">
        <f t="shared" si="5"/>
        <v>20</v>
      </c>
      <c r="AD23" s="87">
        <f t="shared" si="5"/>
        <v>20</v>
      </c>
      <c r="AE23" s="87">
        <f t="shared" si="5"/>
        <v>20</v>
      </c>
      <c r="AF23" s="77" t="s">
        <v>465</v>
      </c>
    </row>
    <row r="24" spans="2:32">
      <c r="B24" s="85" t="s">
        <v>138</v>
      </c>
      <c r="C24" s="86">
        <v>20</v>
      </c>
      <c r="D24" s="87">
        <f t="shared" si="4"/>
        <v>20</v>
      </c>
      <c r="E24" s="87">
        <f t="shared" si="4"/>
        <v>20</v>
      </c>
      <c r="F24" s="87">
        <f t="shared" si="4"/>
        <v>20</v>
      </c>
      <c r="G24" s="87">
        <f t="shared" si="4"/>
        <v>20</v>
      </c>
      <c r="H24" s="87">
        <f t="shared" si="4"/>
        <v>20</v>
      </c>
      <c r="I24" s="87">
        <f t="shared" si="4"/>
        <v>20</v>
      </c>
      <c r="J24" s="87">
        <f t="shared" si="4"/>
        <v>20</v>
      </c>
      <c r="K24" s="87">
        <f t="shared" si="4"/>
        <v>20</v>
      </c>
      <c r="L24" s="87">
        <f t="shared" si="4"/>
        <v>20</v>
      </c>
      <c r="M24" s="87">
        <f t="shared" si="4"/>
        <v>20</v>
      </c>
      <c r="N24" s="87">
        <f t="shared" si="4"/>
        <v>20</v>
      </c>
      <c r="O24" s="87">
        <f t="shared" si="4"/>
        <v>20</v>
      </c>
      <c r="P24" s="87">
        <f t="shared" si="4"/>
        <v>20</v>
      </c>
      <c r="Q24" s="87">
        <f t="shared" si="4"/>
        <v>20</v>
      </c>
      <c r="R24" s="87">
        <f t="shared" si="4"/>
        <v>20</v>
      </c>
      <c r="S24" s="87">
        <f t="shared" si="4"/>
        <v>20</v>
      </c>
      <c r="T24" s="87">
        <f t="shared" si="5"/>
        <v>20</v>
      </c>
      <c r="U24" s="87">
        <f t="shared" si="5"/>
        <v>20</v>
      </c>
      <c r="V24" s="87">
        <f t="shared" si="5"/>
        <v>20</v>
      </c>
      <c r="W24" s="87">
        <f t="shared" si="5"/>
        <v>20</v>
      </c>
      <c r="X24" s="87">
        <f t="shared" si="5"/>
        <v>20</v>
      </c>
      <c r="Y24" s="87">
        <f t="shared" si="5"/>
        <v>20</v>
      </c>
      <c r="Z24" s="87">
        <f t="shared" si="5"/>
        <v>20</v>
      </c>
      <c r="AA24" s="87">
        <f t="shared" si="5"/>
        <v>20</v>
      </c>
      <c r="AB24" s="87">
        <f t="shared" si="5"/>
        <v>20</v>
      </c>
      <c r="AC24" s="87">
        <f t="shared" si="5"/>
        <v>20</v>
      </c>
      <c r="AD24" s="87">
        <f t="shared" si="5"/>
        <v>20</v>
      </c>
      <c r="AE24" s="87">
        <f t="shared" si="5"/>
        <v>20</v>
      </c>
      <c r="AF24" s="77" t="s">
        <v>465</v>
      </c>
    </row>
    <row r="25" spans="2:32">
      <c r="B25" s="85" t="s">
        <v>139</v>
      </c>
      <c r="C25" s="86">
        <v>15</v>
      </c>
      <c r="D25" s="87">
        <f t="shared" si="4"/>
        <v>15</v>
      </c>
      <c r="E25" s="87">
        <f t="shared" si="4"/>
        <v>15</v>
      </c>
      <c r="F25" s="87">
        <f t="shared" si="4"/>
        <v>15</v>
      </c>
      <c r="G25" s="87">
        <f t="shared" si="4"/>
        <v>15</v>
      </c>
      <c r="H25" s="87">
        <f t="shared" si="4"/>
        <v>15</v>
      </c>
      <c r="I25" s="87">
        <f t="shared" si="4"/>
        <v>15</v>
      </c>
      <c r="J25" s="87">
        <f t="shared" si="4"/>
        <v>15</v>
      </c>
      <c r="K25" s="87">
        <f t="shared" si="4"/>
        <v>15</v>
      </c>
      <c r="L25" s="87">
        <f t="shared" si="4"/>
        <v>15</v>
      </c>
      <c r="M25" s="87">
        <f t="shared" si="4"/>
        <v>15</v>
      </c>
      <c r="N25" s="87">
        <f t="shared" si="4"/>
        <v>15</v>
      </c>
      <c r="O25" s="87">
        <f t="shared" si="4"/>
        <v>15</v>
      </c>
      <c r="P25" s="87">
        <f t="shared" si="4"/>
        <v>15</v>
      </c>
      <c r="Q25" s="87">
        <f t="shared" si="4"/>
        <v>15</v>
      </c>
      <c r="R25" s="87">
        <f t="shared" si="4"/>
        <v>15</v>
      </c>
      <c r="S25" s="87">
        <f t="shared" si="4"/>
        <v>15</v>
      </c>
      <c r="T25" s="87">
        <f t="shared" si="5"/>
        <v>15</v>
      </c>
      <c r="U25" s="87">
        <f t="shared" si="5"/>
        <v>15</v>
      </c>
      <c r="V25" s="87">
        <f t="shared" si="5"/>
        <v>15</v>
      </c>
      <c r="W25" s="87">
        <f t="shared" si="5"/>
        <v>15</v>
      </c>
      <c r="X25" s="87">
        <f t="shared" si="5"/>
        <v>15</v>
      </c>
      <c r="Y25" s="87">
        <f t="shared" si="5"/>
        <v>15</v>
      </c>
      <c r="Z25" s="87">
        <f t="shared" si="5"/>
        <v>15</v>
      </c>
      <c r="AA25" s="87">
        <f t="shared" si="5"/>
        <v>15</v>
      </c>
      <c r="AB25" s="87">
        <f t="shared" si="5"/>
        <v>15</v>
      </c>
      <c r="AC25" s="87">
        <f t="shared" si="5"/>
        <v>15</v>
      </c>
      <c r="AD25" s="87">
        <f t="shared" si="5"/>
        <v>15</v>
      </c>
      <c r="AE25" s="87">
        <f t="shared" si="5"/>
        <v>15</v>
      </c>
      <c r="AF25" s="77" t="s">
        <v>465</v>
      </c>
    </row>
    <row r="26" spans="2:32">
      <c r="B26" s="85" t="s">
        <v>140</v>
      </c>
      <c r="C26" s="86">
        <v>20</v>
      </c>
      <c r="D26" s="87">
        <f t="shared" si="4"/>
        <v>20</v>
      </c>
      <c r="E26" s="87">
        <f t="shared" si="4"/>
        <v>20</v>
      </c>
      <c r="F26" s="87">
        <f t="shared" si="4"/>
        <v>20</v>
      </c>
      <c r="G26" s="87">
        <f t="shared" si="4"/>
        <v>20</v>
      </c>
      <c r="H26" s="87">
        <f t="shared" si="4"/>
        <v>20</v>
      </c>
      <c r="I26" s="87">
        <f t="shared" si="4"/>
        <v>20</v>
      </c>
      <c r="J26" s="87">
        <f t="shared" si="4"/>
        <v>20</v>
      </c>
      <c r="K26" s="87">
        <f t="shared" si="4"/>
        <v>20</v>
      </c>
      <c r="L26" s="87">
        <f t="shared" si="4"/>
        <v>20</v>
      </c>
      <c r="M26" s="87">
        <f t="shared" si="4"/>
        <v>20</v>
      </c>
      <c r="N26" s="87">
        <f t="shared" si="4"/>
        <v>20</v>
      </c>
      <c r="O26" s="87">
        <f t="shared" si="4"/>
        <v>20</v>
      </c>
      <c r="P26" s="87">
        <f t="shared" si="4"/>
        <v>20</v>
      </c>
      <c r="Q26" s="87">
        <f t="shared" si="4"/>
        <v>20</v>
      </c>
      <c r="R26" s="87">
        <f t="shared" si="4"/>
        <v>20</v>
      </c>
      <c r="S26" s="87">
        <f t="shared" si="4"/>
        <v>20</v>
      </c>
      <c r="T26" s="87">
        <f t="shared" si="5"/>
        <v>20</v>
      </c>
      <c r="U26" s="87">
        <f t="shared" si="5"/>
        <v>20</v>
      </c>
      <c r="V26" s="87">
        <f t="shared" si="5"/>
        <v>20</v>
      </c>
      <c r="W26" s="87">
        <f t="shared" si="5"/>
        <v>20</v>
      </c>
      <c r="X26" s="87">
        <f t="shared" si="5"/>
        <v>20</v>
      </c>
      <c r="Y26" s="87">
        <f t="shared" si="5"/>
        <v>20</v>
      </c>
      <c r="Z26" s="87">
        <f t="shared" si="5"/>
        <v>20</v>
      </c>
      <c r="AA26" s="87">
        <f t="shared" si="5"/>
        <v>20</v>
      </c>
      <c r="AB26" s="87">
        <f t="shared" si="5"/>
        <v>20</v>
      </c>
      <c r="AC26" s="87">
        <f t="shared" si="5"/>
        <v>20</v>
      </c>
      <c r="AD26" s="87">
        <f t="shared" si="5"/>
        <v>20</v>
      </c>
      <c r="AE26" s="87">
        <f t="shared" si="5"/>
        <v>20</v>
      </c>
      <c r="AF26" s="77" t="s">
        <v>465</v>
      </c>
    </row>
    <row r="27" spans="2:32">
      <c r="B27" s="85" t="s">
        <v>141</v>
      </c>
      <c r="C27" s="86">
        <v>24</v>
      </c>
      <c r="D27" s="87">
        <v>24</v>
      </c>
      <c r="E27" s="87">
        <v>24</v>
      </c>
      <c r="F27" s="87">
        <v>24</v>
      </c>
      <c r="G27" s="87">
        <v>24</v>
      </c>
      <c r="H27" s="87">
        <v>24</v>
      </c>
      <c r="I27" s="87">
        <v>24</v>
      </c>
      <c r="J27" s="87">
        <v>24</v>
      </c>
      <c r="K27" s="87">
        <v>24</v>
      </c>
      <c r="L27" s="87">
        <v>24</v>
      </c>
      <c r="M27" s="87">
        <v>24</v>
      </c>
      <c r="N27" s="87">
        <v>24</v>
      </c>
      <c r="O27" s="87">
        <v>24</v>
      </c>
      <c r="P27" s="87">
        <v>24</v>
      </c>
      <c r="Q27" s="87">
        <v>24</v>
      </c>
      <c r="R27" s="87">
        <v>24</v>
      </c>
      <c r="S27" s="87">
        <v>24</v>
      </c>
      <c r="T27" s="87">
        <v>24</v>
      </c>
      <c r="U27" s="87">
        <v>24</v>
      </c>
      <c r="V27" s="87">
        <v>24</v>
      </c>
      <c r="W27" s="87">
        <v>24</v>
      </c>
      <c r="X27" s="87">
        <v>24</v>
      </c>
      <c r="Y27" s="87">
        <v>24</v>
      </c>
      <c r="Z27" s="87">
        <v>24</v>
      </c>
      <c r="AA27" s="87">
        <v>24</v>
      </c>
      <c r="AB27" s="87">
        <v>24</v>
      </c>
      <c r="AC27" s="87">
        <v>24</v>
      </c>
      <c r="AD27" s="87">
        <v>24</v>
      </c>
      <c r="AE27" s="87">
        <v>24</v>
      </c>
      <c r="AF27" s="77" t="s">
        <v>609</v>
      </c>
    </row>
    <row r="28" spans="2:32">
      <c r="B28" s="85" t="s">
        <v>142</v>
      </c>
      <c r="C28" s="86">
        <v>30</v>
      </c>
      <c r="D28" s="87">
        <f t="shared" ref="D28:S29" si="6">C28</f>
        <v>30</v>
      </c>
      <c r="E28" s="87">
        <f t="shared" si="6"/>
        <v>30</v>
      </c>
      <c r="F28" s="87">
        <f t="shared" si="6"/>
        <v>30</v>
      </c>
      <c r="G28" s="87">
        <f t="shared" si="6"/>
        <v>30</v>
      </c>
      <c r="H28" s="87">
        <f t="shared" si="6"/>
        <v>30</v>
      </c>
      <c r="I28" s="87">
        <f t="shared" si="6"/>
        <v>30</v>
      </c>
      <c r="J28" s="87">
        <f t="shared" si="6"/>
        <v>30</v>
      </c>
      <c r="K28" s="87">
        <f t="shared" si="6"/>
        <v>30</v>
      </c>
      <c r="L28" s="87">
        <f t="shared" si="6"/>
        <v>30</v>
      </c>
      <c r="M28" s="87">
        <f t="shared" si="6"/>
        <v>30</v>
      </c>
      <c r="N28" s="87">
        <f t="shared" si="6"/>
        <v>30</v>
      </c>
      <c r="O28" s="87">
        <f t="shared" si="6"/>
        <v>30</v>
      </c>
      <c r="P28" s="87">
        <f t="shared" si="6"/>
        <v>30</v>
      </c>
      <c r="Q28" s="87">
        <f t="shared" si="6"/>
        <v>30</v>
      </c>
      <c r="R28" s="87">
        <f t="shared" si="6"/>
        <v>30</v>
      </c>
      <c r="S28" s="87">
        <f t="shared" si="6"/>
        <v>30</v>
      </c>
      <c r="T28" s="87">
        <f t="shared" ref="T28:AE29" si="7">S28</f>
        <v>30</v>
      </c>
      <c r="U28" s="87">
        <f t="shared" si="7"/>
        <v>30</v>
      </c>
      <c r="V28" s="87">
        <f t="shared" si="7"/>
        <v>30</v>
      </c>
      <c r="W28" s="87">
        <f t="shared" si="7"/>
        <v>30</v>
      </c>
      <c r="X28" s="87">
        <f t="shared" si="7"/>
        <v>30</v>
      </c>
      <c r="Y28" s="87">
        <f t="shared" si="7"/>
        <v>30</v>
      </c>
      <c r="Z28" s="87">
        <f t="shared" si="7"/>
        <v>30</v>
      </c>
      <c r="AA28" s="87">
        <f t="shared" si="7"/>
        <v>30</v>
      </c>
      <c r="AB28" s="87">
        <f t="shared" si="7"/>
        <v>30</v>
      </c>
      <c r="AC28" s="87">
        <f t="shared" si="7"/>
        <v>30</v>
      </c>
      <c r="AD28" s="87">
        <f t="shared" si="7"/>
        <v>30</v>
      </c>
      <c r="AE28" s="87">
        <f t="shared" si="7"/>
        <v>30</v>
      </c>
      <c r="AF28" s="77" t="s">
        <v>465</v>
      </c>
    </row>
    <row r="29" spans="2:32" ht="14.25" customHeight="1">
      <c r="B29" s="85" t="s">
        <v>143</v>
      </c>
      <c r="C29" s="86">
        <v>32</v>
      </c>
      <c r="D29" s="87">
        <f t="shared" si="6"/>
        <v>32</v>
      </c>
      <c r="E29" s="87">
        <f t="shared" si="6"/>
        <v>32</v>
      </c>
      <c r="F29" s="87">
        <f t="shared" si="6"/>
        <v>32</v>
      </c>
      <c r="G29" s="87">
        <f t="shared" si="6"/>
        <v>32</v>
      </c>
      <c r="H29" s="87">
        <f t="shared" si="6"/>
        <v>32</v>
      </c>
      <c r="I29" s="87">
        <f t="shared" si="6"/>
        <v>32</v>
      </c>
      <c r="J29" s="87">
        <f t="shared" si="6"/>
        <v>32</v>
      </c>
      <c r="K29" s="87">
        <f t="shared" si="6"/>
        <v>32</v>
      </c>
      <c r="L29" s="87">
        <f t="shared" si="6"/>
        <v>32</v>
      </c>
      <c r="M29" s="87">
        <f t="shared" si="6"/>
        <v>32</v>
      </c>
      <c r="N29" s="87">
        <f t="shared" si="6"/>
        <v>32</v>
      </c>
      <c r="O29" s="87">
        <f t="shared" si="6"/>
        <v>32</v>
      </c>
      <c r="P29" s="87">
        <f t="shared" si="6"/>
        <v>32</v>
      </c>
      <c r="Q29" s="87">
        <f t="shared" si="6"/>
        <v>32</v>
      </c>
      <c r="R29" s="87">
        <f t="shared" si="6"/>
        <v>32</v>
      </c>
      <c r="S29" s="87">
        <f t="shared" si="6"/>
        <v>32</v>
      </c>
      <c r="T29" s="87">
        <f t="shared" si="7"/>
        <v>32</v>
      </c>
      <c r="U29" s="87">
        <f t="shared" si="7"/>
        <v>32</v>
      </c>
      <c r="V29" s="87">
        <f t="shared" si="7"/>
        <v>32</v>
      </c>
      <c r="W29" s="87">
        <f t="shared" si="7"/>
        <v>32</v>
      </c>
      <c r="X29" s="87">
        <f t="shared" si="7"/>
        <v>32</v>
      </c>
      <c r="Y29" s="87">
        <f t="shared" si="7"/>
        <v>32</v>
      </c>
      <c r="Z29" s="87">
        <f t="shared" si="7"/>
        <v>32</v>
      </c>
      <c r="AA29" s="87">
        <f t="shared" si="7"/>
        <v>32</v>
      </c>
      <c r="AB29" s="87">
        <f t="shared" si="7"/>
        <v>32</v>
      </c>
      <c r="AC29" s="87">
        <f t="shared" si="7"/>
        <v>32</v>
      </c>
      <c r="AD29" s="87">
        <f t="shared" si="7"/>
        <v>32</v>
      </c>
      <c r="AE29" s="87">
        <f t="shared" si="7"/>
        <v>32</v>
      </c>
      <c r="AF29" s="77" t="s">
        <v>465</v>
      </c>
    </row>
    <row r="30" spans="2:32">
      <c r="B30" s="85" t="s">
        <v>144</v>
      </c>
      <c r="C30" s="86">
        <v>28.000000000000004</v>
      </c>
      <c r="D30" s="87">
        <v>28.000000000000004</v>
      </c>
      <c r="E30" s="87">
        <v>28.000000000000004</v>
      </c>
      <c r="F30" s="87">
        <v>28.000000000000004</v>
      </c>
      <c r="G30" s="87">
        <v>28.000000000000004</v>
      </c>
      <c r="H30" s="87">
        <v>28.000000000000004</v>
      </c>
      <c r="I30" s="87">
        <v>28.000000000000004</v>
      </c>
      <c r="J30" s="87">
        <v>28.000000000000004</v>
      </c>
      <c r="K30" s="87">
        <v>28.000000000000004</v>
      </c>
      <c r="L30" s="87">
        <v>28.000000000000004</v>
      </c>
      <c r="M30" s="87">
        <v>28.000000000000004</v>
      </c>
      <c r="N30" s="87">
        <v>28.000000000000004</v>
      </c>
      <c r="O30" s="87">
        <v>28.000000000000004</v>
      </c>
      <c r="P30" s="87">
        <v>28.000000000000004</v>
      </c>
      <c r="Q30" s="87">
        <v>28.000000000000004</v>
      </c>
      <c r="R30" s="87">
        <v>28.000000000000004</v>
      </c>
      <c r="S30" s="87">
        <v>28.000000000000004</v>
      </c>
      <c r="T30" s="87">
        <v>28.000000000000004</v>
      </c>
      <c r="U30" s="87">
        <v>28.000000000000004</v>
      </c>
      <c r="V30" s="87">
        <v>28.000000000000004</v>
      </c>
      <c r="W30" s="87">
        <v>28.000000000000004</v>
      </c>
      <c r="X30" s="87">
        <v>28.000000000000004</v>
      </c>
      <c r="Y30" s="87">
        <v>28.000000000000004</v>
      </c>
      <c r="Z30" s="87">
        <v>28.000000000000004</v>
      </c>
      <c r="AA30" s="87">
        <v>28.000000000000004</v>
      </c>
      <c r="AB30" s="87">
        <v>28.000000000000004</v>
      </c>
      <c r="AC30" s="87">
        <v>28.000000000000004</v>
      </c>
      <c r="AD30" s="87">
        <v>28.000000000000004</v>
      </c>
      <c r="AE30" s="87">
        <v>28.000000000000004</v>
      </c>
      <c r="AF30" s="77" t="s">
        <v>609</v>
      </c>
    </row>
    <row r="31" spans="2:32">
      <c r="B31" s="85" t="s">
        <v>145</v>
      </c>
      <c r="C31" s="86">
        <v>30</v>
      </c>
      <c r="D31" s="87">
        <f t="shared" ref="D31:S34" si="8">C31</f>
        <v>30</v>
      </c>
      <c r="E31" s="87">
        <f t="shared" si="8"/>
        <v>30</v>
      </c>
      <c r="F31" s="87">
        <f t="shared" si="8"/>
        <v>30</v>
      </c>
      <c r="G31" s="87">
        <f t="shared" si="8"/>
        <v>30</v>
      </c>
      <c r="H31" s="87">
        <f t="shared" si="8"/>
        <v>30</v>
      </c>
      <c r="I31" s="87">
        <f t="shared" si="8"/>
        <v>30</v>
      </c>
      <c r="J31" s="87">
        <f t="shared" si="8"/>
        <v>30</v>
      </c>
      <c r="K31" s="87">
        <f t="shared" si="8"/>
        <v>30</v>
      </c>
      <c r="L31" s="87">
        <f t="shared" si="8"/>
        <v>30</v>
      </c>
      <c r="M31" s="87">
        <f t="shared" si="8"/>
        <v>30</v>
      </c>
      <c r="N31" s="87">
        <f t="shared" si="8"/>
        <v>30</v>
      </c>
      <c r="O31" s="87">
        <f t="shared" si="8"/>
        <v>30</v>
      </c>
      <c r="P31" s="87">
        <f t="shared" si="8"/>
        <v>30</v>
      </c>
      <c r="Q31" s="87">
        <f t="shared" si="8"/>
        <v>30</v>
      </c>
      <c r="R31" s="87">
        <f t="shared" si="8"/>
        <v>30</v>
      </c>
      <c r="S31" s="87">
        <f t="shared" si="8"/>
        <v>30</v>
      </c>
      <c r="T31" s="87">
        <f t="shared" ref="T31:AE34" si="9">S31</f>
        <v>30</v>
      </c>
      <c r="U31" s="87">
        <f t="shared" si="9"/>
        <v>30</v>
      </c>
      <c r="V31" s="87">
        <f t="shared" si="9"/>
        <v>30</v>
      </c>
      <c r="W31" s="87">
        <f t="shared" si="9"/>
        <v>30</v>
      </c>
      <c r="X31" s="87">
        <f t="shared" si="9"/>
        <v>30</v>
      </c>
      <c r="Y31" s="87">
        <f t="shared" si="9"/>
        <v>30</v>
      </c>
      <c r="Z31" s="87">
        <f t="shared" si="9"/>
        <v>30</v>
      </c>
      <c r="AA31" s="87">
        <f t="shared" si="9"/>
        <v>30</v>
      </c>
      <c r="AB31" s="87">
        <f t="shared" si="9"/>
        <v>30</v>
      </c>
      <c r="AC31" s="87">
        <f t="shared" si="9"/>
        <v>30</v>
      </c>
      <c r="AD31" s="87">
        <f t="shared" si="9"/>
        <v>30</v>
      </c>
      <c r="AE31" s="87">
        <f t="shared" si="9"/>
        <v>30</v>
      </c>
      <c r="AF31" s="77" t="s">
        <v>465</v>
      </c>
    </row>
    <row r="32" spans="2:32">
      <c r="B32" s="85" t="s">
        <v>146</v>
      </c>
      <c r="C32" s="86">
        <v>22</v>
      </c>
      <c r="D32" s="87">
        <f t="shared" si="8"/>
        <v>22</v>
      </c>
      <c r="E32" s="87">
        <f t="shared" si="8"/>
        <v>22</v>
      </c>
      <c r="F32" s="87">
        <f t="shared" si="8"/>
        <v>22</v>
      </c>
      <c r="G32" s="87">
        <f t="shared" si="8"/>
        <v>22</v>
      </c>
      <c r="H32" s="87">
        <f t="shared" si="8"/>
        <v>22</v>
      </c>
      <c r="I32" s="87">
        <f t="shared" si="8"/>
        <v>22</v>
      </c>
      <c r="J32" s="87">
        <f t="shared" si="8"/>
        <v>22</v>
      </c>
      <c r="K32" s="87">
        <f t="shared" si="8"/>
        <v>22</v>
      </c>
      <c r="L32" s="87">
        <f t="shared" si="8"/>
        <v>22</v>
      </c>
      <c r="M32" s="87">
        <f t="shared" si="8"/>
        <v>22</v>
      </c>
      <c r="N32" s="87">
        <f t="shared" si="8"/>
        <v>22</v>
      </c>
      <c r="O32" s="87">
        <f t="shared" si="8"/>
        <v>22</v>
      </c>
      <c r="P32" s="87">
        <f t="shared" si="8"/>
        <v>22</v>
      </c>
      <c r="Q32" s="87">
        <f t="shared" si="8"/>
        <v>22</v>
      </c>
      <c r="R32" s="87">
        <f t="shared" si="8"/>
        <v>22</v>
      </c>
      <c r="S32" s="87">
        <f t="shared" si="8"/>
        <v>22</v>
      </c>
      <c r="T32" s="87">
        <f t="shared" si="9"/>
        <v>22</v>
      </c>
      <c r="U32" s="87">
        <f t="shared" si="9"/>
        <v>22</v>
      </c>
      <c r="V32" s="87">
        <f t="shared" si="9"/>
        <v>22</v>
      </c>
      <c r="W32" s="87">
        <f t="shared" si="9"/>
        <v>22</v>
      </c>
      <c r="X32" s="87">
        <f t="shared" si="9"/>
        <v>22</v>
      </c>
      <c r="Y32" s="87">
        <f t="shared" si="9"/>
        <v>22</v>
      </c>
      <c r="Z32" s="87">
        <f t="shared" si="9"/>
        <v>22</v>
      </c>
      <c r="AA32" s="87">
        <f t="shared" si="9"/>
        <v>22</v>
      </c>
      <c r="AB32" s="87">
        <f t="shared" si="9"/>
        <v>22</v>
      </c>
      <c r="AC32" s="87">
        <f t="shared" si="9"/>
        <v>22</v>
      </c>
      <c r="AD32" s="87">
        <f t="shared" si="9"/>
        <v>22</v>
      </c>
      <c r="AE32" s="87">
        <f t="shared" si="9"/>
        <v>22</v>
      </c>
      <c r="AF32" s="77" t="s">
        <v>465</v>
      </c>
    </row>
    <row r="33" spans="2:32">
      <c r="B33" s="85" t="s">
        <v>147</v>
      </c>
      <c r="C33" s="86">
        <v>15</v>
      </c>
      <c r="D33" s="87">
        <f t="shared" si="8"/>
        <v>15</v>
      </c>
      <c r="E33" s="87">
        <f t="shared" si="8"/>
        <v>15</v>
      </c>
      <c r="F33" s="87">
        <f t="shared" si="8"/>
        <v>15</v>
      </c>
      <c r="G33" s="87">
        <f t="shared" si="8"/>
        <v>15</v>
      </c>
      <c r="H33" s="87">
        <f t="shared" si="8"/>
        <v>15</v>
      </c>
      <c r="I33" s="87">
        <f t="shared" si="8"/>
        <v>15</v>
      </c>
      <c r="J33" s="87">
        <f t="shared" si="8"/>
        <v>15</v>
      </c>
      <c r="K33" s="87">
        <f t="shared" si="8"/>
        <v>15</v>
      </c>
      <c r="L33" s="87">
        <f t="shared" si="8"/>
        <v>15</v>
      </c>
      <c r="M33" s="87">
        <f t="shared" si="8"/>
        <v>15</v>
      </c>
      <c r="N33" s="87">
        <f t="shared" si="8"/>
        <v>15</v>
      </c>
      <c r="O33" s="87">
        <f t="shared" si="8"/>
        <v>15</v>
      </c>
      <c r="P33" s="87">
        <f t="shared" si="8"/>
        <v>15</v>
      </c>
      <c r="Q33" s="87">
        <f t="shared" si="8"/>
        <v>15</v>
      </c>
      <c r="R33" s="87">
        <f t="shared" si="8"/>
        <v>15</v>
      </c>
      <c r="S33" s="87">
        <f t="shared" si="8"/>
        <v>15</v>
      </c>
      <c r="T33" s="87">
        <f t="shared" si="9"/>
        <v>15</v>
      </c>
      <c r="U33" s="87">
        <f t="shared" si="9"/>
        <v>15</v>
      </c>
      <c r="V33" s="87">
        <f t="shared" si="9"/>
        <v>15</v>
      </c>
      <c r="W33" s="87">
        <f t="shared" si="9"/>
        <v>15</v>
      </c>
      <c r="X33" s="87">
        <f t="shared" si="9"/>
        <v>15</v>
      </c>
      <c r="Y33" s="87">
        <f t="shared" si="9"/>
        <v>15</v>
      </c>
      <c r="Z33" s="87">
        <f t="shared" si="9"/>
        <v>15</v>
      </c>
      <c r="AA33" s="87">
        <f t="shared" si="9"/>
        <v>15</v>
      </c>
      <c r="AB33" s="87">
        <f t="shared" si="9"/>
        <v>15</v>
      </c>
      <c r="AC33" s="87">
        <f t="shared" si="9"/>
        <v>15</v>
      </c>
      <c r="AD33" s="87">
        <f t="shared" si="9"/>
        <v>15</v>
      </c>
      <c r="AE33" s="87">
        <f t="shared" si="9"/>
        <v>15</v>
      </c>
      <c r="AF33" s="77" t="s">
        <v>465</v>
      </c>
    </row>
    <row r="34" spans="2:32">
      <c r="B34" s="85" t="s">
        <v>148</v>
      </c>
      <c r="C34" s="86">
        <v>25</v>
      </c>
      <c r="D34" s="87">
        <f t="shared" si="8"/>
        <v>25</v>
      </c>
      <c r="E34" s="87">
        <f t="shared" si="8"/>
        <v>25</v>
      </c>
      <c r="F34" s="87">
        <f t="shared" si="8"/>
        <v>25</v>
      </c>
      <c r="G34" s="87">
        <f t="shared" si="8"/>
        <v>25</v>
      </c>
      <c r="H34" s="87">
        <f t="shared" si="8"/>
        <v>25</v>
      </c>
      <c r="I34" s="87">
        <f t="shared" si="8"/>
        <v>25</v>
      </c>
      <c r="J34" s="87">
        <f t="shared" si="8"/>
        <v>25</v>
      </c>
      <c r="K34" s="87">
        <f t="shared" si="8"/>
        <v>25</v>
      </c>
      <c r="L34" s="87">
        <f t="shared" si="8"/>
        <v>25</v>
      </c>
      <c r="M34" s="87">
        <f t="shared" si="8"/>
        <v>25</v>
      </c>
      <c r="N34" s="87">
        <f t="shared" si="8"/>
        <v>25</v>
      </c>
      <c r="O34" s="87">
        <f t="shared" si="8"/>
        <v>25</v>
      </c>
      <c r="P34" s="87">
        <f t="shared" si="8"/>
        <v>25</v>
      </c>
      <c r="Q34" s="87">
        <f t="shared" si="8"/>
        <v>25</v>
      </c>
      <c r="R34" s="87">
        <f t="shared" si="8"/>
        <v>25</v>
      </c>
      <c r="S34" s="87">
        <f t="shared" si="8"/>
        <v>25</v>
      </c>
      <c r="T34" s="87">
        <f t="shared" si="9"/>
        <v>25</v>
      </c>
      <c r="U34" s="87">
        <f t="shared" si="9"/>
        <v>25</v>
      </c>
      <c r="V34" s="87">
        <f t="shared" si="9"/>
        <v>25</v>
      </c>
      <c r="W34" s="87">
        <f t="shared" si="9"/>
        <v>25</v>
      </c>
      <c r="X34" s="87">
        <f t="shared" si="9"/>
        <v>25</v>
      </c>
      <c r="Y34" s="87">
        <f t="shared" si="9"/>
        <v>25</v>
      </c>
      <c r="Z34" s="87">
        <f t="shared" si="9"/>
        <v>25</v>
      </c>
      <c r="AA34" s="87">
        <f t="shared" si="9"/>
        <v>25</v>
      </c>
      <c r="AB34" s="87">
        <f t="shared" si="9"/>
        <v>25</v>
      </c>
      <c r="AC34" s="87">
        <f t="shared" si="9"/>
        <v>25</v>
      </c>
      <c r="AD34" s="87">
        <f t="shared" si="9"/>
        <v>25</v>
      </c>
      <c r="AE34" s="87">
        <f t="shared" si="9"/>
        <v>25</v>
      </c>
      <c r="AF34" s="77" t="s">
        <v>465</v>
      </c>
    </row>
    <row r="35" spans="2:32">
      <c r="B35" s="85" t="s">
        <v>149</v>
      </c>
      <c r="C35" s="86">
        <v>19</v>
      </c>
      <c r="D35" s="87">
        <v>19</v>
      </c>
      <c r="E35" s="87">
        <v>19</v>
      </c>
      <c r="F35" s="87">
        <v>19</v>
      </c>
      <c r="G35" s="87">
        <v>19</v>
      </c>
      <c r="H35" s="87">
        <v>19</v>
      </c>
      <c r="I35" s="87">
        <v>19</v>
      </c>
      <c r="J35" s="87">
        <v>19</v>
      </c>
      <c r="K35" s="87">
        <v>19</v>
      </c>
      <c r="L35" s="87">
        <v>19</v>
      </c>
      <c r="M35" s="87">
        <v>19</v>
      </c>
      <c r="N35" s="87">
        <v>19</v>
      </c>
      <c r="O35" s="87">
        <v>19</v>
      </c>
      <c r="P35" s="87">
        <v>19</v>
      </c>
      <c r="Q35" s="87">
        <v>19</v>
      </c>
      <c r="R35" s="87">
        <v>19</v>
      </c>
      <c r="S35" s="87">
        <v>19</v>
      </c>
      <c r="T35" s="87">
        <v>19</v>
      </c>
      <c r="U35" s="87">
        <v>19</v>
      </c>
      <c r="V35" s="87">
        <v>19</v>
      </c>
      <c r="W35" s="87">
        <v>19</v>
      </c>
      <c r="X35" s="87">
        <v>19</v>
      </c>
      <c r="Y35" s="87">
        <v>19</v>
      </c>
      <c r="Z35" s="87">
        <v>19</v>
      </c>
      <c r="AA35" s="87">
        <v>19</v>
      </c>
      <c r="AB35" s="87">
        <v>19</v>
      </c>
      <c r="AC35" s="87">
        <v>19</v>
      </c>
      <c r="AD35" s="87">
        <v>19</v>
      </c>
      <c r="AE35" s="87">
        <v>19</v>
      </c>
      <c r="AF35" s="77" t="s">
        <v>609</v>
      </c>
    </row>
    <row r="36" spans="2:32">
      <c r="B36" s="85" t="s">
        <v>150</v>
      </c>
      <c r="C36" s="86">
        <v>16</v>
      </c>
      <c r="D36" s="87">
        <f t="shared" ref="D36:S41" si="10">C36</f>
        <v>16</v>
      </c>
      <c r="E36" s="87">
        <f t="shared" si="10"/>
        <v>16</v>
      </c>
      <c r="F36" s="87">
        <f t="shared" si="10"/>
        <v>16</v>
      </c>
      <c r="G36" s="87">
        <f t="shared" si="10"/>
        <v>16</v>
      </c>
      <c r="H36" s="87">
        <f t="shared" si="10"/>
        <v>16</v>
      </c>
      <c r="I36" s="87">
        <f t="shared" si="10"/>
        <v>16</v>
      </c>
      <c r="J36" s="87">
        <f t="shared" si="10"/>
        <v>16</v>
      </c>
      <c r="K36" s="87">
        <f t="shared" si="10"/>
        <v>16</v>
      </c>
      <c r="L36" s="87">
        <f t="shared" si="10"/>
        <v>16</v>
      </c>
      <c r="M36" s="87">
        <f t="shared" si="10"/>
        <v>16</v>
      </c>
      <c r="N36" s="87">
        <f t="shared" si="10"/>
        <v>16</v>
      </c>
      <c r="O36" s="87">
        <f t="shared" si="10"/>
        <v>16</v>
      </c>
      <c r="P36" s="87">
        <f t="shared" si="10"/>
        <v>16</v>
      </c>
      <c r="Q36" s="87">
        <f t="shared" si="10"/>
        <v>16</v>
      </c>
      <c r="R36" s="87">
        <f t="shared" si="10"/>
        <v>16</v>
      </c>
      <c r="S36" s="87">
        <f t="shared" si="10"/>
        <v>16</v>
      </c>
      <c r="T36" s="87">
        <f t="shared" ref="T36:AE41" si="11">S36</f>
        <v>16</v>
      </c>
      <c r="U36" s="87">
        <f t="shared" si="11"/>
        <v>16</v>
      </c>
      <c r="V36" s="87">
        <f t="shared" si="11"/>
        <v>16</v>
      </c>
      <c r="W36" s="87">
        <f t="shared" si="11"/>
        <v>16</v>
      </c>
      <c r="X36" s="87">
        <f t="shared" si="11"/>
        <v>16</v>
      </c>
      <c r="Y36" s="87">
        <f t="shared" si="11"/>
        <v>16</v>
      </c>
      <c r="Z36" s="87">
        <f t="shared" si="11"/>
        <v>16</v>
      </c>
      <c r="AA36" s="87">
        <f t="shared" si="11"/>
        <v>16</v>
      </c>
      <c r="AB36" s="87">
        <f t="shared" si="11"/>
        <v>16</v>
      </c>
      <c r="AC36" s="87">
        <f t="shared" si="11"/>
        <v>16</v>
      </c>
      <c r="AD36" s="87">
        <f t="shared" si="11"/>
        <v>16</v>
      </c>
      <c r="AE36" s="87">
        <f t="shared" si="11"/>
        <v>16</v>
      </c>
      <c r="AF36" s="77" t="s">
        <v>465</v>
      </c>
    </row>
    <row r="37" spans="2:32">
      <c r="B37" s="85" t="s">
        <v>151</v>
      </c>
      <c r="C37" s="86">
        <v>20</v>
      </c>
      <c r="D37" s="87">
        <f t="shared" si="10"/>
        <v>20</v>
      </c>
      <c r="E37" s="87">
        <f t="shared" si="10"/>
        <v>20</v>
      </c>
      <c r="F37" s="87">
        <f t="shared" si="10"/>
        <v>20</v>
      </c>
      <c r="G37" s="87">
        <f t="shared" si="10"/>
        <v>20</v>
      </c>
      <c r="H37" s="87">
        <f t="shared" si="10"/>
        <v>20</v>
      </c>
      <c r="I37" s="87">
        <f t="shared" si="10"/>
        <v>20</v>
      </c>
      <c r="J37" s="87">
        <f t="shared" si="10"/>
        <v>20</v>
      </c>
      <c r="K37" s="87">
        <f t="shared" si="10"/>
        <v>20</v>
      </c>
      <c r="L37" s="87">
        <f t="shared" si="10"/>
        <v>20</v>
      </c>
      <c r="M37" s="87">
        <f t="shared" si="10"/>
        <v>20</v>
      </c>
      <c r="N37" s="87">
        <f t="shared" si="10"/>
        <v>20</v>
      </c>
      <c r="O37" s="87">
        <f t="shared" si="10"/>
        <v>20</v>
      </c>
      <c r="P37" s="87">
        <f t="shared" si="10"/>
        <v>20</v>
      </c>
      <c r="Q37" s="87">
        <f t="shared" si="10"/>
        <v>20</v>
      </c>
      <c r="R37" s="87">
        <f t="shared" si="10"/>
        <v>20</v>
      </c>
      <c r="S37" s="87">
        <f t="shared" si="10"/>
        <v>20</v>
      </c>
      <c r="T37" s="87">
        <f t="shared" si="11"/>
        <v>20</v>
      </c>
      <c r="U37" s="87">
        <f t="shared" si="11"/>
        <v>20</v>
      </c>
      <c r="V37" s="87">
        <f t="shared" si="11"/>
        <v>20</v>
      </c>
      <c r="W37" s="87">
        <f t="shared" si="11"/>
        <v>20</v>
      </c>
      <c r="X37" s="87">
        <f t="shared" si="11"/>
        <v>20</v>
      </c>
      <c r="Y37" s="87">
        <f t="shared" si="11"/>
        <v>20</v>
      </c>
      <c r="Z37" s="87">
        <f t="shared" si="11"/>
        <v>20</v>
      </c>
      <c r="AA37" s="87">
        <f t="shared" si="11"/>
        <v>20</v>
      </c>
      <c r="AB37" s="87">
        <f t="shared" si="11"/>
        <v>20</v>
      </c>
      <c r="AC37" s="87">
        <f t="shared" si="11"/>
        <v>20</v>
      </c>
      <c r="AD37" s="87">
        <f t="shared" si="11"/>
        <v>20</v>
      </c>
      <c r="AE37" s="87">
        <f t="shared" si="11"/>
        <v>20</v>
      </c>
      <c r="AF37" s="77" t="s">
        <v>465</v>
      </c>
    </row>
    <row r="38" spans="2:32">
      <c r="B38" s="85" t="s">
        <v>152</v>
      </c>
      <c r="C38" s="86">
        <v>20</v>
      </c>
      <c r="D38" s="87">
        <f t="shared" si="10"/>
        <v>20</v>
      </c>
      <c r="E38" s="87">
        <f t="shared" si="10"/>
        <v>20</v>
      </c>
      <c r="F38" s="87">
        <f t="shared" si="10"/>
        <v>20</v>
      </c>
      <c r="G38" s="87">
        <f t="shared" si="10"/>
        <v>20</v>
      </c>
      <c r="H38" s="87">
        <f t="shared" si="10"/>
        <v>20</v>
      </c>
      <c r="I38" s="87">
        <f t="shared" si="10"/>
        <v>20</v>
      </c>
      <c r="J38" s="87">
        <f t="shared" si="10"/>
        <v>20</v>
      </c>
      <c r="K38" s="87">
        <f t="shared" si="10"/>
        <v>20</v>
      </c>
      <c r="L38" s="87">
        <f t="shared" si="10"/>
        <v>20</v>
      </c>
      <c r="M38" s="87">
        <f t="shared" si="10"/>
        <v>20</v>
      </c>
      <c r="N38" s="87">
        <f t="shared" si="10"/>
        <v>20</v>
      </c>
      <c r="O38" s="87">
        <f t="shared" si="10"/>
        <v>20</v>
      </c>
      <c r="P38" s="87">
        <f t="shared" si="10"/>
        <v>20</v>
      </c>
      <c r="Q38" s="87">
        <f t="shared" si="10"/>
        <v>20</v>
      </c>
      <c r="R38" s="87">
        <f t="shared" si="10"/>
        <v>20</v>
      </c>
      <c r="S38" s="87">
        <f t="shared" si="10"/>
        <v>20</v>
      </c>
      <c r="T38" s="87">
        <f t="shared" si="11"/>
        <v>20</v>
      </c>
      <c r="U38" s="87">
        <f t="shared" si="11"/>
        <v>20</v>
      </c>
      <c r="V38" s="87">
        <f t="shared" si="11"/>
        <v>20</v>
      </c>
      <c r="W38" s="87">
        <f t="shared" si="11"/>
        <v>20</v>
      </c>
      <c r="X38" s="87">
        <f t="shared" si="11"/>
        <v>20</v>
      </c>
      <c r="Y38" s="87">
        <f t="shared" si="11"/>
        <v>20</v>
      </c>
      <c r="Z38" s="87">
        <f t="shared" si="11"/>
        <v>20</v>
      </c>
      <c r="AA38" s="87">
        <f t="shared" si="11"/>
        <v>20</v>
      </c>
      <c r="AB38" s="87">
        <f t="shared" si="11"/>
        <v>20</v>
      </c>
      <c r="AC38" s="87">
        <f t="shared" si="11"/>
        <v>20</v>
      </c>
      <c r="AD38" s="87">
        <f t="shared" si="11"/>
        <v>20</v>
      </c>
      <c r="AE38" s="87">
        <f t="shared" si="11"/>
        <v>20</v>
      </c>
      <c r="AF38" s="77" t="s">
        <v>465</v>
      </c>
    </row>
    <row r="39" spans="2:32">
      <c r="B39" s="85" t="s">
        <v>153</v>
      </c>
      <c r="C39" s="86">
        <v>17</v>
      </c>
      <c r="D39" s="87">
        <f t="shared" si="10"/>
        <v>17</v>
      </c>
      <c r="E39" s="87">
        <f t="shared" si="10"/>
        <v>17</v>
      </c>
      <c r="F39" s="87">
        <f t="shared" si="10"/>
        <v>17</v>
      </c>
      <c r="G39" s="87">
        <f t="shared" si="10"/>
        <v>17</v>
      </c>
      <c r="H39" s="87">
        <f t="shared" si="10"/>
        <v>17</v>
      </c>
      <c r="I39" s="87">
        <f t="shared" si="10"/>
        <v>17</v>
      </c>
      <c r="J39" s="87">
        <f t="shared" si="10"/>
        <v>17</v>
      </c>
      <c r="K39" s="87">
        <f t="shared" si="10"/>
        <v>17</v>
      </c>
      <c r="L39" s="87">
        <f t="shared" si="10"/>
        <v>17</v>
      </c>
      <c r="M39" s="87">
        <f t="shared" si="10"/>
        <v>17</v>
      </c>
      <c r="N39" s="87">
        <f t="shared" si="10"/>
        <v>17</v>
      </c>
      <c r="O39" s="87">
        <f t="shared" si="10"/>
        <v>17</v>
      </c>
      <c r="P39" s="87">
        <f t="shared" si="10"/>
        <v>17</v>
      </c>
      <c r="Q39" s="87">
        <f t="shared" si="10"/>
        <v>17</v>
      </c>
      <c r="R39" s="87">
        <f t="shared" si="10"/>
        <v>17</v>
      </c>
      <c r="S39" s="87">
        <f t="shared" si="10"/>
        <v>17</v>
      </c>
      <c r="T39" s="87">
        <f t="shared" si="11"/>
        <v>17</v>
      </c>
      <c r="U39" s="87">
        <f t="shared" si="11"/>
        <v>17</v>
      </c>
      <c r="V39" s="87">
        <f t="shared" si="11"/>
        <v>17</v>
      </c>
      <c r="W39" s="87">
        <f t="shared" si="11"/>
        <v>17</v>
      </c>
      <c r="X39" s="87">
        <f t="shared" si="11"/>
        <v>17</v>
      </c>
      <c r="Y39" s="87">
        <f t="shared" si="11"/>
        <v>17</v>
      </c>
      <c r="Z39" s="87">
        <f t="shared" si="11"/>
        <v>17</v>
      </c>
      <c r="AA39" s="87">
        <f t="shared" si="11"/>
        <v>17</v>
      </c>
      <c r="AB39" s="87">
        <f t="shared" si="11"/>
        <v>17</v>
      </c>
      <c r="AC39" s="87">
        <f t="shared" si="11"/>
        <v>17</v>
      </c>
      <c r="AD39" s="87">
        <f t="shared" si="11"/>
        <v>17</v>
      </c>
      <c r="AE39" s="87">
        <f t="shared" si="11"/>
        <v>17</v>
      </c>
      <c r="AF39" s="77" t="s">
        <v>465</v>
      </c>
    </row>
    <row r="40" spans="2:32">
      <c r="B40" s="85" t="s">
        <v>154</v>
      </c>
      <c r="C40" s="86">
        <v>28</v>
      </c>
      <c r="D40" s="87">
        <f t="shared" si="10"/>
        <v>28</v>
      </c>
      <c r="E40" s="87">
        <f t="shared" si="10"/>
        <v>28</v>
      </c>
      <c r="F40" s="87">
        <f t="shared" si="10"/>
        <v>28</v>
      </c>
      <c r="G40" s="87">
        <f t="shared" si="10"/>
        <v>28</v>
      </c>
      <c r="H40" s="87">
        <f t="shared" si="10"/>
        <v>28</v>
      </c>
      <c r="I40" s="87">
        <f t="shared" si="10"/>
        <v>28</v>
      </c>
      <c r="J40" s="87">
        <f t="shared" si="10"/>
        <v>28</v>
      </c>
      <c r="K40" s="87">
        <f t="shared" si="10"/>
        <v>28</v>
      </c>
      <c r="L40" s="87">
        <f t="shared" si="10"/>
        <v>28</v>
      </c>
      <c r="M40" s="87">
        <f t="shared" si="10"/>
        <v>28</v>
      </c>
      <c r="N40" s="87">
        <f t="shared" si="10"/>
        <v>28</v>
      </c>
      <c r="O40" s="87">
        <f t="shared" si="10"/>
        <v>28</v>
      </c>
      <c r="P40" s="87">
        <f t="shared" si="10"/>
        <v>28</v>
      </c>
      <c r="Q40" s="87">
        <f t="shared" si="10"/>
        <v>28</v>
      </c>
      <c r="R40" s="87">
        <f t="shared" si="10"/>
        <v>28</v>
      </c>
      <c r="S40" s="87">
        <f t="shared" si="10"/>
        <v>28</v>
      </c>
      <c r="T40" s="87">
        <f t="shared" si="11"/>
        <v>28</v>
      </c>
      <c r="U40" s="87">
        <f t="shared" si="11"/>
        <v>28</v>
      </c>
      <c r="V40" s="87">
        <f t="shared" si="11"/>
        <v>28</v>
      </c>
      <c r="W40" s="87">
        <f t="shared" si="11"/>
        <v>28</v>
      </c>
      <c r="X40" s="87">
        <f t="shared" si="11"/>
        <v>28</v>
      </c>
      <c r="Y40" s="87">
        <f t="shared" si="11"/>
        <v>28</v>
      </c>
      <c r="Z40" s="87">
        <f t="shared" si="11"/>
        <v>28</v>
      </c>
      <c r="AA40" s="87">
        <f t="shared" si="11"/>
        <v>28</v>
      </c>
      <c r="AB40" s="87">
        <f t="shared" si="11"/>
        <v>28</v>
      </c>
      <c r="AC40" s="87">
        <f t="shared" si="11"/>
        <v>28</v>
      </c>
      <c r="AD40" s="87">
        <f t="shared" si="11"/>
        <v>28</v>
      </c>
      <c r="AE40" s="87">
        <f t="shared" si="11"/>
        <v>28</v>
      </c>
      <c r="AF40" s="77" t="s">
        <v>465</v>
      </c>
    </row>
    <row r="41" spans="2:32">
      <c r="B41" s="85" t="s">
        <v>156</v>
      </c>
      <c r="C41" s="86">
        <v>20.6</v>
      </c>
      <c r="D41" s="87">
        <f t="shared" si="10"/>
        <v>20.6</v>
      </c>
      <c r="E41" s="87">
        <f t="shared" si="10"/>
        <v>20.6</v>
      </c>
      <c r="F41" s="87">
        <f t="shared" si="10"/>
        <v>20.6</v>
      </c>
      <c r="G41" s="87">
        <f t="shared" si="10"/>
        <v>20.6</v>
      </c>
      <c r="H41" s="87">
        <f t="shared" si="10"/>
        <v>20.6</v>
      </c>
      <c r="I41" s="87">
        <f t="shared" si="10"/>
        <v>20.6</v>
      </c>
      <c r="J41" s="87">
        <f t="shared" si="10"/>
        <v>20.6</v>
      </c>
      <c r="K41" s="87">
        <f t="shared" si="10"/>
        <v>20.6</v>
      </c>
      <c r="L41" s="87">
        <f t="shared" si="10"/>
        <v>20.6</v>
      </c>
      <c r="M41" s="87">
        <f t="shared" si="10"/>
        <v>20.6</v>
      </c>
      <c r="N41" s="87">
        <f t="shared" si="10"/>
        <v>20.6</v>
      </c>
      <c r="O41" s="87">
        <f t="shared" si="10"/>
        <v>20.6</v>
      </c>
      <c r="P41" s="87">
        <f t="shared" si="10"/>
        <v>20.6</v>
      </c>
      <c r="Q41" s="87">
        <f t="shared" si="10"/>
        <v>20.6</v>
      </c>
      <c r="R41" s="87">
        <f t="shared" si="10"/>
        <v>20.6</v>
      </c>
      <c r="S41" s="87">
        <f t="shared" si="10"/>
        <v>20.6</v>
      </c>
      <c r="T41" s="87">
        <f t="shared" si="11"/>
        <v>20.6</v>
      </c>
      <c r="U41" s="87">
        <f t="shared" si="11"/>
        <v>20.6</v>
      </c>
      <c r="V41" s="87">
        <f t="shared" si="11"/>
        <v>20.6</v>
      </c>
      <c r="W41" s="87">
        <f t="shared" si="11"/>
        <v>20.6</v>
      </c>
      <c r="X41" s="87">
        <f t="shared" si="11"/>
        <v>20.6</v>
      </c>
      <c r="Y41" s="87">
        <f t="shared" si="11"/>
        <v>20.6</v>
      </c>
      <c r="Z41" s="87">
        <f t="shared" si="11"/>
        <v>20.6</v>
      </c>
      <c r="AA41" s="87">
        <f t="shared" si="11"/>
        <v>20.6</v>
      </c>
      <c r="AB41" s="87">
        <f t="shared" si="11"/>
        <v>20.6</v>
      </c>
      <c r="AC41" s="87">
        <f t="shared" si="11"/>
        <v>20.6</v>
      </c>
      <c r="AD41" s="87">
        <f t="shared" si="11"/>
        <v>20.6</v>
      </c>
      <c r="AE41" s="87">
        <f t="shared" si="11"/>
        <v>20.6</v>
      </c>
      <c r="AF41" s="77" t="s">
        <v>465</v>
      </c>
    </row>
    <row r="42" spans="2:32">
      <c r="B42" s="85" t="s">
        <v>157</v>
      </c>
      <c r="C42" s="86">
        <v>12</v>
      </c>
      <c r="D42" s="87">
        <v>12</v>
      </c>
      <c r="E42" s="87">
        <v>15</v>
      </c>
      <c r="F42" s="87">
        <v>15</v>
      </c>
      <c r="G42" s="87">
        <v>15</v>
      </c>
      <c r="H42" s="87">
        <v>15</v>
      </c>
      <c r="I42" s="87">
        <v>15</v>
      </c>
      <c r="J42" s="87">
        <v>15</v>
      </c>
      <c r="K42" s="87">
        <v>15</v>
      </c>
      <c r="L42" s="87">
        <v>15</v>
      </c>
      <c r="M42" s="87">
        <v>15</v>
      </c>
      <c r="N42" s="87">
        <v>15</v>
      </c>
      <c r="O42" s="87">
        <v>15</v>
      </c>
      <c r="P42" s="87">
        <v>15</v>
      </c>
      <c r="Q42" s="87">
        <v>15</v>
      </c>
      <c r="R42" s="87">
        <v>15</v>
      </c>
      <c r="S42" s="87">
        <v>15</v>
      </c>
      <c r="T42" s="87">
        <v>15</v>
      </c>
      <c r="U42" s="87">
        <v>15</v>
      </c>
      <c r="V42" s="87">
        <v>15</v>
      </c>
      <c r="W42" s="87">
        <v>15</v>
      </c>
      <c r="X42" s="87">
        <v>15</v>
      </c>
      <c r="Y42" s="87">
        <v>15</v>
      </c>
      <c r="Z42" s="87">
        <v>15</v>
      </c>
      <c r="AA42" s="87">
        <v>15</v>
      </c>
      <c r="AB42" s="87">
        <v>15</v>
      </c>
      <c r="AC42" s="87">
        <v>15</v>
      </c>
      <c r="AD42" s="87">
        <v>15</v>
      </c>
      <c r="AE42" s="87">
        <v>15</v>
      </c>
      <c r="AF42" s="77" t="s">
        <v>609</v>
      </c>
    </row>
    <row r="43" spans="2:32">
      <c r="B43" s="85" t="s">
        <v>158</v>
      </c>
      <c r="C43" s="86">
        <v>20</v>
      </c>
      <c r="D43" s="87">
        <f t="shared" ref="D43:S47" si="12">C43</f>
        <v>20</v>
      </c>
      <c r="E43" s="87">
        <f t="shared" si="12"/>
        <v>20</v>
      </c>
      <c r="F43" s="87">
        <f t="shared" si="12"/>
        <v>20</v>
      </c>
      <c r="G43" s="87">
        <f t="shared" si="12"/>
        <v>20</v>
      </c>
      <c r="H43" s="87">
        <f t="shared" si="12"/>
        <v>20</v>
      </c>
      <c r="I43" s="87">
        <f t="shared" si="12"/>
        <v>20</v>
      </c>
      <c r="J43" s="87">
        <f t="shared" si="12"/>
        <v>20</v>
      </c>
      <c r="K43" s="87">
        <f t="shared" si="12"/>
        <v>20</v>
      </c>
      <c r="L43" s="87">
        <f t="shared" si="12"/>
        <v>20</v>
      </c>
      <c r="M43" s="87">
        <f t="shared" si="12"/>
        <v>20</v>
      </c>
      <c r="N43" s="87">
        <f t="shared" si="12"/>
        <v>20</v>
      </c>
      <c r="O43" s="87">
        <f t="shared" si="12"/>
        <v>20</v>
      </c>
      <c r="P43" s="87">
        <f t="shared" si="12"/>
        <v>20</v>
      </c>
      <c r="Q43" s="87">
        <f t="shared" si="12"/>
        <v>20</v>
      </c>
      <c r="R43" s="87">
        <f t="shared" si="12"/>
        <v>20</v>
      </c>
      <c r="S43" s="87">
        <f t="shared" si="12"/>
        <v>20</v>
      </c>
      <c r="T43" s="87">
        <f t="shared" ref="T43:AE47" si="13">S43</f>
        <v>20</v>
      </c>
      <c r="U43" s="87">
        <f t="shared" si="13"/>
        <v>20</v>
      </c>
      <c r="V43" s="87">
        <f t="shared" si="13"/>
        <v>20</v>
      </c>
      <c r="W43" s="87">
        <f t="shared" si="13"/>
        <v>20</v>
      </c>
      <c r="X43" s="87">
        <f t="shared" si="13"/>
        <v>20</v>
      </c>
      <c r="Y43" s="87">
        <f t="shared" si="13"/>
        <v>20</v>
      </c>
      <c r="Z43" s="87">
        <f t="shared" si="13"/>
        <v>20</v>
      </c>
      <c r="AA43" s="87">
        <f t="shared" si="13"/>
        <v>20</v>
      </c>
      <c r="AB43" s="87">
        <f t="shared" si="13"/>
        <v>20</v>
      </c>
      <c r="AC43" s="87">
        <f t="shared" si="13"/>
        <v>20</v>
      </c>
      <c r="AD43" s="87">
        <f t="shared" si="13"/>
        <v>20</v>
      </c>
      <c r="AE43" s="87">
        <f t="shared" si="13"/>
        <v>20</v>
      </c>
      <c r="AF43" s="77" t="s">
        <v>465</v>
      </c>
    </row>
    <row r="44" spans="2:32">
      <c r="B44" s="85" t="s">
        <v>159</v>
      </c>
      <c r="C44" s="86">
        <v>20</v>
      </c>
      <c r="D44" s="87">
        <f t="shared" si="12"/>
        <v>20</v>
      </c>
      <c r="E44" s="87">
        <f t="shared" si="12"/>
        <v>20</v>
      </c>
      <c r="F44" s="87">
        <f t="shared" si="12"/>
        <v>20</v>
      </c>
      <c r="G44" s="87">
        <f t="shared" si="12"/>
        <v>20</v>
      </c>
      <c r="H44" s="87">
        <f t="shared" si="12"/>
        <v>20</v>
      </c>
      <c r="I44" s="87">
        <f t="shared" si="12"/>
        <v>20</v>
      </c>
      <c r="J44" s="87">
        <f t="shared" si="12"/>
        <v>20</v>
      </c>
      <c r="K44" s="87">
        <f t="shared" si="12"/>
        <v>20</v>
      </c>
      <c r="L44" s="87">
        <f t="shared" si="12"/>
        <v>20</v>
      </c>
      <c r="M44" s="87">
        <f t="shared" si="12"/>
        <v>20</v>
      </c>
      <c r="N44" s="87">
        <f t="shared" si="12"/>
        <v>20</v>
      </c>
      <c r="O44" s="87">
        <f t="shared" si="12"/>
        <v>20</v>
      </c>
      <c r="P44" s="87">
        <f t="shared" si="12"/>
        <v>20</v>
      </c>
      <c r="Q44" s="87">
        <f t="shared" si="12"/>
        <v>20</v>
      </c>
      <c r="R44" s="87">
        <f t="shared" si="12"/>
        <v>20</v>
      </c>
      <c r="S44" s="87">
        <f t="shared" si="12"/>
        <v>20</v>
      </c>
      <c r="T44" s="87">
        <f t="shared" si="13"/>
        <v>20</v>
      </c>
      <c r="U44" s="87">
        <f t="shared" si="13"/>
        <v>20</v>
      </c>
      <c r="V44" s="87">
        <f t="shared" si="13"/>
        <v>20</v>
      </c>
      <c r="W44" s="87">
        <f t="shared" si="13"/>
        <v>20</v>
      </c>
      <c r="X44" s="87">
        <f t="shared" si="13"/>
        <v>20</v>
      </c>
      <c r="Y44" s="87">
        <f t="shared" si="13"/>
        <v>20</v>
      </c>
      <c r="Z44" s="87">
        <f t="shared" si="13"/>
        <v>20</v>
      </c>
      <c r="AA44" s="87">
        <f t="shared" si="13"/>
        <v>20</v>
      </c>
      <c r="AB44" s="87">
        <f t="shared" si="13"/>
        <v>20</v>
      </c>
      <c r="AC44" s="87">
        <f t="shared" si="13"/>
        <v>20</v>
      </c>
      <c r="AD44" s="87">
        <f t="shared" si="13"/>
        <v>20</v>
      </c>
      <c r="AE44" s="87">
        <f t="shared" si="13"/>
        <v>20</v>
      </c>
      <c r="AF44" s="77" t="s">
        <v>465</v>
      </c>
    </row>
    <row r="45" spans="2:32">
      <c r="B45" s="85" t="s">
        <v>161</v>
      </c>
      <c r="C45" s="86">
        <v>20</v>
      </c>
      <c r="D45" s="87">
        <v>25</v>
      </c>
      <c r="E45" s="87">
        <f t="shared" si="12"/>
        <v>25</v>
      </c>
      <c r="F45" s="87">
        <f t="shared" si="12"/>
        <v>25</v>
      </c>
      <c r="G45" s="87">
        <f t="shared" si="12"/>
        <v>25</v>
      </c>
      <c r="H45" s="87">
        <f t="shared" si="12"/>
        <v>25</v>
      </c>
      <c r="I45" s="87">
        <f t="shared" si="12"/>
        <v>25</v>
      </c>
      <c r="J45" s="87">
        <f t="shared" si="12"/>
        <v>25</v>
      </c>
      <c r="K45" s="87">
        <f t="shared" si="12"/>
        <v>25</v>
      </c>
      <c r="L45" s="87">
        <f t="shared" si="12"/>
        <v>25</v>
      </c>
      <c r="M45" s="87">
        <f t="shared" si="12"/>
        <v>25</v>
      </c>
      <c r="N45" s="87">
        <f t="shared" si="12"/>
        <v>25</v>
      </c>
      <c r="O45" s="87">
        <f t="shared" si="12"/>
        <v>25</v>
      </c>
      <c r="P45" s="87">
        <f t="shared" si="12"/>
        <v>25</v>
      </c>
      <c r="Q45" s="87">
        <f t="shared" si="12"/>
        <v>25</v>
      </c>
      <c r="R45" s="87">
        <f t="shared" si="12"/>
        <v>25</v>
      </c>
      <c r="S45" s="87">
        <f t="shared" si="12"/>
        <v>25</v>
      </c>
      <c r="T45" s="87">
        <f t="shared" si="13"/>
        <v>25</v>
      </c>
      <c r="U45" s="87">
        <f t="shared" si="13"/>
        <v>25</v>
      </c>
      <c r="V45" s="87">
        <f t="shared" si="13"/>
        <v>25</v>
      </c>
      <c r="W45" s="87">
        <f t="shared" si="13"/>
        <v>25</v>
      </c>
      <c r="X45" s="87">
        <f t="shared" si="13"/>
        <v>25</v>
      </c>
      <c r="Y45" s="87">
        <f t="shared" si="13"/>
        <v>25</v>
      </c>
      <c r="Z45" s="87">
        <f t="shared" si="13"/>
        <v>25</v>
      </c>
      <c r="AA45" s="87">
        <f t="shared" si="13"/>
        <v>25</v>
      </c>
      <c r="AB45" s="87">
        <f t="shared" si="13"/>
        <v>25</v>
      </c>
      <c r="AC45" s="87">
        <f t="shared" si="13"/>
        <v>25</v>
      </c>
      <c r="AD45" s="87">
        <f t="shared" si="13"/>
        <v>25</v>
      </c>
      <c r="AE45" s="87">
        <f t="shared" si="13"/>
        <v>25</v>
      </c>
      <c r="AF45" s="77" t="s">
        <v>465</v>
      </c>
    </row>
    <row r="46" spans="2:32">
      <c r="B46" s="85" t="s">
        <v>162</v>
      </c>
      <c r="C46" s="86">
        <v>18</v>
      </c>
      <c r="D46" s="87">
        <f t="shared" si="12"/>
        <v>18</v>
      </c>
      <c r="E46" s="87">
        <f t="shared" si="12"/>
        <v>18</v>
      </c>
      <c r="F46" s="87">
        <f t="shared" si="12"/>
        <v>18</v>
      </c>
      <c r="G46" s="87">
        <f t="shared" si="12"/>
        <v>18</v>
      </c>
      <c r="H46" s="87">
        <f t="shared" si="12"/>
        <v>18</v>
      </c>
      <c r="I46" s="87">
        <f t="shared" si="12"/>
        <v>18</v>
      </c>
      <c r="J46" s="87">
        <f t="shared" si="12"/>
        <v>18</v>
      </c>
      <c r="K46" s="87">
        <f t="shared" si="12"/>
        <v>18</v>
      </c>
      <c r="L46" s="87">
        <f t="shared" si="12"/>
        <v>18</v>
      </c>
      <c r="M46" s="87">
        <f t="shared" si="12"/>
        <v>18</v>
      </c>
      <c r="N46" s="87">
        <f t="shared" si="12"/>
        <v>18</v>
      </c>
      <c r="O46" s="87">
        <f t="shared" si="12"/>
        <v>18</v>
      </c>
      <c r="P46" s="87">
        <f t="shared" si="12"/>
        <v>18</v>
      </c>
      <c r="Q46" s="87">
        <f t="shared" si="12"/>
        <v>18</v>
      </c>
      <c r="R46" s="87">
        <f t="shared" si="12"/>
        <v>18</v>
      </c>
      <c r="S46" s="87">
        <f t="shared" si="12"/>
        <v>18</v>
      </c>
      <c r="T46" s="87">
        <f t="shared" si="13"/>
        <v>18</v>
      </c>
      <c r="U46" s="87">
        <f t="shared" si="13"/>
        <v>18</v>
      </c>
      <c r="V46" s="87">
        <f t="shared" si="13"/>
        <v>18</v>
      </c>
      <c r="W46" s="87">
        <f t="shared" si="13"/>
        <v>18</v>
      </c>
      <c r="X46" s="87">
        <f t="shared" si="13"/>
        <v>18</v>
      </c>
      <c r="Y46" s="87">
        <f t="shared" si="13"/>
        <v>18</v>
      </c>
      <c r="Z46" s="87">
        <f t="shared" si="13"/>
        <v>18</v>
      </c>
      <c r="AA46" s="87">
        <f t="shared" si="13"/>
        <v>18</v>
      </c>
      <c r="AB46" s="87">
        <f t="shared" si="13"/>
        <v>18</v>
      </c>
      <c r="AC46" s="87">
        <f t="shared" si="13"/>
        <v>18</v>
      </c>
      <c r="AD46" s="87">
        <f t="shared" si="13"/>
        <v>18</v>
      </c>
      <c r="AE46" s="87">
        <f t="shared" si="13"/>
        <v>18</v>
      </c>
      <c r="AF46" s="77" t="s">
        <v>465</v>
      </c>
    </row>
    <row r="47" spans="2:32">
      <c r="B47" s="85" t="s">
        <v>163</v>
      </c>
      <c r="C47" s="86">
        <v>9</v>
      </c>
      <c r="D47" s="87">
        <f t="shared" si="12"/>
        <v>9</v>
      </c>
      <c r="E47" s="87">
        <f t="shared" si="12"/>
        <v>9</v>
      </c>
      <c r="F47" s="87">
        <f t="shared" si="12"/>
        <v>9</v>
      </c>
      <c r="G47" s="87">
        <f t="shared" si="12"/>
        <v>9</v>
      </c>
      <c r="H47" s="87">
        <f t="shared" si="12"/>
        <v>9</v>
      </c>
      <c r="I47" s="87">
        <f t="shared" si="12"/>
        <v>9</v>
      </c>
      <c r="J47" s="87">
        <f t="shared" si="12"/>
        <v>9</v>
      </c>
      <c r="K47" s="87">
        <f t="shared" si="12"/>
        <v>9</v>
      </c>
      <c r="L47" s="87">
        <f t="shared" si="12"/>
        <v>9</v>
      </c>
      <c r="M47" s="87">
        <f t="shared" si="12"/>
        <v>9</v>
      </c>
      <c r="N47" s="87">
        <f t="shared" si="12"/>
        <v>9</v>
      </c>
      <c r="O47" s="87">
        <f t="shared" si="12"/>
        <v>9</v>
      </c>
      <c r="P47" s="87">
        <f t="shared" si="12"/>
        <v>9</v>
      </c>
      <c r="Q47" s="87">
        <f t="shared" si="12"/>
        <v>9</v>
      </c>
      <c r="R47" s="87">
        <f t="shared" si="12"/>
        <v>9</v>
      </c>
      <c r="S47" s="87">
        <f t="shared" si="12"/>
        <v>9</v>
      </c>
      <c r="T47" s="87">
        <f t="shared" si="13"/>
        <v>9</v>
      </c>
      <c r="U47" s="87">
        <f t="shared" si="13"/>
        <v>9</v>
      </c>
      <c r="V47" s="87">
        <f t="shared" si="13"/>
        <v>9</v>
      </c>
      <c r="W47" s="87">
        <f t="shared" si="13"/>
        <v>9</v>
      </c>
      <c r="X47" s="87">
        <f t="shared" si="13"/>
        <v>9</v>
      </c>
      <c r="Y47" s="87">
        <f t="shared" si="13"/>
        <v>9</v>
      </c>
      <c r="Z47" s="87">
        <f t="shared" si="13"/>
        <v>9</v>
      </c>
      <c r="AA47" s="87">
        <f t="shared" si="13"/>
        <v>9</v>
      </c>
      <c r="AB47" s="87">
        <f t="shared" si="13"/>
        <v>9</v>
      </c>
      <c r="AC47" s="87">
        <f t="shared" si="13"/>
        <v>9</v>
      </c>
      <c r="AD47" s="87">
        <f t="shared" si="13"/>
        <v>9</v>
      </c>
      <c r="AE47" s="87">
        <f t="shared" si="13"/>
        <v>9</v>
      </c>
      <c r="AF47" s="77" t="s">
        <v>465</v>
      </c>
    </row>
    <row r="48" spans="2:32">
      <c r="B48" s="85" t="s">
        <v>164</v>
      </c>
      <c r="C48" s="86">
        <v>19</v>
      </c>
      <c r="D48" s="87">
        <v>23.5</v>
      </c>
      <c r="E48" s="87">
        <v>25</v>
      </c>
      <c r="F48" s="87">
        <v>25</v>
      </c>
      <c r="G48" s="87">
        <v>25</v>
      </c>
      <c r="H48" s="87">
        <v>25</v>
      </c>
      <c r="I48" s="87">
        <v>25</v>
      </c>
      <c r="J48" s="87">
        <v>25</v>
      </c>
      <c r="K48" s="87">
        <v>25</v>
      </c>
      <c r="L48" s="87">
        <v>25</v>
      </c>
      <c r="M48" s="87">
        <v>25</v>
      </c>
      <c r="N48" s="87">
        <v>25</v>
      </c>
      <c r="O48" s="87">
        <v>25</v>
      </c>
      <c r="P48" s="87">
        <v>25</v>
      </c>
      <c r="Q48" s="87">
        <v>25</v>
      </c>
      <c r="R48" s="87">
        <v>25</v>
      </c>
      <c r="S48" s="87">
        <v>25</v>
      </c>
      <c r="T48" s="87">
        <v>25</v>
      </c>
      <c r="U48" s="87">
        <v>25</v>
      </c>
      <c r="V48" s="87">
        <v>25</v>
      </c>
      <c r="W48" s="87">
        <v>25</v>
      </c>
      <c r="X48" s="87">
        <v>25</v>
      </c>
      <c r="Y48" s="87">
        <v>25</v>
      </c>
      <c r="Z48" s="87">
        <v>25</v>
      </c>
      <c r="AA48" s="87">
        <v>25</v>
      </c>
      <c r="AB48" s="87">
        <v>25</v>
      </c>
      <c r="AC48" s="87">
        <v>25</v>
      </c>
      <c r="AD48" s="87">
        <v>25</v>
      </c>
      <c r="AE48" s="87">
        <v>25</v>
      </c>
      <c r="AF48" s="77" t="s">
        <v>465</v>
      </c>
    </row>
    <row r="49" spans="2:32">
      <c r="B49" s="85" t="s">
        <v>165</v>
      </c>
      <c r="C49" s="86">
        <v>23.43</v>
      </c>
      <c r="D49" s="87">
        <v>23.43</v>
      </c>
      <c r="E49" s="87">
        <v>23.43</v>
      </c>
      <c r="F49" s="87">
        <v>23.43</v>
      </c>
      <c r="G49" s="87">
        <v>23.43</v>
      </c>
      <c r="H49" s="87">
        <v>23.43</v>
      </c>
      <c r="I49" s="87">
        <v>23.43</v>
      </c>
      <c r="J49" s="87">
        <v>23.43</v>
      </c>
      <c r="K49" s="87">
        <v>23.43</v>
      </c>
      <c r="L49" s="87">
        <v>23.43</v>
      </c>
      <c r="M49" s="87">
        <v>23.43</v>
      </c>
      <c r="N49" s="87">
        <v>23.43</v>
      </c>
      <c r="O49" s="87">
        <v>23.43</v>
      </c>
      <c r="P49" s="87">
        <v>23.43</v>
      </c>
      <c r="Q49" s="87">
        <v>23.43</v>
      </c>
      <c r="R49" s="87">
        <v>23.43</v>
      </c>
      <c r="S49" s="87">
        <v>23.43</v>
      </c>
      <c r="T49" s="87">
        <v>23.43</v>
      </c>
      <c r="U49" s="87">
        <v>23.43</v>
      </c>
      <c r="V49" s="87">
        <v>23.43</v>
      </c>
      <c r="W49" s="87">
        <v>23.43</v>
      </c>
      <c r="X49" s="87">
        <v>23.43</v>
      </c>
      <c r="Y49" s="87">
        <v>23.43</v>
      </c>
      <c r="Z49" s="87">
        <v>23.43</v>
      </c>
      <c r="AA49" s="87">
        <v>23.43</v>
      </c>
      <c r="AB49" s="87">
        <v>23.43</v>
      </c>
      <c r="AC49" s="87">
        <v>23.43</v>
      </c>
      <c r="AD49" s="87">
        <v>23.43</v>
      </c>
      <c r="AE49" s="87">
        <v>23.43</v>
      </c>
      <c r="AF49" s="77" t="s">
        <v>465</v>
      </c>
    </row>
    <row r="50" spans="2:32">
      <c r="B50" s="85" t="s">
        <v>166</v>
      </c>
      <c r="C50" s="86">
        <v>34</v>
      </c>
      <c r="D50" s="87">
        <f t="shared" ref="D50:S56" si="14">C50</f>
        <v>34</v>
      </c>
      <c r="E50" s="87">
        <f t="shared" si="14"/>
        <v>34</v>
      </c>
      <c r="F50" s="87">
        <f t="shared" si="14"/>
        <v>34</v>
      </c>
      <c r="G50" s="87">
        <f t="shared" si="14"/>
        <v>34</v>
      </c>
      <c r="H50" s="87">
        <f t="shared" si="14"/>
        <v>34</v>
      </c>
      <c r="I50" s="87">
        <f t="shared" si="14"/>
        <v>34</v>
      </c>
      <c r="J50" s="87">
        <f t="shared" si="14"/>
        <v>34</v>
      </c>
      <c r="K50" s="87">
        <f t="shared" si="14"/>
        <v>34</v>
      </c>
      <c r="L50" s="87">
        <f t="shared" si="14"/>
        <v>34</v>
      </c>
      <c r="M50" s="87">
        <f t="shared" si="14"/>
        <v>34</v>
      </c>
      <c r="N50" s="87">
        <f t="shared" si="14"/>
        <v>34</v>
      </c>
      <c r="O50" s="87">
        <f t="shared" si="14"/>
        <v>34</v>
      </c>
      <c r="P50" s="87">
        <f t="shared" si="14"/>
        <v>34</v>
      </c>
      <c r="Q50" s="87">
        <f t="shared" si="14"/>
        <v>34</v>
      </c>
      <c r="R50" s="87">
        <f t="shared" si="14"/>
        <v>34</v>
      </c>
      <c r="S50" s="87">
        <f t="shared" si="14"/>
        <v>34</v>
      </c>
      <c r="T50" s="87">
        <f t="shared" ref="T50:AE56" si="15">S50</f>
        <v>34</v>
      </c>
      <c r="U50" s="87">
        <f t="shared" si="15"/>
        <v>34</v>
      </c>
      <c r="V50" s="87">
        <f t="shared" si="15"/>
        <v>34</v>
      </c>
      <c r="W50" s="87">
        <f t="shared" si="15"/>
        <v>34</v>
      </c>
      <c r="X50" s="87">
        <f t="shared" si="15"/>
        <v>34</v>
      </c>
      <c r="Y50" s="87">
        <f t="shared" si="15"/>
        <v>34</v>
      </c>
      <c r="Z50" s="87">
        <f t="shared" si="15"/>
        <v>34</v>
      </c>
      <c r="AA50" s="87">
        <f t="shared" si="15"/>
        <v>34</v>
      </c>
      <c r="AB50" s="87">
        <f t="shared" si="15"/>
        <v>34</v>
      </c>
      <c r="AC50" s="87">
        <f t="shared" si="15"/>
        <v>34</v>
      </c>
      <c r="AD50" s="87">
        <f t="shared" si="15"/>
        <v>34</v>
      </c>
      <c r="AE50" s="87">
        <f t="shared" si="15"/>
        <v>34</v>
      </c>
      <c r="AF50" s="77" t="s">
        <v>465</v>
      </c>
    </row>
    <row r="51" spans="2:32">
      <c r="B51" s="85" t="s">
        <v>45</v>
      </c>
      <c r="C51" s="86">
        <v>20</v>
      </c>
      <c r="D51" s="87">
        <f t="shared" si="14"/>
        <v>20</v>
      </c>
      <c r="E51" s="87">
        <f t="shared" si="14"/>
        <v>20</v>
      </c>
      <c r="F51" s="87">
        <f t="shared" si="14"/>
        <v>20</v>
      </c>
      <c r="G51" s="87">
        <f t="shared" si="14"/>
        <v>20</v>
      </c>
      <c r="H51" s="87">
        <f t="shared" si="14"/>
        <v>20</v>
      </c>
      <c r="I51" s="87">
        <f t="shared" si="14"/>
        <v>20</v>
      </c>
      <c r="J51" s="87">
        <f t="shared" si="14"/>
        <v>20</v>
      </c>
      <c r="K51" s="87">
        <f t="shared" si="14"/>
        <v>20</v>
      </c>
      <c r="L51" s="87">
        <f t="shared" si="14"/>
        <v>20</v>
      </c>
      <c r="M51" s="87">
        <f t="shared" si="14"/>
        <v>20</v>
      </c>
      <c r="N51" s="87">
        <f t="shared" si="14"/>
        <v>20</v>
      </c>
      <c r="O51" s="87">
        <f t="shared" si="14"/>
        <v>20</v>
      </c>
      <c r="P51" s="87">
        <f t="shared" si="14"/>
        <v>20</v>
      </c>
      <c r="Q51" s="87">
        <f t="shared" si="14"/>
        <v>20</v>
      </c>
      <c r="R51" s="87">
        <f t="shared" si="14"/>
        <v>20</v>
      </c>
      <c r="S51" s="87">
        <f t="shared" si="14"/>
        <v>20</v>
      </c>
      <c r="T51" s="87">
        <f t="shared" si="15"/>
        <v>20</v>
      </c>
      <c r="U51" s="87">
        <f t="shared" si="15"/>
        <v>20</v>
      </c>
      <c r="V51" s="87">
        <f t="shared" si="15"/>
        <v>20</v>
      </c>
      <c r="W51" s="87">
        <f t="shared" si="15"/>
        <v>20</v>
      </c>
      <c r="X51" s="87">
        <f t="shared" si="15"/>
        <v>20</v>
      </c>
      <c r="Y51" s="87">
        <f t="shared" si="15"/>
        <v>20</v>
      </c>
      <c r="Z51" s="87">
        <f t="shared" si="15"/>
        <v>20</v>
      </c>
      <c r="AA51" s="87">
        <f t="shared" si="15"/>
        <v>20</v>
      </c>
      <c r="AB51" s="87">
        <f t="shared" si="15"/>
        <v>20</v>
      </c>
      <c r="AC51" s="87">
        <f t="shared" si="15"/>
        <v>20</v>
      </c>
      <c r="AD51" s="87">
        <f t="shared" si="15"/>
        <v>20</v>
      </c>
      <c r="AE51" s="87">
        <f t="shared" si="15"/>
        <v>20</v>
      </c>
      <c r="AF51" s="77" t="s">
        <v>465</v>
      </c>
    </row>
    <row r="52" spans="2:32">
      <c r="B52" s="85" t="s">
        <v>168</v>
      </c>
      <c r="C52" s="86">
        <v>30</v>
      </c>
      <c r="D52" s="87">
        <f t="shared" si="14"/>
        <v>30</v>
      </c>
      <c r="E52" s="87">
        <f t="shared" si="14"/>
        <v>30</v>
      </c>
      <c r="F52" s="87">
        <f t="shared" si="14"/>
        <v>30</v>
      </c>
      <c r="G52" s="87">
        <f t="shared" si="14"/>
        <v>30</v>
      </c>
      <c r="H52" s="87">
        <f t="shared" si="14"/>
        <v>30</v>
      </c>
      <c r="I52" s="87">
        <f t="shared" si="14"/>
        <v>30</v>
      </c>
      <c r="J52" s="87">
        <f t="shared" si="14"/>
        <v>30</v>
      </c>
      <c r="K52" s="87">
        <f t="shared" si="14"/>
        <v>30</v>
      </c>
      <c r="L52" s="87">
        <f t="shared" si="14"/>
        <v>30</v>
      </c>
      <c r="M52" s="87">
        <f t="shared" si="14"/>
        <v>30</v>
      </c>
      <c r="N52" s="87">
        <f t="shared" si="14"/>
        <v>30</v>
      </c>
      <c r="O52" s="87">
        <f t="shared" si="14"/>
        <v>30</v>
      </c>
      <c r="P52" s="87">
        <f t="shared" si="14"/>
        <v>30</v>
      </c>
      <c r="Q52" s="87">
        <f t="shared" si="14"/>
        <v>30</v>
      </c>
      <c r="R52" s="87">
        <f t="shared" si="14"/>
        <v>30</v>
      </c>
      <c r="S52" s="87">
        <f t="shared" si="14"/>
        <v>30</v>
      </c>
      <c r="T52" s="87">
        <f t="shared" si="15"/>
        <v>30</v>
      </c>
      <c r="U52" s="87">
        <f t="shared" si="15"/>
        <v>30</v>
      </c>
      <c r="V52" s="87">
        <f t="shared" si="15"/>
        <v>30</v>
      </c>
      <c r="W52" s="87">
        <f t="shared" si="15"/>
        <v>30</v>
      </c>
      <c r="X52" s="87">
        <f t="shared" si="15"/>
        <v>30</v>
      </c>
      <c r="Y52" s="87">
        <f t="shared" si="15"/>
        <v>30</v>
      </c>
      <c r="Z52" s="87">
        <f t="shared" si="15"/>
        <v>30</v>
      </c>
      <c r="AA52" s="87">
        <f t="shared" si="15"/>
        <v>30</v>
      </c>
      <c r="AB52" s="87">
        <f t="shared" si="15"/>
        <v>30</v>
      </c>
      <c r="AC52" s="87">
        <f t="shared" si="15"/>
        <v>30</v>
      </c>
      <c r="AD52" s="87">
        <f t="shared" si="15"/>
        <v>30</v>
      </c>
      <c r="AE52" s="87">
        <f t="shared" si="15"/>
        <v>30</v>
      </c>
      <c r="AF52" s="77" t="s">
        <v>465</v>
      </c>
    </row>
    <row r="53" spans="2:32">
      <c r="B53" s="85" t="s">
        <v>169</v>
      </c>
      <c r="C53" s="86">
        <v>15</v>
      </c>
      <c r="D53" s="87">
        <f t="shared" si="14"/>
        <v>15</v>
      </c>
      <c r="E53" s="87">
        <f t="shared" si="14"/>
        <v>15</v>
      </c>
      <c r="F53" s="87">
        <f t="shared" si="14"/>
        <v>15</v>
      </c>
      <c r="G53" s="87">
        <f t="shared" si="14"/>
        <v>15</v>
      </c>
      <c r="H53" s="87">
        <f t="shared" si="14"/>
        <v>15</v>
      </c>
      <c r="I53" s="87">
        <f t="shared" si="14"/>
        <v>15</v>
      </c>
      <c r="J53" s="87">
        <f t="shared" si="14"/>
        <v>15</v>
      </c>
      <c r="K53" s="87">
        <f t="shared" si="14"/>
        <v>15</v>
      </c>
      <c r="L53" s="87">
        <f t="shared" si="14"/>
        <v>15</v>
      </c>
      <c r="M53" s="87">
        <f t="shared" si="14"/>
        <v>15</v>
      </c>
      <c r="N53" s="87">
        <f t="shared" si="14"/>
        <v>15</v>
      </c>
      <c r="O53" s="87">
        <f t="shared" si="14"/>
        <v>15</v>
      </c>
      <c r="P53" s="87">
        <f t="shared" si="14"/>
        <v>15</v>
      </c>
      <c r="Q53" s="87">
        <f t="shared" si="14"/>
        <v>15</v>
      </c>
      <c r="R53" s="87">
        <f t="shared" si="14"/>
        <v>15</v>
      </c>
      <c r="S53" s="87">
        <f t="shared" si="14"/>
        <v>15</v>
      </c>
      <c r="T53" s="87">
        <f t="shared" si="15"/>
        <v>15</v>
      </c>
      <c r="U53" s="87">
        <f t="shared" si="15"/>
        <v>15</v>
      </c>
      <c r="V53" s="87">
        <f t="shared" si="15"/>
        <v>15</v>
      </c>
      <c r="W53" s="87">
        <f t="shared" si="15"/>
        <v>15</v>
      </c>
      <c r="X53" s="87">
        <f t="shared" si="15"/>
        <v>15</v>
      </c>
      <c r="Y53" s="87">
        <f t="shared" si="15"/>
        <v>15</v>
      </c>
      <c r="Z53" s="87">
        <f t="shared" si="15"/>
        <v>15</v>
      </c>
      <c r="AA53" s="87">
        <f t="shared" si="15"/>
        <v>15</v>
      </c>
      <c r="AB53" s="87">
        <f t="shared" si="15"/>
        <v>15</v>
      </c>
      <c r="AC53" s="87">
        <f t="shared" si="15"/>
        <v>15</v>
      </c>
      <c r="AD53" s="87">
        <f t="shared" si="15"/>
        <v>15</v>
      </c>
      <c r="AE53" s="87">
        <f t="shared" si="15"/>
        <v>15</v>
      </c>
      <c r="AF53" s="77" t="s">
        <v>465</v>
      </c>
    </row>
    <row r="54" spans="2:32">
      <c r="B54" s="85" t="s">
        <v>171</v>
      </c>
      <c r="C54" s="86">
        <v>27</v>
      </c>
      <c r="D54" s="87">
        <f t="shared" si="14"/>
        <v>27</v>
      </c>
      <c r="E54" s="87">
        <f t="shared" si="14"/>
        <v>27</v>
      </c>
      <c r="F54" s="87">
        <f t="shared" si="14"/>
        <v>27</v>
      </c>
      <c r="G54" s="87">
        <f t="shared" si="14"/>
        <v>27</v>
      </c>
      <c r="H54" s="87">
        <f t="shared" si="14"/>
        <v>27</v>
      </c>
      <c r="I54" s="87">
        <f t="shared" si="14"/>
        <v>27</v>
      </c>
      <c r="J54" s="87">
        <f t="shared" si="14"/>
        <v>27</v>
      </c>
      <c r="K54" s="87">
        <f t="shared" si="14"/>
        <v>27</v>
      </c>
      <c r="L54" s="87">
        <f t="shared" si="14"/>
        <v>27</v>
      </c>
      <c r="M54" s="87">
        <f t="shared" si="14"/>
        <v>27</v>
      </c>
      <c r="N54" s="87">
        <f t="shared" si="14"/>
        <v>27</v>
      </c>
      <c r="O54" s="87">
        <f t="shared" si="14"/>
        <v>27</v>
      </c>
      <c r="P54" s="87">
        <f t="shared" si="14"/>
        <v>27</v>
      </c>
      <c r="Q54" s="87">
        <f t="shared" si="14"/>
        <v>27</v>
      </c>
      <c r="R54" s="87">
        <f t="shared" si="14"/>
        <v>27</v>
      </c>
      <c r="S54" s="87">
        <f t="shared" si="14"/>
        <v>27</v>
      </c>
      <c r="T54" s="87">
        <f t="shared" si="15"/>
        <v>27</v>
      </c>
      <c r="U54" s="87">
        <f t="shared" si="15"/>
        <v>27</v>
      </c>
      <c r="V54" s="87">
        <f t="shared" si="15"/>
        <v>27</v>
      </c>
      <c r="W54" s="87">
        <f t="shared" si="15"/>
        <v>27</v>
      </c>
      <c r="X54" s="87">
        <f t="shared" si="15"/>
        <v>27</v>
      </c>
      <c r="Y54" s="87">
        <f t="shared" si="15"/>
        <v>27</v>
      </c>
      <c r="Z54" s="87">
        <f t="shared" si="15"/>
        <v>27</v>
      </c>
      <c r="AA54" s="87">
        <f t="shared" si="15"/>
        <v>27</v>
      </c>
      <c r="AB54" s="87">
        <f t="shared" si="15"/>
        <v>27</v>
      </c>
      <c r="AC54" s="87">
        <f t="shared" si="15"/>
        <v>27</v>
      </c>
      <c r="AD54" s="87">
        <f t="shared" si="15"/>
        <v>27</v>
      </c>
      <c r="AE54" s="87">
        <f t="shared" si="15"/>
        <v>27</v>
      </c>
      <c r="AF54" s="77" t="s">
        <v>465</v>
      </c>
    </row>
    <row r="55" spans="2:32">
      <c r="B55" s="85" t="s">
        <v>172</v>
      </c>
      <c r="C55" s="86">
        <v>29.5</v>
      </c>
      <c r="D55" s="87">
        <f t="shared" si="14"/>
        <v>29.5</v>
      </c>
      <c r="E55" s="87">
        <f t="shared" si="14"/>
        <v>29.5</v>
      </c>
      <c r="F55" s="87">
        <f t="shared" si="14"/>
        <v>29.5</v>
      </c>
      <c r="G55" s="87">
        <f t="shared" si="14"/>
        <v>29.5</v>
      </c>
      <c r="H55" s="87">
        <f t="shared" si="14"/>
        <v>29.5</v>
      </c>
      <c r="I55" s="87">
        <f t="shared" si="14"/>
        <v>29.5</v>
      </c>
      <c r="J55" s="87">
        <f t="shared" si="14"/>
        <v>29.5</v>
      </c>
      <c r="K55" s="87">
        <f t="shared" si="14"/>
        <v>29.5</v>
      </c>
      <c r="L55" s="87">
        <f t="shared" si="14"/>
        <v>29.5</v>
      </c>
      <c r="M55" s="87">
        <f t="shared" si="14"/>
        <v>29.5</v>
      </c>
      <c r="N55" s="87">
        <f t="shared" si="14"/>
        <v>29.5</v>
      </c>
      <c r="O55" s="87">
        <f t="shared" si="14"/>
        <v>29.5</v>
      </c>
      <c r="P55" s="87">
        <f t="shared" si="14"/>
        <v>29.5</v>
      </c>
      <c r="Q55" s="87">
        <f t="shared" si="14"/>
        <v>29.5</v>
      </c>
      <c r="R55" s="87">
        <f t="shared" si="14"/>
        <v>29.5</v>
      </c>
      <c r="S55" s="87">
        <f t="shared" si="14"/>
        <v>29.5</v>
      </c>
      <c r="T55" s="87">
        <f t="shared" si="15"/>
        <v>29.5</v>
      </c>
      <c r="U55" s="87">
        <f t="shared" si="15"/>
        <v>29.5</v>
      </c>
      <c r="V55" s="87">
        <f t="shared" si="15"/>
        <v>29.5</v>
      </c>
      <c r="W55" s="87">
        <f t="shared" si="15"/>
        <v>29.5</v>
      </c>
      <c r="X55" s="87">
        <f t="shared" si="15"/>
        <v>29.5</v>
      </c>
      <c r="Y55" s="87">
        <f t="shared" si="15"/>
        <v>29.5</v>
      </c>
      <c r="Z55" s="87">
        <f t="shared" si="15"/>
        <v>29.5</v>
      </c>
      <c r="AA55" s="87">
        <f t="shared" si="15"/>
        <v>29.5</v>
      </c>
      <c r="AB55" s="87">
        <f t="shared" si="15"/>
        <v>29.5</v>
      </c>
      <c r="AC55" s="87">
        <f t="shared" si="15"/>
        <v>29.5</v>
      </c>
      <c r="AD55" s="87">
        <f t="shared" si="15"/>
        <v>29.5</v>
      </c>
      <c r="AE55" s="87">
        <f t="shared" si="15"/>
        <v>29.5</v>
      </c>
      <c r="AF55" s="77" t="s">
        <v>465</v>
      </c>
    </row>
    <row r="56" spans="2:32">
      <c r="B56" s="85" t="s">
        <v>173</v>
      </c>
      <c r="C56" s="86">
        <v>25</v>
      </c>
      <c r="D56" s="87">
        <f t="shared" si="14"/>
        <v>25</v>
      </c>
      <c r="E56" s="87">
        <f t="shared" si="14"/>
        <v>25</v>
      </c>
      <c r="F56" s="87">
        <f t="shared" si="14"/>
        <v>25</v>
      </c>
      <c r="G56" s="87">
        <f t="shared" si="14"/>
        <v>25</v>
      </c>
      <c r="H56" s="87">
        <f t="shared" si="14"/>
        <v>25</v>
      </c>
      <c r="I56" s="87">
        <f t="shared" si="14"/>
        <v>25</v>
      </c>
      <c r="J56" s="87">
        <f t="shared" si="14"/>
        <v>25</v>
      </c>
      <c r="K56" s="87">
        <f t="shared" si="14"/>
        <v>25</v>
      </c>
      <c r="L56" s="87">
        <f t="shared" si="14"/>
        <v>25</v>
      </c>
      <c r="M56" s="87">
        <f t="shared" si="14"/>
        <v>25</v>
      </c>
      <c r="N56" s="87">
        <f t="shared" si="14"/>
        <v>25</v>
      </c>
      <c r="O56" s="87">
        <f t="shared" si="14"/>
        <v>25</v>
      </c>
      <c r="P56" s="87">
        <f t="shared" si="14"/>
        <v>25</v>
      </c>
      <c r="Q56" s="87">
        <f t="shared" si="14"/>
        <v>25</v>
      </c>
      <c r="R56" s="87">
        <f t="shared" si="14"/>
        <v>25</v>
      </c>
      <c r="S56" s="87">
        <f t="shared" si="14"/>
        <v>25</v>
      </c>
      <c r="T56" s="87">
        <f t="shared" si="15"/>
        <v>25</v>
      </c>
      <c r="U56" s="87">
        <f t="shared" si="15"/>
        <v>25</v>
      </c>
      <c r="V56" s="87">
        <f t="shared" si="15"/>
        <v>25</v>
      </c>
      <c r="W56" s="87">
        <f t="shared" si="15"/>
        <v>25</v>
      </c>
      <c r="X56" s="87">
        <f t="shared" si="15"/>
        <v>25</v>
      </c>
      <c r="Y56" s="87">
        <f t="shared" si="15"/>
        <v>25</v>
      </c>
      <c r="Z56" s="87">
        <f t="shared" si="15"/>
        <v>25</v>
      </c>
      <c r="AA56" s="87">
        <f t="shared" si="15"/>
        <v>25</v>
      </c>
      <c r="AB56" s="87">
        <f t="shared" si="15"/>
        <v>25</v>
      </c>
      <c r="AC56" s="87">
        <f t="shared" si="15"/>
        <v>25</v>
      </c>
      <c r="AD56" s="87">
        <f t="shared" si="15"/>
        <v>25</v>
      </c>
      <c r="AE56" s="87">
        <f t="shared" si="15"/>
        <v>25</v>
      </c>
      <c r="AF56" s="77" t="s">
        <v>465</v>
      </c>
    </row>
    <row r="57" spans="2:32">
      <c r="B57" s="88" t="s">
        <v>174</v>
      </c>
      <c r="C57" s="86">
        <v>22.939999999999998</v>
      </c>
      <c r="D57" s="87">
        <v>22.98</v>
      </c>
      <c r="E57" s="87">
        <v>23</v>
      </c>
      <c r="F57" s="87">
        <v>23</v>
      </c>
      <c r="G57" s="87">
        <v>23</v>
      </c>
      <c r="H57" s="87">
        <v>23</v>
      </c>
      <c r="I57" s="87">
        <v>23</v>
      </c>
      <c r="J57" s="87">
        <v>23</v>
      </c>
      <c r="K57" s="87">
        <v>23</v>
      </c>
      <c r="L57" s="87">
        <v>23</v>
      </c>
      <c r="M57" s="87">
        <v>23</v>
      </c>
      <c r="N57" s="87">
        <v>23</v>
      </c>
      <c r="O57" s="87">
        <v>23</v>
      </c>
      <c r="P57" s="87">
        <v>23</v>
      </c>
      <c r="Q57" s="87">
        <v>23</v>
      </c>
      <c r="R57" s="87">
        <v>23</v>
      </c>
      <c r="S57" s="87">
        <v>23</v>
      </c>
      <c r="T57" s="87">
        <v>23</v>
      </c>
      <c r="U57" s="87">
        <v>23</v>
      </c>
      <c r="V57" s="87">
        <v>23</v>
      </c>
      <c r="W57" s="87">
        <v>23</v>
      </c>
      <c r="X57" s="87">
        <v>23</v>
      </c>
      <c r="Y57" s="87">
        <v>23</v>
      </c>
      <c r="Z57" s="87">
        <v>23</v>
      </c>
      <c r="AA57" s="87">
        <v>23</v>
      </c>
      <c r="AB57" s="87">
        <v>23</v>
      </c>
      <c r="AC57" s="87">
        <v>23</v>
      </c>
      <c r="AD57" s="87">
        <v>23</v>
      </c>
      <c r="AE57" s="87">
        <v>23</v>
      </c>
      <c r="AF57" s="77" t="s">
        <v>609</v>
      </c>
    </row>
    <row r="58" spans="2:32">
      <c r="B58" s="88" t="s">
        <v>175</v>
      </c>
      <c r="C58" s="86">
        <v>25</v>
      </c>
      <c r="D58" s="87">
        <v>25</v>
      </c>
      <c r="E58" s="87">
        <v>25</v>
      </c>
      <c r="F58" s="87">
        <v>25</v>
      </c>
      <c r="G58" s="87">
        <v>25</v>
      </c>
      <c r="H58" s="87">
        <v>25</v>
      </c>
      <c r="I58" s="87">
        <v>25</v>
      </c>
      <c r="J58" s="87">
        <v>25</v>
      </c>
      <c r="K58" s="87">
        <v>25</v>
      </c>
      <c r="L58" s="87">
        <v>25</v>
      </c>
      <c r="M58" s="87">
        <v>25</v>
      </c>
      <c r="N58" s="87">
        <v>25</v>
      </c>
      <c r="O58" s="87">
        <v>25</v>
      </c>
      <c r="P58" s="87">
        <v>25</v>
      </c>
      <c r="Q58" s="87">
        <v>25</v>
      </c>
      <c r="R58" s="87">
        <v>25</v>
      </c>
      <c r="S58" s="87">
        <v>25</v>
      </c>
      <c r="T58" s="87">
        <v>25</v>
      </c>
      <c r="U58" s="87">
        <v>25</v>
      </c>
      <c r="V58" s="87">
        <v>25</v>
      </c>
      <c r="W58" s="87">
        <v>25</v>
      </c>
      <c r="X58" s="87">
        <v>25</v>
      </c>
      <c r="Y58" s="87">
        <v>25</v>
      </c>
      <c r="Z58" s="87">
        <v>25</v>
      </c>
      <c r="AA58" s="87">
        <v>25</v>
      </c>
      <c r="AB58" s="87">
        <v>25</v>
      </c>
      <c r="AC58" s="87">
        <v>25</v>
      </c>
      <c r="AD58" s="87">
        <v>25</v>
      </c>
      <c r="AE58" s="87">
        <v>25</v>
      </c>
      <c r="AF58" s="77" t="s">
        <v>609</v>
      </c>
    </row>
    <row r="59" spans="2:32">
      <c r="B59" s="88" t="s">
        <v>176</v>
      </c>
      <c r="C59" s="86">
        <v>12.5</v>
      </c>
      <c r="D59" s="87">
        <f t="shared" ref="D59:S61" si="16">C59</f>
        <v>12.5</v>
      </c>
      <c r="E59" s="87">
        <f t="shared" si="16"/>
        <v>12.5</v>
      </c>
      <c r="F59" s="87">
        <f t="shared" si="16"/>
        <v>12.5</v>
      </c>
      <c r="G59" s="87">
        <f t="shared" si="16"/>
        <v>12.5</v>
      </c>
      <c r="H59" s="87">
        <f t="shared" si="16"/>
        <v>12.5</v>
      </c>
      <c r="I59" s="87">
        <f t="shared" si="16"/>
        <v>12.5</v>
      </c>
      <c r="J59" s="87">
        <f t="shared" si="16"/>
        <v>12.5</v>
      </c>
      <c r="K59" s="87">
        <f t="shared" si="16"/>
        <v>12.5</v>
      </c>
      <c r="L59" s="87">
        <f t="shared" si="16"/>
        <v>12.5</v>
      </c>
      <c r="M59" s="87">
        <f t="shared" si="16"/>
        <v>12.5</v>
      </c>
      <c r="N59" s="87">
        <f t="shared" si="16"/>
        <v>12.5</v>
      </c>
      <c r="O59" s="87">
        <f t="shared" si="16"/>
        <v>12.5</v>
      </c>
      <c r="P59" s="87">
        <f t="shared" si="16"/>
        <v>12.5</v>
      </c>
      <c r="Q59" s="87">
        <f t="shared" si="16"/>
        <v>12.5</v>
      </c>
      <c r="R59" s="87">
        <f t="shared" si="16"/>
        <v>12.5</v>
      </c>
      <c r="S59" s="87">
        <f t="shared" si="16"/>
        <v>12.5</v>
      </c>
      <c r="T59" s="87">
        <f t="shared" ref="T59:AE61" si="17">S59</f>
        <v>12.5</v>
      </c>
      <c r="U59" s="87">
        <f t="shared" si="17"/>
        <v>12.5</v>
      </c>
      <c r="V59" s="87">
        <f t="shared" si="17"/>
        <v>12.5</v>
      </c>
      <c r="W59" s="87">
        <f t="shared" si="17"/>
        <v>12.5</v>
      </c>
      <c r="X59" s="87">
        <f t="shared" si="17"/>
        <v>12.5</v>
      </c>
      <c r="Y59" s="87">
        <f t="shared" si="17"/>
        <v>12.5</v>
      </c>
      <c r="Z59" s="87">
        <f t="shared" si="17"/>
        <v>12.5</v>
      </c>
      <c r="AA59" s="87">
        <f t="shared" si="17"/>
        <v>12.5</v>
      </c>
      <c r="AB59" s="87">
        <f t="shared" si="17"/>
        <v>12.5</v>
      </c>
      <c r="AC59" s="87">
        <f t="shared" si="17"/>
        <v>12.5</v>
      </c>
      <c r="AD59" s="87">
        <f t="shared" si="17"/>
        <v>12.5</v>
      </c>
      <c r="AE59" s="87">
        <f t="shared" si="17"/>
        <v>12.5</v>
      </c>
      <c r="AF59" s="77" t="s">
        <v>465</v>
      </c>
    </row>
    <row r="60" spans="2:32">
      <c r="B60" s="88" t="s">
        <v>177</v>
      </c>
      <c r="C60" s="86">
        <v>20</v>
      </c>
      <c r="D60" s="87">
        <f t="shared" si="16"/>
        <v>20</v>
      </c>
      <c r="E60" s="87">
        <f t="shared" si="16"/>
        <v>20</v>
      </c>
      <c r="F60" s="87">
        <f t="shared" si="16"/>
        <v>20</v>
      </c>
      <c r="G60" s="87">
        <f t="shared" si="16"/>
        <v>20</v>
      </c>
      <c r="H60" s="87">
        <f t="shared" si="16"/>
        <v>20</v>
      </c>
      <c r="I60" s="87">
        <f t="shared" si="16"/>
        <v>20</v>
      </c>
      <c r="J60" s="87">
        <f t="shared" si="16"/>
        <v>20</v>
      </c>
      <c r="K60" s="87">
        <f t="shared" si="16"/>
        <v>20</v>
      </c>
      <c r="L60" s="87">
        <f t="shared" si="16"/>
        <v>20</v>
      </c>
      <c r="M60" s="87">
        <f t="shared" si="16"/>
        <v>20</v>
      </c>
      <c r="N60" s="87">
        <f t="shared" si="16"/>
        <v>20</v>
      </c>
      <c r="O60" s="87">
        <f t="shared" si="16"/>
        <v>20</v>
      </c>
      <c r="P60" s="87">
        <f t="shared" si="16"/>
        <v>20</v>
      </c>
      <c r="Q60" s="87">
        <f t="shared" si="16"/>
        <v>20</v>
      </c>
      <c r="R60" s="87">
        <f t="shared" si="16"/>
        <v>20</v>
      </c>
      <c r="S60" s="87">
        <f t="shared" si="16"/>
        <v>20</v>
      </c>
      <c r="T60" s="87">
        <f t="shared" si="17"/>
        <v>20</v>
      </c>
      <c r="U60" s="87">
        <f t="shared" si="17"/>
        <v>20</v>
      </c>
      <c r="V60" s="87">
        <f t="shared" si="17"/>
        <v>20</v>
      </c>
      <c r="W60" s="87">
        <f t="shared" si="17"/>
        <v>20</v>
      </c>
      <c r="X60" s="87">
        <f t="shared" si="17"/>
        <v>20</v>
      </c>
      <c r="Y60" s="87">
        <f t="shared" si="17"/>
        <v>20</v>
      </c>
      <c r="Z60" s="87">
        <f t="shared" si="17"/>
        <v>20</v>
      </c>
      <c r="AA60" s="87">
        <f t="shared" si="17"/>
        <v>20</v>
      </c>
      <c r="AB60" s="87">
        <f t="shared" si="17"/>
        <v>20</v>
      </c>
      <c r="AC60" s="87">
        <f t="shared" si="17"/>
        <v>20</v>
      </c>
      <c r="AD60" s="87">
        <f t="shared" si="17"/>
        <v>20</v>
      </c>
      <c r="AE60" s="87">
        <f t="shared" si="17"/>
        <v>20</v>
      </c>
      <c r="AF60" s="77" t="s">
        <v>465</v>
      </c>
    </row>
    <row r="61" spans="2:32">
      <c r="B61" s="88" t="s">
        <v>178</v>
      </c>
      <c r="C61" s="86">
        <v>26.5</v>
      </c>
      <c r="D61" s="87">
        <f t="shared" si="16"/>
        <v>26.5</v>
      </c>
      <c r="E61" s="87">
        <f t="shared" si="16"/>
        <v>26.5</v>
      </c>
      <c r="F61" s="87">
        <f t="shared" si="16"/>
        <v>26.5</v>
      </c>
      <c r="G61" s="87">
        <f t="shared" si="16"/>
        <v>26.5</v>
      </c>
      <c r="H61" s="87">
        <f t="shared" si="16"/>
        <v>26.5</v>
      </c>
      <c r="I61" s="87">
        <f t="shared" si="16"/>
        <v>26.5</v>
      </c>
      <c r="J61" s="87">
        <f t="shared" si="16"/>
        <v>26.5</v>
      </c>
      <c r="K61" s="87">
        <f t="shared" si="16"/>
        <v>26.5</v>
      </c>
      <c r="L61" s="87">
        <f t="shared" si="16"/>
        <v>26.5</v>
      </c>
      <c r="M61" s="87">
        <f t="shared" si="16"/>
        <v>26.5</v>
      </c>
      <c r="N61" s="87">
        <f t="shared" si="16"/>
        <v>26.5</v>
      </c>
      <c r="O61" s="87">
        <f t="shared" si="16"/>
        <v>26.5</v>
      </c>
      <c r="P61" s="87">
        <f t="shared" si="16"/>
        <v>26.5</v>
      </c>
      <c r="Q61" s="87">
        <f t="shared" si="16"/>
        <v>26.5</v>
      </c>
      <c r="R61" s="87">
        <f t="shared" si="16"/>
        <v>26.5</v>
      </c>
      <c r="S61" s="87">
        <f t="shared" si="16"/>
        <v>26.5</v>
      </c>
      <c r="T61" s="87">
        <f t="shared" si="17"/>
        <v>26.5</v>
      </c>
      <c r="U61" s="87">
        <f t="shared" si="17"/>
        <v>26.5</v>
      </c>
      <c r="V61" s="87">
        <f t="shared" si="17"/>
        <v>26.5</v>
      </c>
      <c r="W61" s="87">
        <f t="shared" si="17"/>
        <v>26.5</v>
      </c>
      <c r="X61" s="87">
        <f t="shared" si="17"/>
        <v>26.5</v>
      </c>
      <c r="Y61" s="87">
        <f t="shared" si="17"/>
        <v>26.5</v>
      </c>
      <c r="Z61" s="87">
        <f t="shared" si="17"/>
        <v>26.5</v>
      </c>
      <c r="AA61" s="87">
        <f t="shared" si="17"/>
        <v>26.5</v>
      </c>
      <c r="AB61" s="87">
        <f t="shared" si="17"/>
        <v>26.5</v>
      </c>
      <c r="AC61" s="87">
        <f t="shared" si="17"/>
        <v>26.5</v>
      </c>
      <c r="AD61" s="87">
        <f t="shared" si="17"/>
        <v>26.5</v>
      </c>
      <c r="AE61" s="87">
        <f t="shared" si="17"/>
        <v>26.5</v>
      </c>
      <c r="AF61" s="77" t="s">
        <v>465</v>
      </c>
    </row>
    <row r="62" spans="2:32">
      <c r="B62" s="88" t="s">
        <v>179</v>
      </c>
      <c r="C62" s="86">
        <v>30.020000000000003</v>
      </c>
      <c r="D62" s="87">
        <v>29.98</v>
      </c>
      <c r="E62" s="87">
        <v>31.009999999999998</v>
      </c>
      <c r="F62" s="87">
        <v>32.1</v>
      </c>
      <c r="G62" s="87">
        <v>32.1</v>
      </c>
      <c r="H62" s="87">
        <v>32.1</v>
      </c>
      <c r="I62" s="87">
        <v>32.1</v>
      </c>
      <c r="J62" s="87">
        <v>32.1</v>
      </c>
      <c r="K62" s="87">
        <v>32.1</v>
      </c>
      <c r="L62" s="87">
        <v>32.1</v>
      </c>
      <c r="M62" s="87">
        <v>32.1</v>
      </c>
      <c r="N62" s="87">
        <v>32.1</v>
      </c>
      <c r="O62" s="87">
        <v>32.1</v>
      </c>
      <c r="P62" s="87">
        <v>32.1</v>
      </c>
      <c r="Q62" s="87">
        <v>32.1</v>
      </c>
      <c r="R62" s="87">
        <v>32.1</v>
      </c>
      <c r="S62" s="87">
        <v>32.1</v>
      </c>
      <c r="T62" s="87">
        <v>32.1</v>
      </c>
      <c r="U62" s="87">
        <v>32.1</v>
      </c>
      <c r="V62" s="87">
        <v>32.1</v>
      </c>
      <c r="W62" s="87">
        <v>32.1</v>
      </c>
      <c r="X62" s="87">
        <v>32.1</v>
      </c>
      <c r="Y62" s="87">
        <v>32.1</v>
      </c>
      <c r="Z62" s="87">
        <v>32.1</v>
      </c>
      <c r="AA62" s="87">
        <v>32.1</v>
      </c>
      <c r="AB62" s="87">
        <v>32.1</v>
      </c>
      <c r="AC62" s="87">
        <v>32.1</v>
      </c>
      <c r="AD62" s="87">
        <v>32.1</v>
      </c>
      <c r="AE62" s="87">
        <v>32.1</v>
      </c>
      <c r="AF62" s="77" t="s">
        <v>609</v>
      </c>
    </row>
    <row r="63" spans="2:32">
      <c r="B63" s="88" t="s">
        <v>180</v>
      </c>
      <c r="C63" s="86">
        <v>22</v>
      </c>
      <c r="D63" s="87">
        <f t="shared" ref="D63:S66" si="18">C63</f>
        <v>22</v>
      </c>
      <c r="E63" s="87">
        <f t="shared" si="18"/>
        <v>22</v>
      </c>
      <c r="F63" s="87">
        <f t="shared" si="18"/>
        <v>22</v>
      </c>
      <c r="G63" s="87">
        <f t="shared" si="18"/>
        <v>22</v>
      </c>
      <c r="H63" s="87">
        <f t="shared" si="18"/>
        <v>22</v>
      </c>
      <c r="I63" s="87">
        <f t="shared" si="18"/>
        <v>22</v>
      </c>
      <c r="J63" s="87">
        <f t="shared" si="18"/>
        <v>22</v>
      </c>
      <c r="K63" s="87">
        <f t="shared" si="18"/>
        <v>22</v>
      </c>
      <c r="L63" s="87">
        <f t="shared" si="18"/>
        <v>22</v>
      </c>
      <c r="M63" s="87">
        <f t="shared" si="18"/>
        <v>22</v>
      </c>
      <c r="N63" s="87">
        <f t="shared" si="18"/>
        <v>22</v>
      </c>
      <c r="O63" s="87">
        <f t="shared" si="18"/>
        <v>22</v>
      </c>
      <c r="P63" s="87">
        <f t="shared" si="18"/>
        <v>22</v>
      </c>
      <c r="Q63" s="87">
        <f t="shared" si="18"/>
        <v>22</v>
      </c>
      <c r="R63" s="87">
        <f t="shared" si="18"/>
        <v>22</v>
      </c>
      <c r="S63" s="87">
        <f t="shared" si="18"/>
        <v>22</v>
      </c>
      <c r="T63" s="87">
        <f t="shared" ref="T63:AE66" si="19">S63</f>
        <v>22</v>
      </c>
      <c r="U63" s="87">
        <f t="shared" si="19"/>
        <v>22</v>
      </c>
      <c r="V63" s="87">
        <f t="shared" si="19"/>
        <v>22</v>
      </c>
      <c r="W63" s="87">
        <f t="shared" si="19"/>
        <v>22</v>
      </c>
      <c r="X63" s="87">
        <f t="shared" si="19"/>
        <v>22</v>
      </c>
      <c r="Y63" s="87">
        <f t="shared" si="19"/>
        <v>22</v>
      </c>
      <c r="Z63" s="87">
        <f t="shared" si="19"/>
        <v>22</v>
      </c>
      <c r="AA63" s="87">
        <f t="shared" si="19"/>
        <v>22</v>
      </c>
      <c r="AB63" s="87">
        <f t="shared" si="19"/>
        <v>22</v>
      </c>
      <c r="AC63" s="87">
        <f t="shared" si="19"/>
        <v>22</v>
      </c>
      <c r="AD63" s="87">
        <f t="shared" si="19"/>
        <v>22</v>
      </c>
      <c r="AE63" s="87">
        <f t="shared" si="19"/>
        <v>22</v>
      </c>
      <c r="AF63" s="77" t="s">
        <v>465</v>
      </c>
    </row>
    <row r="64" spans="2:32">
      <c r="B64" s="88" t="s">
        <v>181</v>
      </c>
      <c r="C64" s="86">
        <v>12.5</v>
      </c>
      <c r="D64" s="87">
        <f t="shared" si="18"/>
        <v>12.5</v>
      </c>
      <c r="E64" s="87">
        <f t="shared" si="18"/>
        <v>12.5</v>
      </c>
      <c r="F64" s="87">
        <f t="shared" si="18"/>
        <v>12.5</v>
      </c>
      <c r="G64" s="87">
        <f t="shared" si="18"/>
        <v>12.5</v>
      </c>
      <c r="H64" s="87">
        <f t="shared" si="18"/>
        <v>12.5</v>
      </c>
      <c r="I64" s="87">
        <f t="shared" si="18"/>
        <v>12.5</v>
      </c>
      <c r="J64" s="87">
        <f t="shared" si="18"/>
        <v>12.5</v>
      </c>
      <c r="K64" s="87">
        <f t="shared" si="18"/>
        <v>12.5</v>
      </c>
      <c r="L64" s="87">
        <f t="shared" si="18"/>
        <v>12.5</v>
      </c>
      <c r="M64" s="87">
        <f t="shared" si="18"/>
        <v>12.5</v>
      </c>
      <c r="N64" s="87">
        <f t="shared" si="18"/>
        <v>12.5</v>
      </c>
      <c r="O64" s="87">
        <f t="shared" si="18"/>
        <v>12.5</v>
      </c>
      <c r="P64" s="87">
        <f t="shared" si="18"/>
        <v>12.5</v>
      </c>
      <c r="Q64" s="87">
        <f t="shared" si="18"/>
        <v>12.5</v>
      </c>
      <c r="R64" s="87">
        <f t="shared" si="18"/>
        <v>12.5</v>
      </c>
      <c r="S64" s="87">
        <f t="shared" si="18"/>
        <v>12.5</v>
      </c>
      <c r="T64" s="87">
        <f t="shared" si="19"/>
        <v>12.5</v>
      </c>
      <c r="U64" s="87">
        <f t="shared" si="19"/>
        <v>12.5</v>
      </c>
      <c r="V64" s="87">
        <f t="shared" si="19"/>
        <v>12.5</v>
      </c>
      <c r="W64" s="87">
        <f t="shared" si="19"/>
        <v>12.5</v>
      </c>
      <c r="X64" s="87">
        <f t="shared" si="19"/>
        <v>12.5</v>
      </c>
      <c r="Y64" s="87">
        <f t="shared" si="19"/>
        <v>12.5</v>
      </c>
      <c r="Z64" s="87">
        <f t="shared" si="19"/>
        <v>12.5</v>
      </c>
      <c r="AA64" s="87">
        <f t="shared" si="19"/>
        <v>12.5</v>
      </c>
      <c r="AB64" s="87">
        <f t="shared" si="19"/>
        <v>12.5</v>
      </c>
      <c r="AC64" s="87">
        <f t="shared" si="19"/>
        <v>12.5</v>
      </c>
      <c r="AD64" s="87">
        <f t="shared" si="19"/>
        <v>12.5</v>
      </c>
      <c r="AE64" s="87">
        <f t="shared" si="19"/>
        <v>12.5</v>
      </c>
      <c r="AF64" s="77" t="s">
        <v>465</v>
      </c>
    </row>
    <row r="65" spans="2:32">
      <c r="B65" s="88" t="s">
        <v>182</v>
      </c>
      <c r="C65" s="86">
        <v>27.81</v>
      </c>
      <c r="D65" s="87">
        <f t="shared" si="18"/>
        <v>27.81</v>
      </c>
      <c r="E65" s="87">
        <f t="shared" si="18"/>
        <v>27.81</v>
      </c>
      <c r="F65" s="87">
        <f t="shared" si="18"/>
        <v>27.81</v>
      </c>
      <c r="G65" s="87">
        <f t="shared" si="18"/>
        <v>27.81</v>
      </c>
      <c r="H65" s="87">
        <f t="shared" si="18"/>
        <v>27.81</v>
      </c>
      <c r="I65" s="87">
        <f t="shared" si="18"/>
        <v>27.81</v>
      </c>
      <c r="J65" s="87">
        <f t="shared" si="18"/>
        <v>27.81</v>
      </c>
      <c r="K65" s="87">
        <f t="shared" si="18"/>
        <v>27.81</v>
      </c>
      <c r="L65" s="87">
        <f t="shared" si="18"/>
        <v>27.81</v>
      </c>
      <c r="M65" s="87">
        <f t="shared" si="18"/>
        <v>27.81</v>
      </c>
      <c r="N65" s="87">
        <f t="shared" si="18"/>
        <v>27.81</v>
      </c>
      <c r="O65" s="87">
        <f t="shared" si="18"/>
        <v>27.81</v>
      </c>
      <c r="P65" s="87">
        <f t="shared" si="18"/>
        <v>27.81</v>
      </c>
      <c r="Q65" s="87">
        <f t="shared" si="18"/>
        <v>27.81</v>
      </c>
      <c r="R65" s="87">
        <f t="shared" si="18"/>
        <v>27.81</v>
      </c>
      <c r="S65" s="87">
        <f t="shared" si="18"/>
        <v>27.81</v>
      </c>
      <c r="T65" s="87">
        <f t="shared" si="19"/>
        <v>27.81</v>
      </c>
      <c r="U65" s="87">
        <f t="shared" si="19"/>
        <v>27.81</v>
      </c>
      <c r="V65" s="87">
        <f t="shared" si="19"/>
        <v>27.81</v>
      </c>
      <c r="W65" s="87">
        <f t="shared" si="19"/>
        <v>27.81</v>
      </c>
      <c r="X65" s="87">
        <f t="shared" si="19"/>
        <v>27.81</v>
      </c>
      <c r="Y65" s="87">
        <f t="shared" si="19"/>
        <v>27.81</v>
      </c>
      <c r="Z65" s="87">
        <f t="shared" si="19"/>
        <v>27.81</v>
      </c>
      <c r="AA65" s="87">
        <f t="shared" si="19"/>
        <v>27.81</v>
      </c>
      <c r="AB65" s="87">
        <f t="shared" si="19"/>
        <v>27.81</v>
      </c>
      <c r="AC65" s="87">
        <f t="shared" si="19"/>
        <v>27.81</v>
      </c>
      <c r="AD65" s="87">
        <f t="shared" si="19"/>
        <v>27.81</v>
      </c>
      <c r="AE65" s="87">
        <f t="shared" si="19"/>
        <v>27.81</v>
      </c>
      <c r="AF65" s="77" t="s">
        <v>465</v>
      </c>
    </row>
    <row r="66" spans="2:32">
      <c r="B66" s="88" t="s">
        <v>183</v>
      </c>
      <c r="C66" s="86">
        <v>35</v>
      </c>
      <c r="D66" s="87">
        <f t="shared" si="18"/>
        <v>35</v>
      </c>
      <c r="E66" s="87">
        <f t="shared" si="18"/>
        <v>35</v>
      </c>
      <c r="F66" s="87">
        <f t="shared" si="18"/>
        <v>35</v>
      </c>
      <c r="G66" s="87">
        <f t="shared" si="18"/>
        <v>35</v>
      </c>
      <c r="H66" s="87">
        <f t="shared" si="18"/>
        <v>35</v>
      </c>
      <c r="I66" s="87">
        <f t="shared" si="18"/>
        <v>35</v>
      </c>
      <c r="J66" s="87">
        <f t="shared" si="18"/>
        <v>35</v>
      </c>
      <c r="K66" s="87">
        <f t="shared" si="18"/>
        <v>35</v>
      </c>
      <c r="L66" s="87">
        <f t="shared" si="18"/>
        <v>35</v>
      </c>
      <c r="M66" s="87">
        <f t="shared" si="18"/>
        <v>35</v>
      </c>
      <c r="N66" s="87">
        <f t="shared" si="18"/>
        <v>35</v>
      </c>
      <c r="O66" s="87">
        <f t="shared" si="18"/>
        <v>35</v>
      </c>
      <c r="P66" s="87">
        <f t="shared" si="18"/>
        <v>35</v>
      </c>
      <c r="Q66" s="87">
        <f t="shared" si="18"/>
        <v>35</v>
      </c>
      <c r="R66" s="87">
        <f t="shared" si="18"/>
        <v>35</v>
      </c>
      <c r="S66" s="87">
        <f t="shared" si="18"/>
        <v>35</v>
      </c>
      <c r="T66" s="87">
        <f t="shared" si="19"/>
        <v>35</v>
      </c>
      <c r="U66" s="87">
        <f t="shared" si="19"/>
        <v>35</v>
      </c>
      <c r="V66" s="87">
        <f t="shared" si="19"/>
        <v>35</v>
      </c>
      <c r="W66" s="87">
        <f t="shared" si="19"/>
        <v>35</v>
      </c>
      <c r="X66" s="87">
        <f t="shared" si="19"/>
        <v>35</v>
      </c>
      <c r="Y66" s="87">
        <f t="shared" si="19"/>
        <v>35</v>
      </c>
      <c r="Z66" s="87">
        <f t="shared" si="19"/>
        <v>35</v>
      </c>
      <c r="AA66" s="87">
        <f t="shared" si="19"/>
        <v>35</v>
      </c>
      <c r="AB66" s="87">
        <f t="shared" si="19"/>
        <v>35</v>
      </c>
      <c r="AC66" s="87">
        <f t="shared" si="19"/>
        <v>35</v>
      </c>
      <c r="AD66" s="87">
        <f t="shared" si="19"/>
        <v>35</v>
      </c>
      <c r="AE66" s="87">
        <f t="shared" si="19"/>
        <v>35</v>
      </c>
      <c r="AF66" s="77" t="s">
        <v>465</v>
      </c>
    </row>
    <row r="67" spans="2:32">
      <c r="B67" s="88" t="s">
        <v>184</v>
      </c>
      <c r="C67" s="86">
        <v>25.8</v>
      </c>
      <c r="D67" s="87">
        <v>25.8</v>
      </c>
      <c r="E67" s="87">
        <v>25.8</v>
      </c>
      <c r="F67" s="87">
        <v>25.8</v>
      </c>
      <c r="G67" s="87">
        <v>25.8</v>
      </c>
      <c r="H67" s="87">
        <v>25.8</v>
      </c>
      <c r="I67" s="87">
        <v>25.8</v>
      </c>
      <c r="J67" s="87">
        <v>25.8</v>
      </c>
      <c r="K67" s="87">
        <v>25.8</v>
      </c>
      <c r="L67" s="87">
        <v>25.8</v>
      </c>
      <c r="M67" s="87">
        <v>25.8</v>
      </c>
      <c r="N67" s="87">
        <v>25.8</v>
      </c>
      <c r="O67" s="87">
        <v>25.8</v>
      </c>
      <c r="P67" s="87">
        <v>25.8</v>
      </c>
      <c r="Q67" s="87">
        <v>25.8</v>
      </c>
      <c r="R67" s="87">
        <v>25.8</v>
      </c>
      <c r="S67" s="87">
        <v>25.8</v>
      </c>
      <c r="T67" s="87">
        <v>25.8</v>
      </c>
      <c r="U67" s="87">
        <v>25.8</v>
      </c>
      <c r="V67" s="87">
        <v>25.8</v>
      </c>
      <c r="W67" s="87">
        <v>25.8</v>
      </c>
      <c r="X67" s="87">
        <v>25.8</v>
      </c>
      <c r="Y67" s="87">
        <v>25.8</v>
      </c>
      <c r="Z67" s="87">
        <v>25.8</v>
      </c>
      <c r="AA67" s="87">
        <v>25.8</v>
      </c>
      <c r="AB67" s="87">
        <v>25.8</v>
      </c>
      <c r="AC67" s="87">
        <v>25.8</v>
      </c>
      <c r="AD67" s="87">
        <v>25.8</v>
      </c>
      <c r="AE67" s="87">
        <v>25.8</v>
      </c>
      <c r="AF67" s="77" t="s">
        <v>609</v>
      </c>
    </row>
    <row r="68" spans="2:32">
      <c r="B68" s="88" t="s">
        <v>185</v>
      </c>
      <c r="C68" s="86">
        <v>21</v>
      </c>
      <c r="D68" s="87">
        <f t="shared" ref="D68:S70" si="20">C68</f>
        <v>21</v>
      </c>
      <c r="E68" s="87">
        <f t="shared" si="20"/>
        <v>21</v>
      </c>
      <c r="F68" s="87">
        <f t="shared" si="20"/>
        <v>21</v>
      </c>
      <c r="G68" s="87">
        <f t="shared" si="20"/>
        <v>21</v>
      </c>
      <c r="H68" s="87">
        <f t="shared" si="20"/>
        <v>21</v>
      </c>
      <c r="I68" s="87">
        <f t="shared" si="20"/>
        <v>21</v>
      </c>
      <c r="J68" s="87">
        <f t="shared" si="20"/>
        <v>21</v>
      </c>
      <c r="K68" s="87">
        <f t="shared" si="20"/>
        <v>21</v>
      </c>
      <c r="L68" s="87">
        <f t="shared" si="20"/>
        <v>21</v>
      </c>
      <c r="M68" s="87">
        <f t="shared" si="20"/>
        <v>21</v>
      </c>
      <c r="N68" s="87">
        <f t="shared" si="20"/>
        <v>21</v>
      </c>
      <c r="O68" s="87">
        <f t="shared" si="20"/>
        <v>21</v>
      </c>
      <c r="P68" s="87">
        <f t="shared" si="20"/>
        <v>21</v>
      </c>
      <c r="Q68" s="87">
        <f t="shared" si="20"/>
        <v>21</v>
      </c>
      <c r="R68" s="87">
        <f t="shared" si="20"/>
        <v>21</v>
      </c>
      <c r="S68" s="87">
        <f t="shared" si="20"/>
        <v>21</v>
      </c>
      <c r="T68" s="87">
        <f t="shared" ref="T68:AE70" si="21">S68</f>
        <v>21</v>
      </c>
      <c r="U68" s="87">
        <f t="shared" si="21"/>
        <v>21</v>
      </c>
      <c r="V68" s="87">
        <f t="shared" si="21"/>
        <v>21</v>
      </c>
      <c r="W68" s="87">
        <f t="shared" si="21"/>
        <v>21</v>
      </c>
      <c r="X68" s="87">
        <f t="shared" si="21"/>
        <v>21</v>
      </c>
      <c r="Y68" s="87">
        <f t="shared" si="21"/>
        <v>21</v>
      </c>
      <c r="Z68" s="87">
        <f t="shared" si="21"/>
        <v>21</v>
      </c>
      <c r="AA68" s="87">
        <f t="shared" si="21"/>
        <v>21</v>
      </c>
      <c r="AB68" s="87">
        <f t="shared" si="21"/>
        <v>21</v>
      </c>
      <c r="AC68" s="87">
        <f t="shared" si="21"/>
        <v>21</v>
      </c>
      <c r="AD68" s="87">
        <f t="shared" si="21"/>
        <v>21</v>
      </c>
      <c r="AE68" s="87">
        <f t="shared" si="21"/>
        <v>21</v>
      </c>
      <c r="AF68" s="77" t="s">
        <v>465</v>
      </c>
    </row>
    <row r="69" spans="2:32">
      <c r="B69" s="88" t="s">
        <v>187</v>
      </c>
      <c r="C69" s="86">
        <v>19</v>
      </c>
      <c r="D69" s="87">
        <f t="shared" si="20"/>
        <v>19</v>
      </c>
      <c r="E69" s="87">
        <f t="shared" si="20"/>
        <v>19</v>
      </c>
      <c r="F69" s="87">
        <f t="shared" si="20"/>
        <v>19</v>
      </c>
      <c r="G69" s="87">
        <f t="shared" si="20"/>
        <v>19</v>
      </c>
      <c r="H69" s="87">
        <f t="shared" si="20"/>
        <v>19</v>
      </c>
      <c r="I69" s="87">
        <f t="shared" si="20"/>
        <v>19</v>
      </c>
      <c r="J69" s="87">
        <f t="shared" si="20"/>
        <v>19</v>
      </c>
      <c r="K69" s="87">
        <f t="shared" si="20"/>
        <v>19</v>
      </c>
      <c r="L69" s="87">
        <f t="shared" si="20"/>
        <v>19</v>
      </c>
      <c r="M69" s="87">
        <f t="shared" si="20"/>
        <v>19</v>
      </c>
      <c r="N69" s="87">
        <f t="shared" si="20"/>
        <v>19</v>
      </c>
      <c r="O69" s="87">
        <f t="shared" si="20"/>
        <v>19</v>
      </c>
      <c r="P69" s="87">
        <f t="shared" si="20"/>
        <v>19</v>
      </c>
      <c r="Q69" s="87">
        <f t="shared" si="20"/>
        <v>19</v>
      </c>
      <c r="R69" s="87">
        <f t="shared" si="20"/>
        <v>19</v>
      </c>
      <c r="S69" s="87">
        <f t="shared" si="20"/>
        <v>19</v>
      </c>
      <c r="T69" s="87">
        <f t="shared" si="21"/>
        <v>19</v>
      </c>
      <c r="U69" s="87">
        <f t="shared" si="21"/>
        <v>19</v>
      </c>
      <c r="V69" s="87">
        <f t="shared" si="21"/>
        <v>19</v>
      </c>
      <c r="W69" s="87">
        <f t="shared" si="21"/>
        <v>19</v>
      </c>
      <c r="X69" s="87">
        <f t="shared" si="21"/>
        <v>19</v>
      </c>
      <c r="Y69" s="87">
        <f t="shared" si="21"/>
        <v>19</v>
      </c>
      <c r="Z69" s="87">
        <f t="shared" si="21"/>
        <v>19</v>
      </c>
      <c r="AA69" s="87">
        <f t="shared" si="21"/>
        <v>19</v>
      </c>
      <c r="AB69" s="87">
        <f t="shared" si="21"/>
        <v>19</v>
      </c>
      <c r="AC69" s="87">
        <f t="shared" si="21"/>
        <v>19</v>
      </c>
      <c r="AD69" s="87">
        <f t="shared" si="21"/>
        <v>19</v>
      </c>
      <c r="AE69" s="87">
        <f t="shared" si="21"/>
        <v>19</v>
      </c>
      <c r="AF69" s="77" t="s">
        <v>465</v>
      </c>
    </row>
    <row r="70" spans="2:32">
      <c r="B70" s="88" t="s">
        <v>188</v>
      </c>
      <c r="C70" s="86">
        <v>25</v>
      </c>
      <c r="D70" s="87">
        <f t="shared" si="20"/>
        <v>25</v>
      </c>
      <c r="E70" s="87">
        <f t="shared" si="20"/>
        <v>25</v>
      </c>
      <c r="F70" s="87">
        <f t="shared" si="20"/>
        <v>25</v>
      </c>
      <c r="G70" s="87">
        <f t="shared" si="20"/>
        <v>25</v>
      </c>
      <c r="H70" s="87">
        <f t="shared" si="20"/>
        <v>25</v>
      </c>
      <c r="I70" s="87">
        <f t="shared" si="20"/>
        <v>25</v>
      </c>
      <c r="J70" s="87">
        <f t="shared" si="20"/>
        <v>25</v>
      </c>
      <c r="K70" s="87">
        <f t="shared" si="20"/>
        <v>25</v>
      </c>
      <c r="L70" s="87">
        <f t="shared" si="20"/>
        <v>25</v>
      </c>
      <c r="M70" s="87">
        <f t="shared" si="20"/>
        <v>25</v>
      </c>
      <c r="N70" s="87">
        <f t="shared" si="20"/>
        <v>25</v>
      </c>
      <c r="O70" s="87">
        <f t="shared" si="20"/>
        <v>25</v>
      </c>
      <c r="P70" s="87">
        <f t="shared" si="20"/>
        <v>25</v>
      </c>
      <c r="Q70" s="87">
        <f t="shared" si="20"/>
        <v>25</v>
      </c>
      <c r="R70" s="87">
        <f t="shared" si="20"/>
        <v>25</v>
      </c>
      <c r="S70" s="87">
        <f t="shared" si="20"/>
        <v>25</v>
      </c>
      <c r="T70" s="87">
        <f t="shared" si="21"/>
        <v>25</v>
      </c>
      <c r="U70" s="87">
        <f t="shared" si="21"/>
        <v>25</v>
      </c>
      <c r="V70" s="87">
        <f t="shared" si="21"/>
        <v>25</v>
      </c>
      <c r="W70" s="87">
        <f t="shared" si="21"/>
        <v>25</v>
      </c>
      <c r="X70" s="87">
        <f t="shared" si="21"/>
        <v>25</v>
      </c>
      <c r="Y70" s="87">
        <f t="shared" si="21"/>
        <v>25</v>
      </c>
      <c r="Z70" s="87">
        <f t="shared" si="21"/>
        <v>25</v>
      </c>
      <c r="AA70" s="87">
        <f t="shared" si="21"/>
        <v>25</v>
      </c>
      <c r="AB70" s="87">
        <f t="shared" si="21"/>
        <v>25</v>
      </c>
      <c r="AC70" s="87">
        <f t="shared" si="21"/>
        <v>25</v>
      </c>
      <c r="AD70" s="87">
        <f t="shared" si="21"/>
        <v>25</v>
      </c>
      <c r="AE70" s="87">
        <f t="shared" si="21"/>
        <v>25</v>
      </c>
      <c r="AF70" s="77" t="s">
        <v>465</v>
      </c>
    </row>
    <row r="71" spans="2:32">
      <c r="B71" s="91" t="s">
        <v>463</v>
      </c>
      <c r="C71" s="76">
        <v>25</v>
      </c>
      <c r="D71" s="76">
        <v>25</v>
      </c>
      <c r="E71" s="76">
        <v>25</v>
      </c>
      <c r="F71" s="76">
        <v>25</v>
      </c>
      <c r="G71" s="76">
        <v>25</v>
      </c>
      <c r="H71" s="76">
        <v>25</v>
      </c>
      <c r="I71" s="76">
        <v>25</v>
      </c>
      <c r="J71" s="76">
        <v>25</v>
      </c>
      <c r="K71" s="76">
        <v>25</v>
      </c>
      <c r="L71" s="76">
        <v>25</v>
      </c>
      <c r="M71" s="76">
        <v>25</v>
      </c>
      <c r="N71" s="76">
        <v>25</v>
      </c>
      <c r="O71" s="76">
        <v>25</v>
      </c>
      <c r="P71" s="76">
        <v>25</v>
      </c>
      <c r="Q71" s="76">
        <v>25</v>
      </c>
      <c r="R71" s="76">
        <v>25</v>
      </c>
      <c r="S71" s="76">
        <v>25</v>
      </c>
      <c r="T71" s="76">
        <v>25</v>
      </c>
      <c r="U71" s="76">
        <v>25</v>
      </c>
      <c r="V71" s="76">
        <v>25</v>
      </c>
      <c r="W71" s="76">
        <v>25</v>
      </c>
      <c r="X71" s="76">
        <v>25</v>
      </c>
      <c r="Y71" s="76">
        <v>25</v>
      </c>
      <c r="Z71" s="76">
        <v>25</v>
      </c>
      <c r="AA71" s="76">
        <v>25</v>
      </c>
      <c r="AB71" s="76">
        <v>25</v>
      </c>
      <c r="AC71" s="76">
        <v>25</v>
      </c>
      <c r="AD71" s="76">
        <v>25</v>
      </c>
      <c r="AE71" s="76">
        <v>25</v>
      </c>
      <c r="AF71" s="77" t="s">
        <v>609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D6DDC-55F0-4979-BA48-DBE284A3C18D}">
  <dimension ref="B1:U63"/>
  <sheetViews>
    <sheetView showGridLines="0" zoomScale="94" zoomScaleNormal="94" workbookViewId="0">
      <selection activeCell="F7" sqref="F7"/>
    </sheetView>
  </sheetViews>
  <sheetFormatPr defaultRowHeight="12.75"/>
  <cols>
    <col min="3" max="3" width="67.140625" style="15" customWidth="1"/>
    <col min="4" max="5" width="10.7109375" style="6" customWidth="1"/>
    <col min="6" max="6" width="12.7109375" customWidth="1"/>
    <col min="7" max="21" width="10.85546875" customWidth="1"/>
    <col min="22" max="22" width="2.42578125" customWidth="1"/>
  </cols>
  <sheetData>
    <row r="1" spans="2:21" ht="24" thickBot="1">
      <c r="B1" s="226" t="s">
        <v>427</v>
      </c>
    </row>
    <row r="2" spans="2:21" ht="13.5">
      <c r="B2" s="121"/>
      <c r="C2" s="122" t="s">
        <v>256</v>
      </c>
      <c r="D2" s="123" t="s">
        <v>257</v>
      </c>
      <c r="E2" s="123" t="s">
        <v>268</v>
      </c>
      <c r="F2" s="124">
        <f>'NPV PT'!D10</f>
        <v>2025</v>
      </c>
      <c r="G2" s="124">
        <f>F2+1</f>
        <v>2026</v>
      </c>
      <c r="H2" s="124">
        <f t="shared" ref="H2:T2" si="0">G2+1</f>
        <v>2027</v>
      </c>
      <c r="I2" s="124">
        <f t="shared" si="0"/>
        <v>2028</v>
      </c>
      <c r="J2" s="124">
        <f t="shared" si="0"/>
        <v>2029</v>
      </c>
      <c r="K2" s="124">
        <f t="shared" si="0"/>
        <v>2030</v>
      </c>
      <c r="L2" s="124">
        <f t="shared" si="0"/>
        <v>2031</v>
      </c>
      <c r="M2" s="124">
        <f t="shared" si="0"/>
        <v>2032</v>
      </c>
      <c r="N2" s="124">
        <f t="shared" si="0"/>
        <v>2033</v>
      </c>
      <c r="O2" s="124">
        <f t="shared" si="0"/>
        <v>2034</v>
      </c>
      <c r="P2" s="124">
        <f t="shared" si="0"/>
        <v>2035</v>
      </c>
      <c r="Q2" s="124">
        <f t="shared" si="0"/>
        <v>2036</v>
      </c>
      <c r="R2" s="124">
        <f t="shared" si="0"/>
        <v>2037</v>
      </c>
      <c r="S2" s="124">
        <f t="shared" si="0"/>
        <v>2038</v>
      </c>
      <c r="T2" s="124">
        <f t="shared" si="0"/>
        <v>2039</v>
      </c>
      <c r="U2" s="125">
        <f>S2+1</f>
        <v>2039</v>
      </c>
    </row>
    <row r="3" spans="2:21" ht="6.75" customHeight="1">
      <c r="B3" s="126"/>
      <c r="U3" s="127"/>
    </row>
    <row r="4" spans="2:21" s="361" customFormat="1" ht="25.5">
      <c r="B4" s="364" t="s">
        <v>246</v>
      </c>
      <c r="C4" s="365" t="str">
        <f>'Capex Estimate'!C7</f>
        <v>To supply, install, testing and comissioning of 8 units of in-line labeller, OCR reader and rejection system</v>
      </c>
      <c r="D4" s="366">
        <v>5</v>
      </c>
      <c r="E4" s="366" t="str">
        <f>VLOOKUP('NPV PT'!$C$2,countries!C:F,4,0)</f>
        <v>MYR</v>
      </c>
      <c r="F4" s="370">
        <f>-'Capex Estimate'!F7*1000</f>
        <v>-2250000</v>
      </c>
      <c r="G4" s="366"/>
      <c r="H4" s="366"/>
      <c r="I4" s="366"/>
      <c r="J4" s="366"/>
      <c r="K4" s="366"/>
      <c r="L4" s="366"/>
      <c r="M4" s="366"/>
      <c r="N4" s="366"/>
      <c r="O4" s="366"/>
      <c r="P4" s="366"/>
      <c r="Q4" s="366"/>
      <c r="R4" s="366"/>
      <c r="S4" s="366"/>
      <c r="T4" s="366"/>
      <c r="U4" s="367"/>
    </row>
    <row r="5" spans="2:21" s="361" customFormat="1">
      <c r="B5" s="364" t="s">
        <v>247</v>
      </c>
      <c r="C5" s="365" t="str">
        <f>'Capex Estimate'!C8</f>
        <v>LAN cable installation for 8 lines</v>
      </c>
      <c r="D5" s="366">
        <v>5</v>
      </c>
      <c r="E5" s="366" t="str">
        <f>VLOOKUP('NPV PT'!$C$2,countries!C:F,4,0)</f>
        <v>MYR</v>
      </c>
      <c r="F5" s="370">
        <f>-'Capex Estimate'!F8*1000</f>
        <v>-60000</v>
      </c>
      <c r="G5" s="366"/>
      <c r="H5" s="366"/>
      <c r="I5" s="366"/>
      <c r="J5" s="366"/>
      <c r="K5" s="366"/>
      <c r="L5" s="366"/>
      <c r="M5" s="366"/>
      <c r="N5" s="366"/>
      <c r="O5" s="366"/>
      <c r="P5" s="366"/>
      <c r="Q5" s="366"/>
      <c r="R5" s="366"/>
      <c r="S5" s="366"/>
      <c r="T5" s="366"/>
      <c r="U5" s="367"/>
    </row>
    <row r="6" spans="2:21" s="361" customFormat="1">
      <c r="B6" s="364" t="s">
        <v>248</v>
      </c>
      <c r="C6" s="365" t="str">
        <f>'Capex Estimate'!C13</f>
        <v>Unallocated Provision (UAP-Contingency)</v>
      </c>
      <c r="D6" s="366">
        <v>5</v>
      </c>
      <c r="E6" s="366" t="str">
        <f>VLOOKUP('NPV PT'!$C$2,countries!C:F,4,0)</f>
        <v>MYR</v>
      </c>
      <c r="F6" s="370">
        <f>-'Capex Estimate'!F13*1000*0.5</f>
        <v>-69300</v>
      </c>
      <c r="G6" s="366"/>
      <c r="H6" s="366"/>
      <c r="I6" s="366"/>
      <c r="J6" s="366"/>
      <c r="K6" s="366"/>
      <c r="L6" s="366"/>
      <c r="M6" s="366"/>
      <c r="N6" s="366"/>
      <c r="O6" s="366"/>
      <c r="P6" s="366"/>
      <c r="Q6" s="366"/>
      <c r="R6" s="366"/>
      <c r="S6" s="366"/>
      <c r="T6" s="366"/>
      <c r="U6" s="367"/>
    </row>
    <row r="7" spans="2:21" s="361" customFormat="1">
      <c r="B7" s="364" t="s">
        <v>249</v>
      </c>
      <c r="C7" s="365" t="str">
        <f>'Capex Estimate'!C15</f>
        <v>Additional Unallocated Provision (AUAP)</v>
      </c>
      <c r="D7" s="366">
        <v>5</v>
      </c>
      <c r="E7" s="366" t="str">
        <f>VLOOKUP('NPV PT'!$C$2,countries!C:F,4,0)</f>
        <v>MYR</v>
      </c>
      <c r="F7" s="370">
        <f>-'Capex Estimate'!F15*1000*0.5</f>
        <v>-23100</v>
      </c>
      <c r="G7" s="366"/>
      <c r="H7" s="366"/>
      <c r="I7" s="366"/>
      <c r="J7" s="366"/>
      <c r="K7" s="366"/>
      <c r="L7" s="366"/>
      <c r="M7" s="366"/>
      <c r="N7" s="366"/>
      <c r="O7" s="366"/>
      <c r="P7" s="366"/>
      <c r="Q7" s="366"/>
      <c r="R7" s="366"/>
      <c r="S7" s="366"/>
      <c r="T7" s="366"/>
      <c r="U7" s="367"/>
    </row>
    <row r="8" spans="2:21" s="361" customFormat="1">
      <c r="B8" s="364" t="s">
        <v>250</v>
      </c>
      <c r="C8" s="365"/>
      <c r="D8" s="366">
        <v>10</v>
      </c>
      <c r="E8" s="366" t="str">
        <f>VLOOKUP('NPV PT'!$C$2,countries!C:F,4,0)</f>
        <v>MYR</v>
      </c>
      <c r="F8" s="366"/>
      <c r="G8" s="366"/>
      <c r="H8" s="366"/>
      <c r="I8" s="366"/>
      <c r="J8" s="366"/>
      <c r="K8" s="366"/>
      <c r="L8" s="366"/>
      <c r="M8" s="366"/>
      <c r="N8" s="366"/>
      <c r="O8" s="366"/>
      <c r="P8" s="366"/>
      <c r="Q8" s="366"/>
      <c r="R8" s="366"/>
      <c r="S8" s="366"/>
      <c r="T8" s="366"/>
      <c r="U8" s="367"/>
    </row>
    <row r="9" spans="2:21" s="361" customFormat="1">
      <c r="B9" s="364" t="s">
        <v>251</v>
      </c>
      <c r="C9" s="365"/>
      <c r="D9" s="366">
        <v>15</v>
      </c>
      <c r="E9" s="366" t="str">
        <f>VLOOKUP('NPV PT'!$C$2,countries!C:F,4,0)</f>
        <v>MYR</v>
      </c>
      <c r="F9" s="366"/>
      <c r="G9" s="366"/>
      <c r="H9" s="366"/>
      <c r="I9" s="366"/>
      <c r="J9" s="366"/>
      <c r="K9" s="366"/>
      <c r="L9" s="366"/>
      <c r="M9" s="366"/>
      <c r="N9" s="366"/>
      <c r="O9" s="366"/>
      <c r="P9" s="366"/>
      <c r="Q9" s="366"/>
      <c r="R9" s="366"/>
      <c r="S9" s="366"/>
      <c r="T9" s="366"/>
      <c r="U9" s="367"/>
    </row>
    <row r="10" spans="2:21" s="361" customFormat="1">
      <c r="B10" s="364" t="s">
        <v>252</v>
      </c>
      <c r="C10" s="365"/>
      <c r="D10" s="366">
        <v>20</v>
      </c>
      <c r="E10" s="366" t="str">
        <f>VLOOKUP('NPV PT'!$C$2,countries!C:F,4,0)</f>
        <v>MYR</v>
      </c>
      <c r="F10" s="366"/>
      <c r="G10" s="366"/>
      <c r="H10" s="366"/>
      <c r="I10" s="366"/>
      <c r="J10" s="366"/>
      <c r="K10" s="366"/>
      <c r="L10" s="366"/>
      <c r="M10" s="366"/>
      <c r="N10" s="366"/>
      <c r="O10" s="366"/>
      <c r="P10" s="366"/>
      <c r="Q10" s="366"/>
      <c r="R10" s="366"/>
      <c r="S10" s="366"/>
      <c r="T10" s="366"/>
      <c r="U10" s="367"/>
    </row>
    <row r="11" spans="2:21" s="361" customFormat="1">
      <c r="B11" s="364" t="s">
        <v>253</v>
      </c>
      <c r="C11" s="365"/>
      <c r="D11" s="366">
        <v>20</v>
      </c>
      <c r="E11" s="366" t="str">
        <f>VLOOKUP('NPV PT'!$C$2,countries!C:F,4,0)</f>
        <v>MYR</v>
      </c>
      <c r="F11" s="366"/>
      <c r="G11" s="366"/>
      <c r="H11" s="366"/>
      <c r="I11" s="366"/>
      <c r="J11" s="366"/>
      <c r="K11" s="366"/>
      <c r="L11" s="366"/>
      <c r="M11" s="366"/>
      <c r="N11" s="366"/>
      <c r="O11" s="366"/>
      <c r="P11" s="366"/>
      <c r="Q11" s="366"/>
      <c r="R11" s="366"/>
      <c r="S11" s="366"/>
      <c r="T11" s="366"/>
      <c r="U11" s="367"/>
    </row>
    <row r="12" spans="2:21" s="361" customFormat="1">
      <c r="B12" s="364" t="s">
        <v>254</v>
      </c>
      <c r="C12" s="365"/>
      <c r="D12" s="366">
        <v>25</v>
      </c>
      <c r="E12" s="366" t="str">
        <f>VLOOKUP('NPV PT'!$C$2,countries!C:F,4,0)</f>
        <v>MYR</v>
      </c>
      <c r="F12" s="366"/>
      <c r="G12" s="366"/>
      <c r="H12" s="366"/>
      <c r="I12" s="366"/>
      <c r="J12" s="366"/>
      <c r="K12" s="366"/>
      <c r="L12" s="366"/>
      <c r="M12" s="366"/>
      <c r="N12" s="366"/>
      <c r="O12" s="366"/>
      <c r="P12" s="366"/>
      <c r="Q12" s="366"/>
      <c r="R12" s="366"/>
      <c r="S12" s="366"/>
      <c r="T12" s="366"/>
      <c r="U12" s="367"/>
    </row>
    <row r="13" spans="2:21" s="361" customFormat="1" ht="25.5">
      <c r="B13" s="364" t="s">
        <v>255</v>
      </c>
      <c r="C13" s="365"/>
      <c r="D13" s="366">
        <v>30</v>
      </c>
      <c r="E13" s="366" t="str">
        <f>VLOOKUP('NPV PT'!$C$2,countries!C:F,4,0)</f>
        <v>MYR</v>
      </c>
      <c r="F13" s="366"/>
      <c r="G13" s="366"/>
      <c r="H13" s="366"/>
      <c r="I13" s="366"/>
      <c r="J13" s="366"/>
      <c r="K13" s="366"/>
      <c r="L13" s="366"/>
      <c r="M13" s="366"/>
      <c r="N13" s="366"/>
      <c r="O13" s="366"/>
      <c r="P13" s="366"/>
      <c r="Q13" s="366"/>
      <c r="R13" s="366"/>
      <c r="S13" s="366"/>
      <c r="T13" s="366"/>
      <c r="U13" s="367"/>
    </row>
    <row r="14" spans="2:21" s="361" customFormat="1" ht="6.75" customHeight="1">
      <c r="B14" s="358"/>
      <c r="C14" s="359"/>
      <c r="D14" s="360"/>
      <c r="E14" s="360"/>
      <c r="U14" s="362"/>
    </row>
    <row r="15" spans="2:21" s="361" customFormat="1" ht="60">
      <c r="B15" s="358"/>
      <c r="C15" s="359"/>
      <c r="D15" s="360"/>
      <c r="E15" s="360"/>
      <c r="F15" s="363" t="s">
        <v>426</v>
      </c>
      <c r="U15" s="362"/>
    </row>
    <row r="16" spans="2:21" s="361" customFormat="1" ht="9" customHeight="1">
      <c r="B16" s="358"/>
      <c r="C16" s="359"/>
      <c r="D16" s="360"/>
      <c r="E16" s="360"/>
      <c r="U16" s="362"/>
    </row>
    <row r="17" spans="2:21">
      <c r="B17" s="126"/>
      <c r="U17" s="127"/>
    </row>
    <row r="18" spans="2:21" ht="13.5">
      <c r="B18" s="126"/>
      <c r="D18" s="6" t="s">
        <v>257</v>
      </c>
      <c r="E18" s="6" t="s">
        <v>268</v>
      </c>
      <c r="F18" s="72">
        <f>F2</f>
        <v>2025</v>
      </c>
      <c r="G18" s="72">
        <f t="shared" ref="G18:U18" si="1">G2</f>
        <v>2026</v>
      </c>
      <c r="H18" s="72">
        <f t="shared" si="1"/>
        <v>2027</v>
      </c>
      <c r="I18" s="72">
        <f t="shared" si="1"/>
        <v>2028</v>
      </c>
      <c r="J18" s="72">
        <f t="shared" si="1"/>
        <v>2029</v>
      </c>
      <c r="K18" s="72">
        <f t="shared" si="1"/>
        <v>2030</v>
      </c>
      <c r="L18" s="72">
        <f t="shared" si="1"/>
        <v>2031</v>
      </c>
      <c r="M18" s="72">
        <f t="shared" si="1"/>
        <v>2032</v>
      </c>
      <c r="N18" s="72">
        <f t="shared" si="1"/>
        <v>2033</v>
      </c>
      <c r="O18" s="72">
        <f t="shared" si="1"/>
        <v>2034</v>
      </c>
      <c r="P18" s="72">
        <f t="shared" si="1"/>
        <v>2035</v>
      </c>
      <c r="Q18" s="72">
        <f t="shared" si="1"/>
        <v>2036</v>
      </c>
      <c r="R18" s="72">
        <f t="shared" si="1"/>
        <v>2037</v>
      </c>
      <c r="S18" s="72">
        <f t="shared" si="1"/>
        <v>2038</v>
      </c>
      <c r="T18" s="72">
        <f t="shared" si="1"/>
        <v>2039</v>
      </c>
      <c r="U18" s="131">
        <f t="shared" si="1"/>
        <v>2039</v>
      </c>
    </row>
    <row r="19" spans="2:21" ht="6.75" customHeight="1">
      <c r="B19" s="126"/>
      <c r="U19" s="127"/>
    </row>
    <row r="20" spans="2:21">
      <c r="B20" s="126"/>
      <c r="C20" t="s">
        <v>258</v>
      </c>
      <c r="D20" s="6">
        <f>D4</f>
        <v>5</v>
      </c>
      <c r="E20" s="6" t="str">
        <f>VLOOKUP('NPV PT'!$C$2,countries!C:F,4,0)</f>
        <v>MYR</v>
      </c>
      <c r="F20" s="128">
        <v>0</v>
      </c>
      <c r="G20" s="128">
        <f t="shared" ref="G20:G29" si="2">F4/D20</f>
        <v>-450000</v>
      </c>
      <c r="H20" s="128">
        <f>SUM($F4:G4)/$D20</f>
        <v>-450000</v>
      </c>
      <c r="I20" s="128">
        <f>SUM($F4:H4)/$D20</f>
        <v>-450000</v>
      </c>
      <c r="J20" s="128">
        <f>SUM($F4:I4)/$D20</f>
        <v>-450000</v>
      </c>
      <c r="K20" s="128">
        <f>IF(D20&gt;4,SUM($F4:J4)/$D20,SUM($G4:J4)/$D20)</f>
        <v>-450000</v>
      </c>
      <c r="L20" s="128">
        <f>IF($D20&gt;5,SUM($F4:K4)/$D20,IF($D20&gt;4,SUM(G4:K4)/$D20,SUM(H4:K4)/$D20))</f>
        <v>0</v>
      </c>
      <c r="M20" s="128">
        <f>IF($D20&gt;5,SUM($F4:L4)/$D20,IF($D20&gt;4,SUM(H4:L4)/$D20,SUM(I4:L4)/$D20))</f>
        <v>0</v>
      </c>
      <c r="N20" s="128">
        <f>IF($D20&gt;5,SUM($F4:M4)/$D20,IF($D20&gt;4,SUM(I4:M4)/$D20,SUM(J4:M4)/$D20))</f>
        <v>0</v>
      </c>
      <c r="O20" s="128">
        <f>IF($D20&gt;5,SUM($F4:N4)/$D20,IF($D20&gt;4,SUM(J4:N4)/$D20,SUM(K4:N4)/$D20))</f>
        <v>0</v>
      </c>
      <c r="P20" s="128">
        <f>IF($D20&gt;5,SUM($F4:O4)/$D20,IF($D20&gt;4,SUM(K4:O4)/$D20,SUM(L4:O4)/$D20))</f>
        <v>0</v>
      </c>
      <c r="Q20" s="128">
        <f>IF($D20&gt;10,SUM($F4:P4)/$D20,IF($D20&gt;5,SUM(G4:P4)/$D20,IF($D20&gt;4,SUM(L4:P4)/$D20,SUM(M4:P4)/$D20)))</f>
        <v>0</v>
      </c>
      <c r="R20" s="128">
        <f>IF($D20&gt;10,SUM($F4:Q4)/$D20,IF($D20&gt;5,SUM(H4:Q4)/$D20,IF($D20&gt;4,SUM(M4:Q4)/$D20,SUM(N4:Q4)/$D20)))</f>
        <v>0</v>
      </c>
      <c r="S20" s="128">
        <f>IF($D20&gt;10,SUM($F4:R4)/$D20,IF($D20&gt;5,SUM(I4:R4)/$D20,IF($D20&gt;4,SUM(N4:R4)/$D20,SUM(O4:R4)/$D20)))</f>
        <v>0</v>
      </c>
      <c r="T20" s="128">
        <f>IF($D20&gt;10,SUM($F4:S4)/$D20,IF($D20&gt;5,SUM(J4:S4)/$D20,IF($D20&gt;4,SUM(O4:S4)/$D20,SUM(P4:S4)/$D20)))</f>
        <v>0</v>
      </c>
      <c r="U20" s="129">
        <f>IF($D20&gt;10,SUM($F4:T4)/$D20,IF($D20&gt;5,SUM(K4:T4)/$D20,IF($D20&gt;4,SUM(P4:T4)/$D20,SUM(Q4:T4)/$D20)))</f>
        <v>0</v>
      </c>
    </row>
    <row r="21" spans="2:21">
      <c r="B21" s="126"/>
      <c r="C21" t="s">
        <v>259</v>
      </c>
      <c r="D21" s="6">
        <f t="shared" ref="D21:D29" si="3">D5</f>
        <v>5</v>
      </c>
      <c r="E21" s="6" t="str">
        <f>VLOOKUP('NPV PT'!$C$2,countries!C:F,4,0)</f>
        <v>MYR</v>
      </c>
      <c r="F21" s="128">
        <v>0</v>
      </c>
      <c r="G21" s="128">
        <f t="shared" si="2"/>
        <v>-12000</v>
      </c>
      <c r="H21" s="128">
        <f>SUM($F5:G5)/$D21</f>
        <v>-12000</v>
      </c>
      <c r="I21" s="128">
        <f>SUM($F5:H5)/$D21</f>
        <v>-12000</v>
      </c>
      <c r="J21" s="128">
        <f>SUM($F5:I5)/$D21</f>
        <v>-12000</v>
      </c>
      <c r="K21" s="128">
        <f>IF(D21&gt;4,SUM($F5:J5)/$D21,SUM($G5:J5)/$D21)</f>
        <v>-12000</v>
      </c>
      <c r="L21" s="128">
        <f>IF(D21&gt;5,SUM($F5:K5)/$D21,IF(D21&gt;4,SUM($G5:K5)/$D21,SUM(H5:K5)/$D21))</f>
        <v>0</v>
      </c>
      <c r="M21" s="128">
        <f>IF($D21&gt;5,SUM($F5:L5)/$D21,IF($D21&gt;4,SUM(H5:L5)/$D21,SUM(I5:L5)/$D21))</f>
        <v>0</v>
      </c>
      <c r="N21" s="128">
        <f>IF($D21&gt;5,SUM($F5:M5)/$D21,IF($D21&gt;4,SUM(I5:M5)/$D21,SUM(J5:M5)/$D21))</f>
        <v>0</v>
      </c>
      <c r="O21" s="128">
        <f>IF($D21&gt;5,SUM($F5:N5)/$D21,IF($D21&gt;4,SUM(J5:N5)/$D21,SUM(K5:N5)/$D21))</f>
        <v>0</v>
      </c>
      <c r="P21" s="128">
        <f>IF($D21&gt;5,SUM($F5:O5)/$D21,IF($D21&gt;4,SUM(K5:O5)/$D21,SUM(L5:O5)/$D21))</f>
        <v>0</v>
      </c>
      <c r="Q21" s="128">
        <f>IF($D21&gt;10,SUM($F5:P5)/$D21,IF($D21&gt;5,SUM(G5:P5)/$D21,IF($D21&gt;4,SUM(L5:P5)/$D21,SUM(M5:P5)/$D21)))</f>
        <v>0</v>
      </c>
      <c r="R21" s="128">
        <f>IF($D21&gt;10,SUM($F5:Q5)/$D21,IF($D21&gt;5,SUM(H5:Q5)/$D21,IF($D21&gt;4,SUM(M5:Q5)/$D21,SUM(N5:Q5)/$D21)))</f>
        <v>0</v>
      </c>
      <c r="S21" s="128">
        <f>IF($D21&gt;10,SUM($F5:R5)/$D21,IF($D21&gt;5,SUM(I5:R5)/$D21,IF($D21&gt;4,SUM(N5:R5)/$D21,SUM(O5:R5)/$D21)))</f>
        <v>0</v>
      </c>
      <c r="T21" s="128">
        <f>IF($D21&gt;10,SUM($F5:S5)/$D21,IF($D21&gt;5,SUM(J5:S5)/$D21,IF($D21&gt;4,SUM(O5:S5)/$D21,SUM(P5:S5)/$D21)))</f>
        <v>0</v>
      </c>
      <c r="U21" s="129">
        <f>IF($D21&gt;10,SUM($F5:T5)/$D21,IF($D21&gt;5,SUM(K5:T5)/$D21,IF($D21&gt;4,SUM(P5:T5)/$D21,SUM(Q5:T5)/$D21)))</f>
        <v>0</v>
      </c>
    </row>
    <row r="22" spans="2:21">
      <c r="B22" s="126"/>
      <c r="C22" t="s">
        <v>260</v>
      </c>
      <c r="D22" s="6">
        <f t="shared" si="3"/>
        <v>5</v>
      </c>
      <c r="E22" s="6" t="str">
        <f>VLOOKUP('NPV PT'!$C$2,countries!C:F,4,0)</f>
        <v>MYR</v>
      </c>
      <c r="F22" s="128">
        <v>0</v>
      </c>
      <c r="G22" s="128">
        <f t="shared" si="2"/>
        <v>-13860</v>
      </c>
      <c r="H22" s="128">
        <f>SUM($F6:G6)/$D22</f>
        <v>-13860</v>
      </c>
      <c r="I22" s="128">
        <f>SUM($F6:H6)/$D22</f>
        <v>-13860</v>
      </c>
      <c r="J22" s="128">
        <f>SUM($F6:I6)/$D22</f>
        <v>-13860</v>
      </c>
      <c r="K22" s="128">
        <f>IF(D22&gt;4,SUM($F6:J6)/$D22,SUM($G6:J6)/$D22)</f>
        <v>-13860</v>
      </c>
      <c r="L22" s="128">
        <f>IF(D22&gt;5,SUM($F6:K6)/$D22,IF(D22&gt;4,SUM($G6:K6)/$D22,SUM(H6:K6)/$D22))</f>
        <v>0</v>
      </c>
      <c r="M22" s="128">
        <f>IF($D22&gt;5,SUM($F6:L6)/$D22,IF($D22&gt;4,SUM(H6:L6)/$D22,SUM(I6:L6)/$D22))</f>
        <v>0</v>
      </c>
      <c r="N22" s="128">
        <f>IF($D22&gt;5,SUM($F6:M6)/$D22,IF($D22&gt;4,SUM(I6:M6)/$D22,SUM(J6:M6)/$D22))</f>
        <v>0</v>
      </c>
      <c r="O22" s="128">
        <f>IF($D22&gt;5,SUM($F6:N6)/$D22,IF($D22&gt;4,SUM(J6:N6)/$D22,SUM(K6:N6)/$D22))</f>
        <v>0</v>
      </c>
      <c r="P22" s="128">
        <f>IF($D22&gt;5,SUM($F6:O6)/$D22,IF($D22&gt;4,SUM(K6:O6)/$D22,SUM(L6:O6)/$D22))</f>
        <v>0</v>
      </c>
      <c r="Q22" s="128">
        <f>IF($D22&gt;10,SUM($F6:P6)/$D22,IF($D22&gt;5,SUM(G6:P6)/$D22,IF($D22&gt;4,SUM(L6:P6)/$D22,SUM(M6:P6)/$D22)))</f>
        <v>0</v>
      </c>
      <c r="R22" s="128">
        <f>IF($D22&gt;10,SUM($F6:Q6)/$D22,IF($D22&gt;5,SUM(H6:Q6)/$D22,IF($D22&gt;4,SUM(M6:Q6)/$D22,SUM(N6:Q6)/$D22)))</f>
        <v>0</v>
      </c>
      <c r="S22" s="128">
        <f>IF($D22&gt;10,SUM($F6:R6)/$D22,IF($D22&gt;5,SUM(I6:R6)/$D22,IF($D22&gt;4,SUM(N6:R6)/$D22,SUM(O6:R6)/$D22)))</f>
        <v>0</v>
      </c>
      <c r="T22" s="128">
        <f>IF($D22&gt;10,SUM($F6:S6)/$D22,IF($D22&gt;5,SUM(J6:S6)/$D22,IF($D22&gt;4,SUM(O6:S6)/$D22,SUM(P6:S6)/$D22)))</f>
        <v>0</v>
      </c>
      <c r="U22" s="129">
        <f>IF($D22&gt;10,SUM($F6:T6)/$D22,IF($D22&gt;5,SUM(K6:T6)/$D22,IF($D22&gt;4,SUM(P6:T6)/$D22,SUM(Q6:T6)/$D22)))</f>
        <v>0</v>
      </c>
    </row>
    <row r="23" spans="2:21">
      <c r="B23" s="126"/>
      <c r="C23" t="s">
        <v>261</v>
      </c>
      <c r="D23" s="6">
        <f t="shared" si="3"/>
        <v>5</v>
      </c>
      <c r="E23" s="6" t="str">
        <f>VLOOKUP('NPV PT'!$C$2,countries!C:F,4,0)</f>
        <v>MYR</v>
      </c>
      <c r="F23" s="128">
        <v>0</v>
      </c>
      <c r="G23" s="128">
        <f t="shared" si="2"/>
        <v>-4620</v>
      </c>
      <c r="H23" s="128">
        <f>SUM($F7:G7)/$D23</f>
        <v>-4620</v>
      </c>
      <c r="I23" s="128">
        <f>SUM($F7:H7)/$D23</f>
        <v>-4620</v>
      </c>
      <c r="J23" s="128">
        <f>SUM($F7:I7)/$D23</f>
        <v>-4620</v>
      </c>
      <c r="K23" s="128">
        <f>IF(D23&gt;4,SUM($F7:J7)/$D23,SUM($G7:J7)/$D23)</f>
        <v>-4620</v>
      </c>
      <c r="L23" s="128">
        <f>IF(D23&gt;5,SUM($F7:K7)/$D23,IF(D23&gt;4,SUM($G7:K7)/$D23,SUM(H7:K7)/$D23))</f>
        <v>0</v>
      </c>
      <c r="M23" s="128">
        <f>IF($D23&gt;5,SUM($F7:L7)/$D23,IF($D23&gt;4,SUM(H7:L7)/$D23,SUM(I7:L7)/$D23))</f>
        <v>0</v>
      </c>
      <c r="N23" s="128">
        <f>IF($D23&gt;5,SUM($F7:M7)/$D23,IF($D23&gt;4,SUM(I7:M7)/$D23,SUM(J7:M7)/$D23))</f>
        <v>0</v>
      </c>
      <c r="O23" s="128">
        <f>IF($D23&gt;5,SUM($F7:N7)/$D23,IF($D23&gt;4,SUM(J7:N7)/$D23,SUM(K7:N7)/$D23))</f>
        <v>0</v>
      </c>
      <c r="P23" s="128">
        <f>IF($D23&gt;5,SUM($F7:O7)/$D23,IF($D23&gt;4,SUM(K7:O7)/$D23,SUM(L7:O7)/$D23))</f>
        <v>0</v>
      </c>
      <c r="Q23" s="128">
        <f>IF($D23&gt;10,SUM($F7:P7)/$D23,IF($D23&gt;5,SUM(G7:P7)/$D23,IF($D23&gt;4,SUM(L7:P7)/$D23,SUM(M7:P7)/$D23)))</f>
        <v>0</v>
      </c>
      <c r="R23" s="128">
        <f>IF($D23&gt;10,SUM($F7:Q7)/$D23,IF($D23&gt;5,SUM(H7:Q7)/$D23,IF($D23&gt;4,SUM(M7:Q7)/$D23,SUM(N7:Q7)/$D23)))</f>
        <v>0</v>
      </c>
      <c r="S23" s="128">
        <f>IF($D23&gt;10,SUM($F7:R7)/$D23,IF($D23&gt;5,SUM(I7:R7)/$D23,IF($D23&gt;4,SUM(N7:R7)/$D23,SUM(O7:R7)/$D23)))</f>
        <v>0</v>
      </c>
      <c r="T23" s="128">
        <f>IF($D23&gt;10,SUM($F7:S7)/$D23,IF($D23&gt;5,SUM(J7:S7)/$D23,IF($D23&gt;4,SUM(O7:S7)/$D23,SUM(P7:S7)/$D23)))</f>
        <v>0</v>
      </c>
      <c r="U23" s="129">
        <f>IF($D23&gt;10,SUM($F7:T7)/$D23,IF($D23&gt;5,SUM(K7:T7)/$D23,IF($D23&gt;4,SUM(P7:T7)/$D23,SUM(Q7:T7)/$D23)))</f>
        <v>0</v>
      </c>
    </row>
    <row r="24" spans="2:21">
      <c r="B24" s="126"/>
      <c r="C24" t="s">
        <v>262</v>
      </c>
      <c r="D24" s="6">
        <f t="shared" si="3"/>
        <v>10</v>
      </c>
      <c r="E24" s="6" t="str">
        <f>VLOOKUP('NPV PT'!$C$2,countries!C:F,4,0)</f>
        <v>MYR</v>
      </c>
      <c r="F24" s="128">
        <v>0</v>
      </c>
      <c r="G24" s="128">
        <f t="shared" si="2"/>
        <v>0</v>
      </c>
      <c r="H24" s="128">
        <f>SUM($F8:G8)/$D24</f>
        <v>0</v>
      </c>
      <c r="I24" s="128">
        <f>SUM($F8:H8)/$D24</f>
        <v>0</v>
      </c>
      <c r="J24" s="128">
        <f>SUM($F8:I8)/$D24</f>
        <v>0</v>
      </c>
      <c r="K24" s="128">
        <f>IF(D24&gt;4,SUM($F8:J8)/$D24,SUM($G8:J8)/$D24)</f>
        <v>0</v>
      </c>
      <c r="L24" s="128">
        <f>IF(D24&gt;5,SUM($F8:K8)/$D24,IF(D24&gt;4,SUM($G8:K8)/$D24,SUM(H8:K8)/$D24))</f>
        <v>0</v>
      </c>
      <c r="M24" s="128">
        <f>IF($D24&gt;5,SUM($F8:L8)/$D24,IF($D24&gt;4,SUM(H8:L8)/$D24,SUM(I8:L8)/$D24))</f>
        <v>0</v>
      </c>
      <c r="N24" s="128">
        <f>IF($D24&gt;5,SUM($F8:M8)/$D24,IF($D24&gt;4,SUM(I8:M8)/$D24,SUM(J8:M8)/$D24))</f>
        <v>0</v>
      </c>
      <c r="O24" s="128">
        <f>IF($D24&gt;5,SUM($F8:N8)/$D24,IF($D24&gt;4,SUM(J8:N8)/$D24,SUM(K8:N8)/$D24))</f>
        <v>0</v>
      </c>
      <c r="P24" s="128">
        <f>IF($D24&gt;5,SUM($F8:O8)/$D24,IF($D24&gt;4,SUM(K8:O8)/$D24,SUM(L8:O8)/$D24))</f>
        <v>0</v>
      </c>
      <c r="Q24" s="128">
        <f>IF($D24&gt;10,SUM($F8:P8)/$D24,IF($D24&gt;5,SUM(G8:P8)/$D24,IF($D24&gt;4,SUM(L8:P8)/$D24,SUM(M8:P8)/$D24)))</f>
        <v>0</v>
      </c>
      <c r="R24" s="128">
        <f>IF($D24&gt;10,SUM($F8:Q8)/$D24,IF($D24&gt;5,SUM(H8:Q8)/$D24,IF($D24&gt;4,SUM(M8:Q8)/$D24,SUM(N8:Q8)/$D24)))</f>
        <v>0</v>
      </c>
      <c r="S24" s="128">
        <f>IF($D24&gt;10,SUM($F8:R8)/$D24,IF($D24&gt;5,SUM(I8:R8)/$D24,IF($D24&gt;4,SUM(N8:R8)/$D24,SUM(O8:R8)/$D24)))</f>
        <v>0</v>
      </c>
      <c r="T24" s="128">
        <f>IF($D24&gt;10,SUM($F8:S8)/$D24,IF($D24&gt;5,SUM(J8:S8)/$D24,IF($D24&gt;4,SUM(O8:S8)/$D24,SUM(P8:S8)/$D24)))</f>
        <v>0</v>
      </c>
      <c r="U24" s="129">
        <f>IF($D24&gt;10,SUM($F8:T8)/$D24,IF($D24&gt;5,SUM(K8:T8)/$D24,IF($D24&gt;4,SUM(P8:T8)/$D24,SUM(Q8:T8)/$D24)))</f>
        <v>0</v>
      </c>
    </row>
    <row r="25" spans="2:21">
      <c r="B25" s="126"/>
      <c r="C25" t="s">
        <v>263</v>
      </c>
      <c r="D25" s="6">
        <f t="shared" si="3"/>
        <v>15</v>
      </c>
      <c r="E25" s="6" t="str">
        <f>VLOOKUP('NPV PT'!$C$2,countries!C:F,4,0)</f>
        <v>MYR</v>
      </c>
      <c r="F25" s="128">
        <v>0</v>
      </c>
      <c r="G25" s="128">
        <f t="shared" si="2"/>
        <v>0</v>
      </c>
      <c r="H25" s="128">
        <f>SUM($F9:G9)/$D25</f>
        <v>0</v>
      </c>
      <c r="I25" s="128">
        <f>SUM($F9:H9)/$D25</f>
        <v>0</v>
      </c>
      <c r="J25" s="128">
        <f>SUM($F9:I9)/$D25</f>
        <v>0</v>
      </c>
      <c r="K25" s="128">
        <f>IF(D25&gt;4,SUM($F9:J9)/$D25,SUM($G9:J9)/$D25)</f>
        <v>0</v>
      </c>
      <c r="L25" s="128">
        <f>IF(D25&gt;5,SUM($F9:K9)/$D25,IF(D25&gt;4,SUM($G9:K9)/$D25,SUM(H9:K9)/$D25))</f>
        <v>0</v>
      </c>
      <c r="M25" s="128">
        <f>IF($D25&gt;5,SUM($F9:L9)/$D25,IF($D25&gt;4,SUM(H9:L9)/$D25,SUM(I9:L9)/$D25))</f>
        <v>0</v>
      </c>
      <c r="N25" s="128">
        <f>IF($D25&gt;5,SUM($F9:M9)/$D25,IF($D25&gt;4,SUM(I9:M9)/$D25,SUM(J9:M9)/$D25))</f>
        <v>0</v>
      </c>
      <c r="O25" s="128">
        <f>IF($D25&gt;5,SUM($F9:N9)/$D25,IF($D25&gt;4,SUM(J9:N9)/$D25,SUM(K9:N9)/$D25))</f>
        <v>0</v>
      </c>
      <c r="P25" s="128">
        <f>IF($D25&gt;5,SUM($F9:O9)/$D25,IF($D25&gt;4,SUM(K9:O9)/$D25,SUM(L9:O9)/$D25))</f>
        <v>0</v>
      </c>
      <c r="Q25" s="128">
        <f>IF($D25&gt;10,SUM($F9:P9)/$D25,IF($D25&gt;5,SUM(G9:P9)/$D25,IF($D25&gt;4,SUM(L9:P9)/$D25,SUM(M9:P9)/$D25)))</f>
        <v>0</v>
      </c>
      <c r="R25" s="128">
        <f>IF($D25&gt;10,SUM($F9:Q9)/$D25,IF($D25&gt;5,SUM(H9:Q9)/$D25,IF($D25&gt;4,SUM(M9:Q9)/$D25,SUM(N9:Q9)/$D25)))</f>
        <v>0</v>
      </c>
      <c r="S25" s="128">
        <f>IF($D25&gt;10,SUM($F9:R9)/$D25,IF($D25&gt;5,SUM(I9:R9)/$D25,IF($D25&gt;4,SUM(N9:R9)/$D25,SUM(O9:R9)/$D25)))</f>
        <v>0</v>
      </c>
      <c r="T25" s="128">
        <f>IF($D25&gt;10,SUM($F9:S9)/$D25,IF($D25&gt;5,SUM(J9:S9)/$D25,IF($D25&gt;4,SUM(O9:S9)/$D25,SUM(P9:S9)/$D25)))</f>
        <v>0</v>
      </c>
      <c r="U25" s="129">
        <f>IF($D25&gt;10,SUM($F9:T9)/$D25,IF($D25&gt;5,SUM(K9:T9)/$D25,IF($D25&gt;4,SUM(P9:T9)/$D25,SUM(Q9:T9)/$D25)))</f>
        <v>0</v>
      </c>
    </row>
    <row r="26" spans="2:21">
      <c r="B26" s="126"/>
      <c r="C26" t="s">
        <v>264</v>
      </c>
      <c r="D26" s="6">
        <f t="shared" si="3"/>
        <v>20</v>
      </c>
      <c r="E26" s="6" t="str">
        <f>VLOOKUP('NPV PT'!$C$2,countries!C:F,4,0)</f>
        <v>MYR</v>
      </c>
      <c r="F26" s="128">
        <v>0</v>
      </c>
      <c r="G26" s="128">
        <f t="shared" ref="G26" si="4">F10/D26</f>
        <v>0</v>
      </c>
      <c r="H26" s="128">
        <f>SUM($F10:G10)/$D26</f>
        <v>0</v>
      </c>
      <c r="I26" s="128">
        <f>SUM($F10:H10)/$D26</f>
        <v>0</v>
      </c>
      <c r="J26" s="128">
        <f>SUM($F10:I10)/$D26</f>
        <v>0</v>
      </c>
      <c r="K26" s="128">
        <f>IF(D26&gt;4,SUM($F10:J10)/$D26,SUM($G10:J10)/$D26)</f>
        <v>0</v>
      </c>
      <c r="L26" s="128">
        <f>IF(D26&gt;5,SUM($F10:K10)/$D26,IF(D26&gt;4,SUM($G10:K10)/$D26,SUM(H10:K10)/$D26))</f>
        <v>0</v>
      </c>
      <c r="M26" s="128">
        <f>IF($D26&gt;5,SUM($F10:L10)/$D26,IF($D26&gt;4,SUM(H10:L10)/$D26,SUM(I10:L10)/$D26))</f>
        <v>0</v>
      </c>
      <c r="N26" s="128">
        <f>IF($D26&gt;5,SUM($F10:M10)/$D26,IF($D26&gt;4,SUM(I10:M10)/$D26,SUM(J10:M10)/$D26))</f>
        <v>0</v>
      </c>
      <c r="O26" s="128">
        <f>IF($D26&gt;5,SUM($F10:N10)/$D26,IF($D26&gt;4,SUM(J10:N10)/$D26,SUM(K10:N10)/$D26))</f>
        <v>0</v>
      </c>
      <c r="P26" s="128">
        <f>IF($D26&gt;5,SUM($F10:O10)/$D26,IF($D26&gt;4,SUM(K10:O10)/$D26,SUM(L10:O10)/$D26))</f>
        <v>0</v>
      </c>
      <c r="Q26" s="128">
        <f>IF($D26&gt;10,SUM($F10:P10)/$D26,IF($D26&gt;5,SUM(G10:P10)/$D26,IF($D26&gt;4,SUM(L10:P10)/$D26,SUM(M10:P10)/$D26)))</f>
        <v>0</v>
      </c>
      <c r="R26" s="128">
        <f>IF($D26&gt;10,SUM($F10:Q10)/$D26,IF($D26&gt;5,SUM(H10:Q10)/$D26,IF($D26&gt;4,SUM(M10:Q10)/$D26,SUM(N10:Q10)/$D26)))</f>
        <v>0</v>
      </c>
      <c r="S26" s="128">
        <f>IF($D26&gt;10,SUM($F10:R10)/$D26,IF($D26&gt;5,SUM(I10:R10)/$D26,IF($D26&gt;4,SUM(N10:R10)/$D26,SUM(O10:R10)/$D26)))</f>
        <v>0</v>
      </c>
      <c r="T26" s="128">
        <f>IF($D26&gt;10,SUM($F10:S10)/$D26,IF($D26&gt;5,SUM(J10:S10)/$D26,IF($D26&gt;4,SUM(O10:S10)/$D26,SUM(P10:S10)/$D26)))</f>
        <v>0</v>
      </c>
      <c r="U26" s="129">
        <f>IF($D26&gt;10,SUM($F10:T10)/$D26,IF($D26&gt;5,SUM(K10:T10)/$D26,IF($D26&gt;4,SUM(P10:T10)/$D26,SUM(Q10:T10)/$D26)))</f>
        <v>0</v>
      </c>
    </row>
    <row r="27" spans="2:21">
      <c r="B27" s="126"/>
      <c r="C27" t="s">
        <v>265</v>
      </c>
      <c r="D27" s="6">
        <f t="shared" si="3"/>
        <v>20</v>
      </c>
      <c r="E27" s="6" t="str">
        <f>VLOOKUP('NPV PT'!$C$2,countries!C:F,4,0)</f>
        <v>MYR</v>
      </c>
      <c r="F27" s="128">
        <v>0</v>
      </c>
      <c r="G27" s="128">
        <f t="shared" ref="G27:G28" si="5">F11/D27</f>
        <v>0</v>
      </c>
      <c r="H27" s="128">
        <f>SUM($F11:G11)/$D27</f>
        <v>0</v>
      </c>
      <c r="I27" s="128">
        <f>SUM($F11:H11)/$D27</f>
        <v>0</v>
      </c>
      <c r="J27" s="128">
        <f>SUM($F11:I11)/$D27</f>
        <v>0</v>
      </c>
      <c r="K27" s="128">
        <f>IF(D27&gt;4,SUM($F11:J11)/$D27,SUM($G11:J11)/$D27)</f>
        <v>0</v>
      </c>
      <c r="L27" s="128">
        <f>IF(D27&gt;5,SUM($F11:K11)/$D27,IF(D27&gt;4,SUM($G11:K11)/$D27,SUM(H11:K11)/$D27))</f>
        <v>0</v>
      </c>
      <c r="M27" s="128">
        <f>IF($D27&gt;5,SUM($F11:L11)/$D27,IF($D27&gt;4,SUM(H11:L11)/$D27,SUM(I11:L11)/$D27))</f>
        <v>0</v>
      </c>
      <c r="N27" s="128">
        <f>IF($D27&gt;5,SUM($F11:M11)/$D27,IF($D27&gt;4,SUM(I11:M11)/$D27,SUM(J11:M11)/$D27))</f>
        <v>0</v>
      </c>
      <c r="O27" s="128">
        <f>IF($D27&gt;5,SUM($F11:N11)/$D27,IF($D27&gt;4,SUM(J11:N11)/$D27,SUM(K11:N11)/$D27))</f>
        <v>0</v>
      </c>
      <c r="P27" s="128">
        <f>IF($D27&gt;5,SUM($F11:O11)/$D27,IF($D27&gt;4,SUM(K11:O11)/$D27,SUM(L11:O11)/$D27))</f>
        <v>0</v>
      </c>
      <c r="Q27" s="128">
        <f>IF($D27&gt;10,SUM($F11:P11)/$D27,IF($D27&gt;5,SUM(G11:P11)/$D27,IF($D27&gt;4,SUM(L11:P11)/$D27,SUM(M11:P11)/$D27)))</f>
        <v>0</v>
      </c>
      <c r="R27" s="128">
        <f>IF($D27&gt;10,SUM($F11:Q11)/$D27,IF($D27&gt;5,SUM(H11:Q11)/$D27,IF($D27&gt;4,SUM(M11:Q11)/$D27,SUM(N11:Q11)/$D27)))</f>
        <v>0</v>
      </c>
      <c r="S27" s="128">
        <f>IF($D27&gt;10,SUM($F11:R11)/$D27,IF($D27&gt;5,SUM(I11:R11)/$D27,IF($D27&gt;4,SUM(N11:R11)/$D27,SUM(O11:R11)/$D27)))</f>
        <v>0</v>
      </c>
      <c r="T27" s="128">
        <f>IF($D27&gt;10,SUM($F11:S11)/$D27,IF($D27&gt;5,SUM(J11:S11)/$D27,IF($D27&gt;4,SUM(O11:S11)/$D27,SUM(P11:S11)/$D27)))</f>
        <v>0</v>
      </c>
      <c r="U27" s="129">
        <f>IF($D27&gt;10,SUM($F11:T11)/$D27,IF($D27&gt;5,SUM(K11:T11)/$D27,IF($D27&gt;4,SUM(P11:T11)/$D27,SUM(Q11:T11)/$D27)))</f>
        <v>0</v>
      </c>
    </row>
    <row r="28" spans="2:21">
      <c r="B28" s="126"/>
      <c r="C28" t="s">
        <v>266</v>
      </c>
      <c r="D28" s="6">
        <f t="shared" si="3"/>
        <v>25</v>
      </c>
      <c r="E28" s="6" t="str">
        <f>VLOOKUP('NPV PT'!$C$2,countries!C:F,4,0)</f>
        <v>MYR</v>
      </c>
      <c r="F28" s="128">
        <v>0</v>
      </c>
      <c r="G28" s="128">
        <f t="shared" si="5"/>
        <v>0</v>
      </c>
      <c r="H28" s="128">
        <f>SUM($F12:G12)/$D28</f>
        <v>0</v>
      </c>
      <c r="I28" s="128">
        <f>SUM($F12:H12)/$D28</f>
        <v>0</v>
      </c>
      <c r="J28" s="128">
        <f>SUM($F12:I12)/$D28</f>
        <v>0</v>
      </c>
      <c r="K28" s="128">
        <f>IF(D28&gt;4,SUM($F12:J12)/$D28,SUM($G12:J12)/$D28)</f>
        <v>0</v>
      </c>
      <c r="L28" s="128">
        <f>IF(D28&gt;5,SUM($F12:K12)/$D28,IF(D28&gt;4,SUM($G12:K12)/$D28,SUM(H12:K12)/$D28))</f>
        <v>0</v>
      </c>
      <c r="M28" s="128">
        <f>IF($D28&gt;5,SUM($F12:L12)/$D28,IF($D28&gt;4,SUM(H12:L12)/$D28,SUM(I12:L12)/$D28))</f>
        <v>0</v>
      </c>
      <c r="N28" s="128">
        <f>IF($D28&gt;5,SUM($F12:M12)/$D28,IF($D28&gt;4,SUM(I12:M12)/$D28,SUM(J12:M12)/$D28))</f>
        <v>0</v>
      </c>
      <c r="O28" s="128">
        <f>IF($D28&gt;5,SUM($F12:N12)/$D28,IF($D28&gt;4,SUM(J12:N12)/$D28,SUM(K12:N12)/$D28))</f>
        <v>0</v>
      </c>
      <c r="P28" s="128">
        <f>IF($D28&gt;5,SUM($F12:O12)/$D28,IF($D28&gt;4,SUM(K12:O12)/$D28,SUM(L12:O12)/$D28))</f>
        <v>0</v>
      </c>
      <c r="Q28" s="128">
        <f>IF($D28&gt;10,SUM($F12:P12)/$D28,IF($D28&gt;5,SUM(G12:P12)/$D28,IF($D28&gt;4,SUM(L12:P12)/$D28,SUM(M12:P12)/$D28)))</f>
        <v>0</v>
      </c>
      <c r="R28" s="128">
        <f>IF($D28&gt;10,SUM($F12:Q12)/$D28,IF($D28&gt;5,SUM(H12:Q12)/$D28,IF($D28&gt;4,SUM(M12:Q12)/$D28,SUM(N12:Q12)/$D28)))</f>
        <v>0</v>
      </c>
      <c r="S28" s="128">
        <f>IF($D28&gt;10,SUM($F12:R12)/$D28,IF($D28&gt;5,SUM(I12:R12)/$D28,IF($D28&gt;4,SUM(N12:R12)/$D28,SUM(O12:R12)/$D28)))</f>
        <v>0</v>
      </c>
      <c r="T28" s="128">
        <f>IF($D28&gt;10,SUM($F12:S12)/$D28,IF($D28&gt;5,SUM(J12:S12)/$D28,IF($D28&gt;4,SUM(O12:S12)/$D28,SUM(P12:S12)/$D28)))</f>
        <v>0</v>
      </c>
      <c r="U28" s="129">
        <f>IF($D28&gt;10,SUM($F12:T12)/$D28,IF($D28&gt;5,SUM(K12:T12)/$D28,IF($D28&gt;4,SUM(P12:T12)/$D28,SUM(Q12:T12)/$D28)))</f>
        <v>0</v>
      </c>
    </row>
    <row r="29" spans="2:21" ht="13.5" thickBot="1">
      <c r="B29" s="132"/>
      <c r="C29" s="133" t="s">
        <v>267</v>
      </c>
      <c r="D29" s="134">
        <f t="shared" si="3"/>
        <v>30</v>
      </c>
      <c r="E29" s="134" t="str">
        <f>VLOOKUP('NPV PT'!$C$2,countries!C:F,4,0)</f>
        <v>MYR</v>
      </c>
      <c r="F29" s="135">
        <v>0</v>
      </c>
      <c r="G29" s="135">
        <f t="shared" si="2"/>
        <v>0</v>
      </c>
      <c r="H29" s="135">
        <f>SUM($F13:G13)/$D29</f>
        <v>0</v>
      </c>
      <c r="I29" s="135">
        <f>SUM($F13:H13)/$D29</f>
        <v>0</v>
      </c>
      <c r="J29" s="135">
        <f>SUM($F13:I13)/$D29</f>
        <v>0</v>
      </c>
      <c r="K29" s="135">
        <f>IF(D29&gt;4,SUM($F13:J13)/$D29,SUM($G13:J13)/$D29)</f>
        <v>0</v>
      </c>
      <c r="L29" s="135">
        <f>IF(D29&gt;5,SUM($F13:K13)/$D29,IF(D29&gt;4,SUM($G13:K13)/$D29,SUM(H13:K13)/$D29))</f>
        <v>0</v>
      </c>
      <c r="M29" s="135">
        <f>IF($D29&gt;5,SUM($F13:L13)/$D29,IF($D29&gt;4,SUM(H13:L13)/$D29,SUM(I13:L13)/$D29))</f>
        <v>0</v>
      </c>
      <c r="N29" s="135">
        <f>IF($D29&gt;5,SUM($F13:M13)/$D29,IF($D29&gt;4,SUM(I13:M13)/$D29,SUM(J13:M13)/$D29))</f>
        <v>0</v>
      </c>
      <c r="O29" s="135">
        <f>IF($D29&gt;5,SUM($F13:N13)/$D29,IF($D29&gt;4,SUM(J13:N13)/$D29,SUM(K13:N13)/$D29))</f>
        <v>0</v>
      </c>
      <c r="P29" s="135">
        <f>IF($D29&gt;5,SUM($F13:O13)/$D29,IF($D29&gt;4,SUM(K13:O13)/$D29,SUM(L13:O13)/$D29))</f>
        <v>0</v>
      </c>
      <c r="Q29" s="135">
        <f>IF($D29&gt;10,SUM($F13:P13)/$D29,IF($D29&gt;5,SUM(G13:P13)/$D29,IF($D29&gt;4,SUM(L13:P13)/$D29,SUM(M13:P13)/$D29)))</f>
        <v>0</v>
      </c>
      <c r="R29" s="135">
        <f>IF($D29&gt;10,SUM($F13:Q13)/$D29,IF($D29&gt;5,SUM(H13:Q13)/$D29,IF($D29&gt;4,SUM(M13:Q13)/$D29,SUM(N13:Q13)/$D29)))</f>
        <v>0</v>
      </c>
      <c r="S29" s="135">
        <f>IF($D29&gt;10,SUM($F13:R13)/$D29,IF($D29&gt;5,SUM(I13:R13)/$D29,IF($D29&gt;4,SUM(N13:R13)/$D29,SUM(O13:R13)/$D29)))</f>
        <v>0</v>
      </c>
      <c r="T29" s="135">
        <f>IF($D29&gt;10,SUM($F13:S13)/$D29,IF($D29&gt;5,SUM(J13:S13)/$D29,IF($D29&gt;4,SUM(O13:S13)/$D29,SUM(P13:S13)/$D29)))</f>
        <v>0</v>
      </c>
      <c r="U29" s="136">
        <f>IF($D29&gt;10,SUM($F13:T13)/$D29,IF($D29&gt;5,SUM(K13:T13)/$D29,IF($D29&gt;4,SUM(P13:T13)/$D29,SUM(Q13:T13)/$D29)))</f>
        <v>0</v>
      </c>
    </row>
    <row r="30" spans="2:21" ht="7.5" customHeight="1"/>
    <row r="31" spans="2:21">
      <c r="C31" s="206" t="s">
        <v>441</v>
      </c>
    </row>
    <row r="32" spans="2:21">
      <c r="C32" s="221" t="s">
        <v>598</v>
      </c>
    </row>
    <row r="33" spans="2:21">
      <c r="C33" s="230" t="s">
        <v>474</v>
      </c>
    </row>
    <row r="34" spans="2:21" ht="10.5" customHeight="1"/>
    <row r="35" spans="2:21" ht="24" thickBot="1">
      <c r="B35" s="226" t="s">
        <v>428</v>
      </c>
    </row>
    <row r="36" spans="2:21" ht="13.5">
      <c r="B36" s="121"/>
      <c r="C36" s="122" t="s">
        <v>256</v>
      </c>
      <c r="D36" s="123" t="s">
        <v>257</v>
      </c>
      <c r="E36" s="123" t="s">
        <v>268</v>
      </c>
      <c r="F36" s="124">
        <f>F2</f>
        <v>2025</v>
      </c>
      <c r="G36" s="124">
        <f>F36+1</f>
        <v>2026</v>
      </c>
      <c r="H36" s="124">
        <f t="shared" ref="H36" si="6">G36+1</f>
        <v>2027</v>
      </c>
      <c r="I36" s="124">
        <f t="shared" ref="I36" si="7">H36+1</f>
        <v>2028</v>
      </c>
      <c r="J36" s="124">
        <f t="shared" ref="J36" si="8">I36+1</f>
        <v>2029</v>
      </c>
      <c r="K36" s="124">
        <f t="shared" ref="K36" si="9">J36+1</f>
        <v>2030</v>
      </c>
      <c r="L36" s="124">
        <f t="shared" ref="L36" si="10">K36+1</f>
        <v>2031</v>
      </c>
      <c r="M36" s="124">
        <f t="shared" ref="M36" si="11">L36+1</f>
        <v>2032</v>
      </c>
      <c r="N36" s="124">
        <f t="shared" ref="N36" si="12">M36+1</f>
        <v>2033</v>
      </c>
      <c r="O36" s="124">
        <f t="shared" ref="O36" si="13">N36+1</f>
        <v>2034</v>
      </c>
      <c r="P36" s="124">
        <f t="shared" ref="P36" si="14">O36+1</f>
        <v>2035</v>
      </c>
      <c r="Q36" s="124">
        <f t="shared" ref="Q36" si="15">P36+1</f>
        <v>2036</v>
      </c>
      <c r="R36" s="124">
        <f t="shared" ref="R36" si="16">Q36+1</f>
        <v>2037</v>
      </c>
      <c r="S36" s="124">
        <f t="shared" ref="S36" si="17">R36+1</f>
        <v>2038</v>
      </c>
      <c r="T36" s="124">
        <f t="shared" ref="T36" si="18">S36+1</f>
        <v>2039</v>
      </c>
      <c r="U36" s="125">
        <f>S36+1</f>
        <v>2039</v>
      </c>
    </row>
    <row r="37" spans="2:21">
      <c r="B37" s="126"/>
      <c r="U37" s="127"/>
    </row>
    <row r="38" spans="2:21">
      <c r="B38" s="126" t="s">
        <v>246</v>
      </c>
      <c r="C38" s="372" t="str">
        <f>C4</f>
        <v>To supply, install, testing and comissioning of 8 units of in-line labeller, OCR reader and rejection system</v>
      </c>
      <c r="D38" s="6">
        <f t="shared" ref="D38:D47" si="19">D4</f>
        <v>5</v>
      </c>
      <c r="E38" s="6" t="str">
        <f>VLOOKUP('NPV PT'!$C$2,countries!C:F,4,0)</f>
        <v>MYR</v>
      </c>
      <c r="F38" s="128">
        <f>-'Capex Estimate'!F7*1000</f>
        <v>-2250000</v>
      </c>
      <c r="G38" s="128"/>
      <c r="H38" s="128"/>
      <c r="I38" s="128"/>
      <c r="J38" s="128"/>
      <c r="K38" s="128"/>
      <c r="L38" s="128"/>
      <c r="M38" s="128"/>
      <c r="N38" s="128"/>
      <c r="O38" s="128"/>
      <c r="P38" s="128"/>
      <c r="Q38" s="128"/>
      <c r="R38" s="128"/>
      <c r="S38" s="128"/>
      <c r="T38" s="128"/>
      <c r="U38" s="129"/>
    </row>
    <row r="39" spans="2:21">
      <c r="B39" s="126" t="s">
        <v>247</v>
      </c>
      <c r="C39" s="372" t="str">
        <f t="shared" ref="C39:C41" si="20">C5</f>
        <v>LAN cable installation for 8 lines</v>
      </c>
      <c r="D39" s="6">
        <f t="shared" si="19"/>
        <v>5</v>
      </c>
      <c r="E39" s="6" t="str">
        <f>VLOOKUP('NPV PT'!$C$2,countries!C:F,4,0)</f>
        <v>MYR</v>
      </c>
      <c r="F39" s="128">
        <f>-'Capex Estimate'!F8*1000</f>
        <v>-60000</v>
      </c>
      <c r="G39" s="128"/>
      <c r="H39" s="128"/>
      <c r="I39" s="128"/>
      <c r="J39" s="128"/>
      <c r="K39" s="128"/>
      <c r="L39" s="128"/>
      <c r="M39" s="128"/>
      <c r="N39" s="128"/>
      <c r="O39" s="128"/>
      <c r="P39" s="128"/>
      <c r="Q39" s="128"/>
      <c r="R39" s="128"/>
      <c r="S39" s="128"/>
      <c r="T39" s="128"/>
      <c r="U39" s="129"/>
    </row>
    <row r="40" spans="2:21">
      <c r="B40" s="126" t="s">
        <v>248</v>
      </c>
      <c r="C40" s="372" t="str">
        <f t="shared" si="20"/>
        <v>Unallocated Provision (UAP-Contingency)</v>
      </c>
      <c r="D40" s="6">
        <f t="shared" si="19"/>
        <v>5</v>
      </c>
      <c r="E40" s="6" t="str">
        <f>VLOOKUP('NPV PT'!$C$2,countries!C:F,4,0)</f>
        <v>MYR</v>
      </c>
      <c r="F40" s="128">
        <f>-'Capex Estimate'!F13*1000</f>
        <v>-138600</v>
      </c>
      <c r="G40" s="128"/>
      <c r="H40" s="128"/>
      <c r="I40" s="128"/>
      <c r="J40" s="128"/>
      <c r="K40" s="128"/>
      <c r="L40" s="128"/>
      <c r="M40" s="128"/>
      <c r="N40" s="128"/>
      <c r="O40" s="128"/>
      <c r="P40" s="128"/>
      <c r="Q40" s="128"/>
      <c r="R40" s="128"/>
      <c r="S40" s="128"/>
      <c r="T40" s="128"/>
      <c r="U40" s="129"/>
    </row>
    <row r="41" spans="2:21">
      <c r="B41" s="126" t="s">
        <v>249</v>
      </c>
      <c r="C41" s="372" t="str">
        <f t="shared" si="20"/>
        <v>Additional Unallocated Provision (AUAP)</v>
      </c>
      <c r="D41" s="6">
        <f t="shared" si="19"/>
        <v>5</v>
      </c>
      <c r="E41" s="6" t="str">
        <f>VLOOKUP('NPV PT'!$C$2,countries!C:F,4,0)</f>
        <v>MYR</v>
      </c>
      <c r="F41" s="128">
        <f>-'Capex Estimate'!F15*1000</f>
        <v>-46200</v>
      </c>
      <c r="G41" s="128"/>
      <c r="H41" s="128"/>
      <c r="I41" s="128"/>
      <c r="J41" s="128"/>
      <c r="K41" s="128"/>
      <c r="L41" s="128"/>
      <c r="M41" s="128"/>
      <c r="N41" s="128"/>
      <c r="O41" s="128"/>
      <c r="P41" s="128"/>
      <c r="Q41" s="128"/>
      <c r="R41" s="128"/>
      <c r="S41" s="128"/>
      <c r="T41" s="128"/>
      <c r="U41" s="129"/>
    </row>
    <row r="42" spans="2:21">
      <c r="B42" s="126" t="s">
        <v>250</v>
      </c>
      <c r="D42" s="6">
        <f t="shared" si="19"/>
        <v>10</v>
      </c>
      <c r="E42" s="6" t="str">
        <f>VLOOKUP('NPV PT'!$C$2,countries!C:F,4,0)</f>
        <v>MYR</v>
      </c>
      <c r="F42" s="128"/>
      <c r="G42" s="128"/>
      <c r="H42" s="128"/>
      <c r="I42" s="128"/>
      <c r="J42" s="128"/>
      <c r="K42" s="128"/>
      <c r="L42" s="128"/>
      <c r="M42" s="128"/>
      <c r="N42" s="128"/>
      <c r="O42" s="128"/>
      <c r="P42" s="128"/>
      <c r="Q42" s="128"/>
      <c r="R42" s="128"/>
      <c r="S42" s="128"/>
      <c r="T42" s="128"/>
      <c r="U42" s="129"/>
    </row>
    <row r="43" spans="2:21">
      <c r="B43" s="126" t="s">
        <v>251</v>
      </c>
      <c r="D43" s="6">
        <f t="shared" si="19"/>
        <v>15</v>
      </c>
      <c r="E43" s="6" t="str">
        <f>VLOOKUP('NPV PT'!$C$2,countries!C:F,4,0)</f>
        <v>MYR</v>
      </c>
      <c r="F43" s="128"/>
      <c r="G43" s="128"/>
      <c r="H43" s="128"/>
      <c r="I43" s="128"/>
      <c r="J43" s="128"/>
      <c r="K43" s="128"/>
      <c r="L43" s="128"/>
      <c r="M43" s="128"/>
      <c r="N43" s="128"/>
      <c r="O43" s="128"/>
      <c r="P43" s="128"/>
      <c r="Q43" s="128"/>
      <c r="R43" s="128"/>
      <c r="S43" s="128"/>
      <c r="T43" s="128"/>
      <c r="U43" s="129"/>
    </row>
    <row r="44" spans="2:21">
      <c r="B44" s="126" t="s">
        <v>252</v>
      </c>
      <c r="D44" s="6">
        <f t="shared" si="19"/>
        <v>20</v>
      </c>
      <c r="E44" s="6" t="str">
        <f>VLOOKUP('NPV PT'!$C$2,countries!C:F,4,0)</f>
        <v>MYR</v>
      </c>
      <c r="F44" s="128"/>
      <c r="G44" s="128"/>
      <c r="H44" s="128"/>
      <c r="I44" s="128"/>
      <c r="J44" s="128"/>
      <c r="K44" s="128"/>
      <c r="L44" s="128"/>
      <c r="M44" s="128"/>
      <c r="N44" s="128"/>
      <c r="O44" s="128"/>
      <c r="P44" s="128"/>
      <c r="Q44" s="128"/>
      <c r="R44" s="128"/>
      <c r="S44" s="128"/>
      <c r="T44" s="128"/>
      <c r="U44" s="129"/>
    </row>
    <row r="45" spans="2:21">
      <c r="B45" s="126" t="s">
        <v>253</v>
      </c>
      <c r="D45" s="6">
        <f t="shared" si="19"/>
        <v>20</v>
      </c>
      <c r="E45" s="6" t="str">
        <f>VLOOKUP('NPV PT'!$C$2,countries!C:F,4,0)</f>
        <v>MYR</v>
      </c>
      <c r="F45" s="128"/>
      <c r="G45" s="128"/>
      <c r="H45" s="128"/>
      <c r="I45" s="128"/>
      <c r="J45" s="128"/>
      <c r="K45" s="128"/>
      <c r="L45" s="128"/>
      <c r="M45" s="128"/>
      <c r="N45" s="128"/>
      <c r="O45" s="128"/>
      <c r="P45" s="128"/>
      <c r="Q45" s="128"/>
      <c r="R45" s="128"/>
      <c r="S45" s="128"/>
      <c r="T45" s="128"/>
      <c r="U45" s="129"/>
    </row>
    <row r="46" spans="2:21">
      <c r="B46" s="126" t="s">
        <v>254</v>
      </c>
      <c r="D46" s="6">
        <f t="shared" si="19"/>
        <v>25</v>
      </c>
      <c r="E46" s="6" t="str">
        <f>VLOOKUP('NPV PT'!$C$2,countries!C:F,4,0)</f>
        <v>MYR</v>
      </c>
      <c r="F46" s="128"/>
      <c r="G46" s="128"/>
      <c r="H46" s="128"/>
      <c r="I46" s="128"/>
      <c r="J46" s="128"/>
      <c r="K46" s="128"/>
      <c r="L46" s="128"/>
      <c r="M46" s="128"/>
      <c r="N46" s="128"/>
      <c r="O46" s="128"/>
      <c r="P46" s="128"/>
      <c r="Q46" s="128"/>
      <c r="R46" s="128"/>
      <c r="S46" s="128"/>
      <c r="T46" s="128"/>
      <c r="U46" s="129"/>
    </row>
    <row r="47" spans="2:21">
      <c r="B47" s="126" t="s">
        <v>255</v>
      </c>
      <c r="D47" s="6">
        <f t="shared" si="19"/>
        <v>30</v>
      </c>
      <c r="E47" s="6" t="str">
        <f>VLOOKUP('NPV PT'!$C$2,countries!C:F,4,0)</f>
        <v>MYR</v>
      </c>
      <c r="F47" s="128"/>
      <c r="G47" s="128"/>
      <c r="H47" s="128"/>
      <c r="I47" s="128"/>
      <c r="J47" s="128"/>
      <c r="K47" s="128"/>
      <c r="L47" s="128"/>
      <c r="M47" s="128"/>
      <c r="N47" s="128"/>
      <c r="O47" s="128"/>
      <c r="P47" s="128"/>
      <c r="Q47" s="128"/>
      <c r="R47" s="128"/>
      <c r="S47" s="128"/>
      <c r="T47" s="128"/>
      <c r="U47" s="129"/>
    </row>
    <row r="48" spans="2:21">
      <c r="B48" s="126"/>
      <c r="U48" s="127"/>
    </row>
    <row r="49" spans="2:21">
      <c r="B49" s="126"/>
      <c r="F49" s="130" t="s">
        <v>426</v>
      </c>
      <c r="U49" s="127"/>
    </row>
    <row r="50" spans="2:21" ht="9.75" customHeight="1">
      <c r="B50" s="126"/>
      <c r="U50" s="127"/>
    </row>
    <row r="51" spans="2:21">
      <c r="B51" s="126"/>
      <c r="U51" s="127"/>
    </row>
    <row r="52" spans="2:21" ht="13.5">
      <c r="B52" s="126"/>
      <c r="D52" s="6" t="s">
        <v>257</v>
      </c>
      <c r="E52" s="6" t="s">
        <v>268</v>
      </c>
      <c r="F52" s="72">
        <f>F36</f>
        <v>2025</v>
      </c>
      <c r="G52" s="72">
        <f t="shared" ref="G52:U52" si="21">G36</f>
        <v>2026</v>
      </c>
      <c r="H52" s="72">
        <f t="shared" si="21"/>
        <v>2027</v>
      </c>
      <c r="I52" s="72">
        <f t="shared" si="21"/>
        <v>2028</v>
      </c>
      <c r="J52" s="72">
        <f t="shared" si="21"/>
        <v>2029</v>
      </c>
      <c r="K52" s="72">
        <f t="shared" si="21"/>
        <v>2030</v>
      </c>
      <c r="L52" s="72">
        <f t="shared" si="21"/>
        <v>2031</v>
      </c>
      <c r="M52" s="72">
        <f t="shared" si="21"/>
        <v>2032</v>
      </c>
      <c r="N52" s="72">
        <f t="shared" si="21"/>
        <v>2033</v>
      </c>
      <c r="O52" s="72">
        <f t="shared" si="21"/>
        <v>2034</v>
      </c>
      <c r="P52" s="72">
        <f t="shared" si="21"/>
        <v>2035</v>
      </c>
      <c r="Q52" s="72">
        <f t="shared" si="21"/>
        <v>2036</v>
      </c>
      <c r="R52" s="72">
        <f t="shared" si="21"/>
        <v>2037</v>
      </c>
      <c r="S52" s="72">
        <f t="shared" si="21"/>
        <v>2038</v>
      </c>
      <c r="T52" s="72">
        <f t="shared" si="21"/>
        <v>2039</v>
      </c>
      <c r="U52" s="131">
        <f t="shared" si="21"/>
        <v>2039</v>
      </c>
    </row>
    <row r="53" spans="2:21">
      <c r="B53" s="126"/>
      <c r="U53" s="127"/>
    </row>
    <row r="54" spans="2:21">
      <c r="B54" s="126"/>
      <c r="C54" t="s">
        <v>258</v>
      </c>
      <c r="D54" s="6">
        <f>D38</f>
        <v>5</v>
      </c>
      <c r="E54" s="6" t="str">
        <f>VLOOKUP('NPV PT'!$C$2,countries!C:F,4,0)</f>
        <v>MYR</v>
      </c>
      <c r="F54" s="128">
        <v>0</v>
      </c>
      <c r="G54" s="128">
        <f t="shared" ref="G54:G63" si="22">F38/D54</f>
        <v>-450000</v>
      </c>
      <c r="H54" s="128">
        <f>SUM($F38:G38)/$D54</f>
        <v>-450000</v>
      </c>
      <c r="I54" s="128">
        <f>SUM($F38:H38)/$D54</f>
        <v>-450000</v>
      </c>
      <c r="J54" s="128">
        <f>SUM($F38:I38)/$D54</f>
        <v>-450000</v>
      </c>
      <c r="K54" s="128">
        <f>IF(D54&gt;4,SUM($F38:J38)/$D54,SUM($G38:J38)/$D54)</f>
        <v>-450000</v>
      </c>
      <c r="L54" s="128">
        <f>IF($D54&gt;5,SUM($F38:K38)/$D54,IF($D54&gt;4,SUM(G38:K38)/$D54,SUM(H38:K38)/$D54))</f>
        <v>0</v>
      </c>
      <c r="M54" s="128">
        <f>IF($D54&gt;5,SUM($F38:L38)/$D54,IF($D54&gt;4,SUM(H38:L38)/$D54,SUM(I38:L38)/$D54))</f>
        <v>0</v>
      </c>
      <c r="N54" s="128">
        <f>IF($D54&gt;5,SUM($F38:M38)/$D54,IF($D54&gt;4,SUM(I38:M38)/$D54,SUM(J38:M38)/$D54))</f>
        <v>0</v>
      </c>
      <c r="O54" s="128">
        <f>IF($D54&gt;5,SUM($F38:N38)/$D54,IF($D54&gt;4,SUM(J38:N38)/$D54,SUM(K38:N38)/$D54))</f>
        <v>0</v>
      </c>
      <c r="P54" s="128">
        <f>IF($D54&gt;5,SUM($F38:O38)/$D54,IF($D54&gt;4,SUM(K38:O38)/$D54,SUM(L38:O38)/$D54))</f>
        <v>0</v>
      </c>
      <c r="Q54" s="128">
        <f>IF($D54&gt;10,SUM($F38:P38)/$D54,IF($D54&gt;5,SUM(G38:P38)/$D54,IF($D54&gt;4,SUM(L38:P38)/$D54,SUM(M38:P38)/$D54)))</f>
        <v>0</v>
      </c>
      <c r="R54" s="128">
        <f>IF($D54&gt;10,SUM($F38:Q38)/$D54,IF($D54&gt;5,SUM(H38:Q38)/$D54,IF($D54&gt;4,SUM(M38:Q38)/$D54,SUM(N38:Q38)/$D54)))</f>
        <v>0</v>
      </c>
      <c r="S54" s="128">
        <f>IF($D54&gt;10,SUM($F38:R38)/$D54,IF($D54&gt;5,SUM(I38:R38)/$D54,IF($D54&gt;4,SUM(N38:R38)/$D54,SUM(O38:R38)/$D54)))</f>
        <v>0</v>
      </c>
      <c r="T54" s="128">
        <f>IF($D54&gt;10,SUM($F38:S38)/$D54,IF($D54&gt;5,SUM(J38:S38)/$D54,IF($D54&gt;4,SUM(O38:S38)/$D54,SUM(P38:S38)/$D54)))</f>
        <v>0</v>
      </c>
      <c r="U54" s="129">
        <f>IF($D54&gt;10,SUM($F38:T38)/$D54,IF($D54&gt;5,SUM(K38:T38)/$D54,IF($D54&gt;4,SUM(P38:T38)/$D54,SUM(Q38:T38)/$D54)))</f>
        <v>0</v>
      </c>
    </row>
    <row r="55" spans="2:21">
      <c r="B55" s="126"/>
      <c r="C55" t="s">
        <v>259</v>
      </c>
      <c r="D55" s="6">
        <f t="shared" ref="D55:D63" si="23">D39</f>
        <v>5</v>
      </c>
      <c r="E55" s="6" t="str">
        <f>VLOOKUP('NPV PT'!$C$2,countries!C:F,4,0)</f>
        <v>MYR</v>
      </c>
      <c r="F55" s="128">
        <v>0</v>
      </c>
      <c r="G55" s="128">
        <f t="shared" si="22"/>
        <v>-12000</v>
      </c>
      <c r="H55" s="128">
        <f>SUM($F39:G39)/$D55</f>
        <v>-12000</v>
      </c>
      <c r="I55" s="128">
        <f>SUM($F39:H39)/$D55</f>
        <v>-12000</v>
      </c>
      <c r="J55" s="128">
        <f>SUM($F39:I39)/$D55</f>
        <v>-12000</v>
      </c>
      <c r="K55" s="128">
        <f>IF(D55&gt;4,SUM($F39:J39)/$D55,SUM($G39:J39)/$D55)</f>
        <v>-12000</v>
      </c>
      <c r="L55" s="128">
        <f>IF(D55&gt;5,SUM($F39:K39)/$D55,IF(D55&gt;4,SUM($G39:K39)/$D55,SUM(H39:K39)/$D55))</f>
        <v>0</v>
      </c>
      <c r="M55" s="128">
        <f>IF($D55&gt;5,SUM($F39:L39)/$D55,IF($D55&gt;4,SUM(H39:L39)/$D55,SUM(I39:L39)/$D55))</f>
        <v>0</v>
      </c>
      <c r="N55" s="128">
        <f>IF($D55&gt;5,SUM($F39:M39)/$D55,IF($D55&gt;4,SUM(I39:M39)/$D55,SUM(J39:M39)/$D55))</f>
        <v>0</v>
      </c>
      <c r="O55" s="128">
        <f>IF($D55&gt;5,SUM($F39:N39)/$D55,IF($D55&gt;4,SUM(J39:N39)/$D55,SUM(K39:N39)/$D55))</f>
        <v>0</v>
      </c>
      <c r="P55" s="128">
        <f>IF($D55&gt;5,SUM($F39:O39)/$D55,IF($D55&gt;4,SUM(K39:O39)/$D55,SUM(L39:O39)/$D55))</f>
        <v>0</v>
      </c>
      <c r="Q55" s="128">
        <f>IF($D55&gt;10,SUM($F39:P39)/$D55,IF($D55&gt;5,SUM(G39:P39)/$D55,IF($D55&gt;4,SUM(L39:P39)/$D55,SUM(M39:P39)/$D55)))</f>
        <v>0</v>
      </c>
      <c r="R55" s="128">
        <f>IF($D55&gt;10,SUM($F39:Q39)/$D55,IF($D55&gt;5,SUM(H39:Q39)/$D55,IF($D55&gt;4,SUM(M39:Q39)/$D55,SUM(N39:Q39)/$D55)))</f>
        <v>0</v>
      </c>
      <c r="S55" s="128">
        <f>IF($D55&gt;10,SUM($F39:R39)/$D55,IF($D55&gt;5,SUM(I39:R39)/$D55,IF($D55&gt;4,SUM(N39:R39)/$D55,SUM(O39:R39)/$D55)))</f>
        <v>0</v>
      </c>
      <c r="T55" s="128">
        <f>IF($D55&gt;10,SUM($F39:S39)/$D55,IF($D55&gt;5,SUM(J39:S39)/$D55,IF($D55&gt;4,SUM(O39:S39)/$D55,SUM(P39:S39)/$D55)))</f>
        <v>0</v>
      </c>
      <c r="U55" s="129">
        <f>IF($D55&gt;10,SUM($F39:T39)/$D55,IF($D55&gt;5,SUM(K39:T39)/$D55,IF($D55&gt;4,SUM(P39:T39)/$D55,SUM(Q39:T39)/$D55)))</f>
        <v>0</v>
      </c>
    </row>
    <row r="56" spans="2:21">
      <c r="B56" s="126"/>
      <c r="C56" t="s">
        <v>260</v>
      </c>
      <c r="D56" s="6">
        <f t="shared" si="23"/>
        <v>5</v>
      </c>
      <c r="E56" s="6" t="str">
        <f>VLOOKUP('NPV PT'!$C$2,countries!C:F,4,0)</f>
        <v>MYR</v>
      </c>
      <c r="F56" s="128">
        <v>0</v>
      </c>
      <c r="G56" s="128">
        <f t="shared" si="22"/>
        <v>-27720</v>
      </c>
      <c r="H56" s="128">
        <f>SUM($F40:G40)/$D56</f>
        <v>-27720</v>
      </c>
      <c r="I56" s="128">
        <f>SUM($F40:H40)/$D56</f>
        <v>-27720</v>
      </c>
      <c r="J56" s="128">
        <f>SUM($F40:I40)/$D56</f>
        <v>-27720</v>
      </c>
      <c r="K56" s="128">
        <f>IF(D56&gt;4,SUM($F40:J40)/$D56,SUM($G40:J40)/$D56)</f>
        <v>-27720</v>
      </c>
      <c r="L56" s="128">
        <f>IF(D56&gt;5,SUM($F40:K40)/$D56,IF(D56&gt;4,SUM($G40:K40)/$D56,SUM(H40:K40)/$D56))</f>
        <v>0</v>
      </c>
      <c r="M56" s="128">
        <f>IF($D56&gt;5,SUM($F40:L40)/$D56,IF($D56&gt;4,SUM(H40:L40)/$D56,SUM(I40:L40)/$D56))</f>
        <v>0</v>
      </c>
      <c r="N56" s="128">
        <f>IF($D56&gt;5,SUM($F40:M40)/$D56,IF($D56&gt;4,SUM(I40:M40)/$D56,SUM(J40:M40)/$D56))</f>
        <v>0</v>
      </c>
      <c r="O56" s="128">
        <f>IF($D56&gt;5,SUM($F40:N40)/$D56,IF($D56&gt;4,SUM(J40:N40)/$D56,SUM(K40:N40)/$D56))</f>
        <v>0</v>
      </c>
      <c r="P56" s="128">
        <f>IF($D56&gt;5,SUM($F40:O40)/$D56,IF($D56&gt;4,SUM(K40:O40)/$D56,SUM(L40:O40)/$D56))</f>
        <v>0</v>
      </c>
      <c r="Q56" s="128">
        <f>IF($D56&gt;10,SUM($F40:P40)/$D56,IF($D56&gt;5,SUM(G40:P40)/$D56,IF($D56&gt;4,SUM(L40:P40)/$D56,SUM(M40:P40)/$D56)))</f>
        <v>0</v>
      </c>
      <c r="R56" s="128">
        <f>IF($D56&gt;10,SUM($F40:Q40)/$D56,IF($D56&gt;5,SUM(H40:Q40)/$D56,IF($D56&gt;4,SUM(M40:Q40)/$D56,SUM(N40:Q40)/$D56)))</f>
        <v>0</v>
      </c>
      <c r="S56" s="128">
        <f>IF($D56&gt;10,SUM($F40:R40)/$D56,IF($D56&gt;5,SUM(I40:R40)/$D56,IF($D56&gt;4,SUM(N40:R40)/$D56,SUM(O40:R40)/$D56)))</f>
        <v>0</v>
      </c>
      <c r="T56" s="128">
        <f>IF($D56&gt;10,SUM($F40:S40)/$D56,IF($D56&gt;5,SUM(J40:S40)/$D56,IF($D56&gt;4,SUM(O40:S40)/$D56,SUM(P40:S40)/$D56)))</f>
        <v>0</v>
      </c>
      <c r="U56" s="129">
        <f>IF($D56&gt;10,SUM($F40:T40)/$D56,IF($D56&gt;5,SUM(K40:T40)/$D56,IF($D56&gt;4,SUM(P40:T40)/$D56,SUM(Q40:T40)/$D56)))</f>
        <v>0</v>
      </c>
    </row>
    <row r="57" spans="2:21">
      <c r="B57" s="126"/>
      <c r="C57" t="s">
        <v>261</v>
      </c>
      <c r="D57" s="6">
        <f t="shared" si="23"/>
        <v>5</v>
      </c>
      <c r="E57" s="6" t="str">
        <f>VLOOKUP('NPV PT'!$C$2,countries!C:F,4,0)</f>
        <v>MYR</v>
      </c>
      <c r="F57" s="128">
        <v>0</v>
      </c>
      <c r="G57" s="128">
        <f t="shared" si="22"/>
        <v>-9240</v>
      </c>
      <c r="H57" s="128">
        <f>SUM($F41:G41)/$D57</f>
        <v>-9240</v>
      </c>
      <c r="I57" s="128">
        <f>SUM($F41:H41)/$D57</f>
        <v>-9240</v>
      </c>
      <c r="J57" s="128">
        <f>SUM($F41:I41)/$D57</f>
        <v>-9240</v>
      </c>
      <c r="K57" s="128">
        <f>IF(D57&gt;4,SUM($F41:J41)/$D57,SUM($G41:J41)/$D57)</f>
        <v>-9240</v>
      </c>
      <c r="L57" s="128">
        <f>IF(D57&gt;5,SUM($F41:K41)/$D57,IF(D57&gt;4,SUM($G41:K41)/$D57,SUM(H41:K41)/$D57))</f>
        <v>0</v>
      </c>
      <c r="M57" s="128">
        <f>IF($D57&gt;5,SUM($F41:L41)/$D57,IF($D57&gt;4,SUM(H41:L41)/$D57,SUM(I41:L41)/$D57))</f>
        <v>0</v>
      </c>
      <c r="N57" s="128">
        <f>IF($D57&gt;5,SUM($F41:M41)/$D57,IF($D57&gt;4,SUM(I41:M41)/$D57,SUM(J41:M41)/$D57))</f>
        <v>0</v>
      </c>
      <c r="O57" s="128">
        <f>IF($D57&gt;5,SUM($F41:N41)/$D57,IF($D57&gt;4,SUM(J41:N41)/$D57,SUM(K41:N41)/$D57))</f>
        <v>0</v>
      </c>
      <c r="P57" s="128">
        <f>IF($D57&gt;5,SUM($F41:O41)/$D57,IF($D57&gt;4,SUM(K41:O41)/$D57,SUM(L41:O41)/$D57))</f>
        <v>0</v>
      </c>
      <c r="Q57" s="128">
        <f>IF($D57&gt;10,SUM($F41:P41)/$D57,IF($D57&gt;5,SUM(G41:P41)/$D57,IF($D57&gt;4,SUM(L41:P41)/$D57,SUM(M41:P41)/$D57)))</f>
        <v>0</v>
      </c>
      <c r="R57" s="128">
        <f>IF($D57&gt;10,SUM($F41:Q41)/$D57,IF($D57&gt;5,SUM(H41:Q41)/$D57,IF($D57&gt;4,SUM(M41:Q41)/$D57,SUM(N41:Q41)/$D57)))</f>
        <v>0</v>
      </c>
      <c r="S57" s="128">
        <f>IF($D57&gt;10,SUM($F41:R41)/$D57,IF($D57&gt;5,SUM(I41:R41)/$D57,IF($D57&gt;4,SUM(N41:R41)/$D57,SUM(O41:R41)/$D57)))</f>
        <v>0</v>
      </c>
      <c r="T57" s="128">
        <f>IF($D57&gt;10,SUM($F41:S41)/$D57,IF($D57&gt;5,SUM(J41:S41)/$D57,IF($D57&gt;4,SUM(O41:S41)/$D57,SUM(P41:S41)/$D57)))</f>
        <v>0</v>
      </c>
      <c r="U57" s="129">
        <f>IF($D57&gt;10,SUM($F41:T41)/$D57,IF($D57&gt;5,SUM(K41:T41)/$D57,IF($D57&gt;4,SUM(P41:T41)/$D57,SUM(Q41:T41)/$D57)))</f>
        <v>0</v>
      </c>
    </row>
    <row r="58" spans="2:21">
      <c r="B58" s="126"/>
      <c r="C58" t="s">
        <v>262</v>
      </c>
      <c r="D58" s="6">
        <f t="shared" si="23"/>
        <v>10</v>
      </c>
      <c r="E58" s="6" t="str">
        <f>VLOOKUP('NPV PT'!$C$2,countries!C:F,4,0)</f>
        <v>MYR</v>
      </c>
      <c r="F58" s="128">
        <v>0</v>
      </c>
      <c r="G58" s="128">
        <f t="shared" si="22"/>
        <v>0</v>
      </c>
      <c r="H58" s="128">
        <f>SUM($F42:G42)/$D58</f>
        <v>0</v>
      </c>
      <c r="I58" s="128">
        <f>SUM($F42:H42)/$D58</f>
        <v>0</v>
      </c>
      <c r="J58" s="128">
        <f>SUM($F42:I42)/$D58</f>
        <v>0</v>
      </c>
      <c r="K58" s="128">
        <f>IF(D58&gt;4,SUM($F42:J42)/$D58,SUM($G42:J42)/$D58)</f>
        <v>0</v>
      </c>
      <c r="L58" s="128">
        <f>IF(D58&gt;5,SUM($F42:K42)/$D58,IF(D58&gt;4,SUM($G42:K42)/$D58,SUM(H42:K42)/$D58))</f>
        <v>0</v>
      </c>
      <c r="M58" s="128">
        <f>IF($D58&gt;5,SUM($F42:L42)/$D58,IF($D58&gt;4,SUM(H42:L42)/$D58,SUM(I42:L42)/$D58))</f>
        <v>0</v>
      </c>
      <c r="N58" s="128">
        <f>IF($D58&gt;5,SUM($F42:M42)/$D58,IF($D58&gt;4,SUM(I42:M42)/$D58,SUM(J42:M42)/$D58))</f>
        <v>0</v>
      </c>
      <c r="O58" s="128">
        <f>IF($D58&gt;5,SUM($F42:N42)/$D58,IF($D58&gt;4,SUM(J42:N42)/$D58,SUM(K42:N42)/$D58))</f>
        <v>0</v>
      </c>
      <c r="P58" s="128">
        <f>IF($D58&gt;5,SUM($F42:O42)/$D58,IF($D58&gt;4,SUM(K42:O42)/$D58,SUM(L42:O42)/$D58))</f>
        <v>0</v>
      </c>
      <c r="Q58" s="128">
        <f>IF($D58&gt;10,SUM($F42:P42)/$D58,IF($D58&gt;5,SUM(G42:P42)/$D58,IF($D58&gt;4,SUM(L42:P42)/$D58,SUM(M42:P42)/$D58)))</f>
        <v>0</v>
      </c>
      <c r="R58" s="128">
        <f>IF($D58&gt;10,SUM($F42:Q42)/$D58,IF($D58&gt;5,SUM(H42:Q42)/$D58,IF($D58&gt;4,SUM(M42:Q42)/$D58,SUM(N42:Q42)/$D58)))</f>
        <v>0</v>
      </c>
      <c r="S58" s="128">
        <f>IF($D58&gt;10,SUM($F42:R42)/$D58,IF($D58&gt;5,SUM(I42:R42)/$D58,IF($D58&gt;4,SUM(N42:R42)/$D58,SUM(O42:R42)/$D58)))</f>
        <v>0</v>
      </c>
      <c r="T58" s="128">
        <f>IF($D58&gt;10,SUM($F42:S42)/$D58,IF($D58&gt;5,SUM(J42:S42)/$D58,IF($D58&gt;4,SUM(O42:S42)/$D58,SUM(P42:S42)/$D58)))</f>
        <v>0</v>
      </c>
      <c r="U58" s="129">
        <f>IF($D58&gt;10,SUM($F42:T42)/$D58,IF($D58&gt;5,SUM(K42:T42)/$D58,IF($D58&gt;4,SUM(P42:T42)/$D58,SUM(Q42:T42)/$D58)))</f>
        <v>0</v>
      </c>
    </row>
    <row r="59" spans="2:21">
      <c r="B59" s="126"/>
      <c r="C59" t="s">
        <v>263</v>
      </c>
      <c r="D59" s="6">
        <f t="shared" si="23"/>
        <v>15</v>
      </c>
      <c r="E59" s="6" t="str">
        <f>VLOOKUP('NPV PT'!$C$2,countries!C:F,4,0)</f>
        <v>MYR</v>
      </c>
      <c r="F59" s="128">
        <v>0</v>
      </c>
      <c r="G59" s="128">
        <f t="shared" si="22"/>
        <v>0</v>
      </c>
      <c r="H59" s="128">
        <f>SUM($F43:G43)/$D59</f>
        <v>0</v>
      </c>
      <c r="I59" s="128">
        <f>SUM($F43:H43)/$D59</f>
        <v>0</v>
      </c>
      <c r="J59" s="128">
        <f>SUM($F43:I43)/$D59</f>
        <v>0</v>
      </c>
      <c r="K59" s="128">
        <f>IF(D59&gt;4,SUM($F43:J43)/$D59,SUM($G43:J43)/$D59)</f>
        <v>0</v>
      </c>
      <c r="L59" s="128">
        <f>IF(D59&gt;5,SUM($F43:K43)/$D59,IF(D59&gt;4,SUM($G43:K43)/$D59,SUM(H43:K43)/$D59))</f>
        <v>0</v>
      </c>
      <c r="M59" s="128">
        <f>IF($D59&gt;5,SUM($F43:L43)/$D59,IF($D59&gt;4,SUM(H43:L43)/$D59,SUM(I43:L43)/$D59))</f>
        <v>0</v>
      </c>
      <c r="N59" s="128">
        <f>IF($D59&gt;5,SUM($F43:M43)/$D59,IF($D59&gt;4,SUM(I43:M43)/$D59,SUM(J43:M43)/$D59))</f>
        <v>0</v>
      </c>
      <c r="O59" s="128">
        <f>IF($D59&gt;5,SUM($F43:N43)/$D59,IF($D59&gt;4,SUM(J43:N43)/$D59,SUM(K43:N43)/$D59))</f>
        <v>0</v>
      </c>
      <c r="P59" s="128">
        <f>IF($D59&gt;5,SUM($F43:O43)/$D59,IF($D59&gt;4,SUM(K43:O43)/$D59,SUM(L43:O43)/$D59))</f>
        <v>0</v>
      </c>
      <c r="Q59" s="128">
        <f>IF($D59&gt;10,SUM($F43:P43)/$D59,IF($D59&gt;5,SUM(G43:P43)/$D59,IF($D59&gt;4,SUM(L43:P43)/$D59,SUM(M43:P43)/$D59)))</f>
        <v>0</v>
      </c>
      <c r="R59" s="128">
        <f>IF($D59&gt;10,SUM($F43:Q43)/$D59,IF($D59&gt;5,SUM(H43:Q43)/$D59,IF($D59&gt;4,SUM(M43:Q43)/$D59,SUM(N43:Q43)/$D59)))</f>
        <v>0</v>
      </c>
      <c r="S59" s="128">
        <f>IF($D59&gt;10,SUM($F43:R43)/$D59,IF($D59&gt;5,SUM(I43:R43)/$D59,IF($D59&gt;4,SUM(N43:R43)/$D59,SUM(O43:R43)/$D59)))</f>
        <v>0</v>
      </c>
      <c r="T59" s="128">
        <f>IF($D59&gt;10,SUM($F43:S43)/$D59,IF($D59&gt;5,SUM(J43:S43)/$D59,IF($D59&gt;4,SUM(O43:S43)/$D59,SUM(P43:S43)/$D59)))</f>
        <v>0</v>
      </c>
      <c r="U59" s="129">
        <f>IF($D59&gt;10,SUM($F43:T43)/$D59,IF($D59&gt;5,SUM(K43:T43)/$D59,IF($D59&gt;4,SUM(P43:T43)/$D59,SUM(Q43:T43)/$D59)))</f>
        <v>0</v>
      </c>
    </row>
    <row r="60" spans="2:21">
      <c r="B60" s="126"/>
      <c r="C60" t="s">
        <v>264</v>
      </c>
      <c r="D60" s="6">
        <f t="shared" si="23"/>
        <v>20</v>
      </c>
      <c r="E60" s="6" t="str">
        <f>VLOOKUP('NPV PT'!$C$2,countries!C:F,4,0)</f>
        <v>MYR</v>
      </c>
      <c r="F60" s="128">
        <v>0</v>
      </c>
      <c r="G60" s="128">
        <f t="shared" si="22"/>
        <v>0</v>
      </c>
      <c r="H60" s="128">
        <f>SUM($F44:G44)/$D60</f>
        <v>0</v>
      </c>
      <c r="I60" s="128">
        <f>SUM($F44:H44)/$D60</f>
        <v>0</v>
      </c>
      <c r="J60" s="128">
        <f>SUM($F44:I44)/$D60</f>
        <v>0</v>
      </c>
      <c r="K60" s="128">
        <f>IF(D60&gt;4,SUM($F44:J44)/$D60,SUM($G44:J44)/$D60)</f>
        <v>0</v>
      </c>
      <c r="L60" s="128">
        <f>IF(D60&gt;5,SUM($F44:K44)/$D60,IF(D60&gt;4,SUM($G44:K44)/$D60,SUM(H44:K44)/$D60))</f>
        <v>0</v>
      </c>
      <c r="M60" s="128">
        <f>IF($D60&gt;5,SUM($F44:L44)/$D60,IF($D60&gt;4,SUM(H44:L44)/$D60,SUM(I44:L44)/$D60))</f>
        <v>0</v>
      </c>
      <c r="N60" s="128">
        <f>IF($D60&gt;5,SUM($F44:M44)/$D60,IF($D60&gt;4,SUM(I44:M44)/$D60,SUM(J44:M44)/$D60))</f>
        <v>0</v>
      </c>
      <c r="O60" s="128">
        <f>IF($D60&gt;5,SUM($F44:N44)/$D60,IF($D60&gt;4,SUM(J44:N44)/$D60,SUM(K44:N44)/$D60))</f>
        <v>0</v>
      </c>
      <c r="P60" s="128">
        <f>IF($D60&gt;5,SUM($F44:O44)/$D60,IF($D60&gt;4,SUM(K44:O44)/$D60,SUM(L44:O44)/$D60))</f>
        <v>0</v>
      </c>
      <c r="Q60" s="128">
        <f>IF($D60&gt;10,SUM($F44:P44)/$D60,IF($D60&gt;5,SUM(G44:P44)/$D60,IF($D60&gt;4,SUM(L44:P44)/$D60,SUM(M44:P44)/$D60)))</f>
        <v>0</v>
      </c>
      <c r="R60" s="128">
        <f>IF($D60&gt;10,SUM($F44:Q44)/$D60,IF($D60&gt;5,SUM(H44:Q44)/$D60,IF($D60&gt;4,SUM(M44:Q44)/$D60,SUM(N44:Q44)/$D60)))</f>
        <v>0</v>
      </c>
      <c r="S60" s="128">
        <f>IF($D60&gt;10,SUM($F44:R44)/$D60,IF($D60&gt;5,SUM(I44:R44)/$D60,IF($D60&gt;4,SUM(N44:R44)/$D60,SUM(O44:R44)/$D60)))</f>
        <v>0</v>
      </c>
      <c r="T60" s="128">
        <f>IF($D60&gt;10,SUM($F44:S44)/$D60,IF($D60&gt;5,SUM(J44:S44)/$D60,IF($D60&gt;4,SUM(O44:S44)/$D60,SUM(P44:S44)/$D60)))</f>
        <v>0</v>
      </c>
      <c r="U60" s="129">
        <f>IF($D60&gt;10,SUM($F44:T44)/$D60,IF($D60&gt;5,SUM(K44:T44)/$D60,IF($D60&gt;4,SUM(P44:T44)/$D60,SUM(Q44:T44)/$D60)))</f>
        <v>0</v>
      </c>
    </row>
    <row r="61" spans="2:21">
      <c r="B61" s="126"/>
      <c r="C61" t="s">
        <v>265</v>
      </c>
      <c r="D61" s="6">
        <f t="shared" si="23"/>
        <v>20</v>
      </c>
      <c r="E61" s="6" t="str">
        <f>VLOOKUP('NPV PT'!$C$2,countries!C:F,4,0)</f>
        <v>MYR</v>
      </c>
      <c r="F61" s="128">
        <v>0</v>
      </c>
      <c r="G61" s="128">
        <f t="shared" si="22"/>
        <v>0</v>
      </c>
      <c r="H61" s="128">
        <f>SUM($F45:G45)/$D61</f>
        <v>0</v>
      </c>
      <c r="I61" s="128">
        <f>SUM($F45:H45)/$D61</f>
        <v>0</v>
      </c>
      <c r="J61" s="128">
        <f>SUM($F45:I45)/$D61</f>
        <v>0</v>
      </c>
      <c r="K61" s="128">
        <f>IF(D61&gt;4,SUM($F45:J45)/$D61,SUM($G45:J45)/$D61)</f>
        <v>0</v>
      </c>
      <c r="L61" s="128">
        <f>IF(D61&gt;5,SUM($F45:K45)/$D61,IF(D61&gt;4,SUM($G45:K45)/$D61,SUM(H45:K45)/$D61))</f>
        <v>0</v>
      </c>
      <c r="M61" s="128">
        <f>IF($D61&gt;5,SUM($F45:L45)/$D61,IF($D61&gt;4,SUM(H45:L45)/$D61,SUM(I45:L45)/$D61))</f>
        <v>0</v>
      </c>
      <c r="N61" s="128">
        <f>IF($D61&gt;5,SUM($F45:M45)/$D61,IF($D61&gt;4,SUM(I45:M45)/$D61,SUM(J45:M45)/$D61))</f>
        <v>0</v>
      </c>
      <c r="O61" s="128">
        <f>IF($D61&gt;5,SUM($F45:N45)/$D61,IF($D61&gt;4,SUM(J45:N45)/$D61,SUM(K45:N45)/$D61))</f>
        <v>0</v>
      </c>
      <c r="P61" s="128">
        <f>IF($D61&gt;5,SUM($F45:O45)/$D61,IF($D61&gt;4,SUM(K45:O45)/$D61,SUM(L45:O45)/$D61))</f>
        <v>0</v>
      </c>
      <c r="Q61" s="128">
        <f>IF($D61&gt;10,SUM($F45:P45)/$D61,IF($D61&gt;5,SUM(G45:P45)/$D61,IF($D61&gt;4,SUM(L45:P45)/$D61,SUM(M45:P45)/$D61)))</f>
        <v>0</v>
      </c>
      <c r="R61" s="128">
        <f>IF($D61&gt;10,SUM($F45:Q45)/$D61,IF($D61&gt;5,SUM(H45:Q45)/$D61,IF($D61&gt;4,SUM(M45:Q45)/$D61,SUM(N45:Q45)/$D61)))</f>
        <v>0</v>
      </c>
      <c r="S61" s="128">
        <f>IF($D61&gt;10,SUM($F45:R45)/$D61,IF($D61&gt;5,SUM(I45:R45)/$D61,IF($D61&gt;4,SUM(N45:R45)/$D61,SUM(O45:R45)/$D61)))</f>
        <v>0</v>
      </c>
      <c r="T61" s="128">
        <f>IF($D61&gt;10,SUM($F45:S45)/$D61,IF($D61&gt;5,SUM(J45:S45)/$D61,IF($D61&gt;4,SUM(O45:S45)/$D61,SUM(P45:S45)/$D61)))</f>
        <v>0</v>
      </c>
      <c r="U61" s="129">
        <f>IF($D61&gt;10,SUM($F45:T45)/$D61,IF($D61&gt;5,SUM(K45:T45)/$D61,IF($D61&gt;4,SUM(P45:T45)/$D61,SUM(Q45:T45)/$D61)))</f>
        <v>0</v>
      </c>
    </row>
    <row r="62" spans="2:21">
      <c r="B62" s="126"/>
      <c r="C62" t="s">
        <v>266</v>
      </c>
      <c r="D62" s="6">
        <f t="shared" si="23"/>
        <v>25</v>
      </c>
      <c r="E62" s="6" t="str">
        <f>VLOOKUP('NPV PT'!$C$2,countries!C:F,4,0)</f>
        <v>MYR</v>
      </c>
      <c r="F62" s="128">
        <v>0</v>
      </c>
      <c r="G62" s="128">
        <f t="shared" si="22"/>
        <v>0</v>
      </c>
      <c r="H62" s="128">
        <f>SUM($F46:G46)/$D62</f>
        <v>0</v>
      </c>
      <c r="I62" s="128">
        <f>SUM($F46:H46)/$D62</f>
        <v>0</v>
      </c>
      <c r="J62" s="128">
        <f>SUM($F46:I46)/$D62</f>
        <v>0</v>
      </c>
      <c r="K62" s="128">
        <f>IF(D62&gt;4,SUM($F46:J46)/$D62,SUM($G46:J46)/$D62)</f>
        <v>0</v>
      </c>
      <c r="L62" s="128">
        <f>IF(D62&gt;5,SUM($F46:K46)/$D62,IF(D62&gt;4,SUM($G46:K46)/$D62,SUM(H46:K46)/$D62))</f>
        <v>0</v>
      </c>
      <c r="M62" s="128">
        <f>IF($D62&gt;5,SUM($F46:L46)/$D62,IF($D62&gt;4,SUM(H46:L46)/$D62,SUM(I46:L46)/$D62))</f>
        <v>0</v>
      </c>
      <c r="N62" s="128">
        <f>IF($D62&gt;5,SUM($F46:M46)/$D62,IF($D62&gt;4,SUM(I46:M46)/$D62,SUM(J46:M46)/$D62))</f>
        <v>0</v>
      </c>
      <c r="O62" s="128">
        <f>IF($D62&gt;5,SUM($F46:N46)/$D62,IF($D62&gt;4,SUM(J46:N46)/$D62,SUM(K46:N46)/$D62))</f>
        <v>0</v>
      </c>
      <c r="P62" s="128">
        <f>IF($D62&gt;5,SUM($F46:O46)/$D62,IF($D62&gt;4,SUM(K46:O46)/$D62,SUM(L46:O46)/$D62))</f>
        <v>0</v>
      </c>
      <c r="Q62" s="128">
        <f>IF($D62&gt;10,SUM($F46:P46)/$D62,IF($D62&gt;5,SUM(G46:P46)/$D62,IF($D62&gt;4,SUM(L46:P46)/$D62,SUM(M46:P46)/$D62)))</f>
        <v>0</v>
      </c>
      <c r="R62" s="128">
        <f>IF($D62&gt;10,SUM($F46:Q46)/$D62,IF($D62&gt;5,SUM(H46:Q46)/$D62,IF($D62&gt;4,SUM(M46:Q46)/$D62,SUM(N46:Q46)/$D62)))</f>
        <v>0</v>
      </c>
      <c r="S62" s="128">
        <f>IF($D62&gt;10,SUM($F46:R46)/$D62,IF($D62&gt;5,SUM(I46:R46)/$D62,IF($D62&gt;4,SUM(N46:R46)/$D62,SUM(O46:R46)/$D62)))</f>
        <v>0</v>
      </c>
      <c r="T62" s="128">
        <f>IF($D62&gt;10,SUM($F46:S46)/$D62,IF($D62&gt;5,SUM(J46:S46)/$D62,IF($D62&gt;4,SUM(O46:S46)/$D62,SUM(P46:S46)/$D62)))</f>
        <v>0</v>
      </c>
      <c r="U62" s="129">
        <f>IF($D62&gt;10,SUM($F46:T46)/$D62,IF($D62&gt;5,SUM(K46:T46)/$D62,IF($D62&gt;4,SUM(P46:T46)/$D62,SUM(Q46:T46)/$D62)))</f>
        <v>0</v>
      </c>
    </row>
    <row r="63" spans="2:21" ht="13.5" thickBot="1">
      <c r="B63" s="132"/>
      <c r="C63" s="133" t="s">
        <v>267</v>
      </c>
      <c r="D63" s="134">
        <f t="shared" si="23"/>
        <v>30</v>
      </c>
      <c r="E63" s="134" t="str">
        <f>VLOOKUP('NPV PT'!$C$2,countries!C:F,4,0)</f>
        <v>MYR</v>
      </c>
      <c r="F63" s="135">
        <v>0</v>
      </c>
      <c r="G63" s="135">
        <f t="shared" si="22"/>
        <v>0</v>
      </c>
      <c r="H63" s="135">
        <f>SUM($F47:G47)/$D63</f>
        <v>0</v>
      </c>
      <c r="I63" s="135">
        <f>SUM($F47:H47)/$D63</f>
        <v>0</v>
      </c>
      <c r="J63" s="135">
        <f>SUM($F47:I47)/$D63</f>
        <v>0</v>
      </c>
      <c r="K63" s="135">
        <f>IF(D63&gt;4,SUM($F47:J47)/$D63,SUM($G47:J47)/$D63)</f>
        <v>0</v>
      </c>
      <c r="L63" s="135">
        <f>IF(D63&gt;5,SUM($F47:K47)/$D63,IF(D63&gt;4,SUM($G47:K47)/$D63,SUM(H47:K47)/$D63))</f>
        <v>0</v>
      </c>
      <c r="M63" s="135">
        <f>IF($D63&gt;5,SUM($F47:L47)/$D63,IF($D63&gt;4,SUM(H47:L47)/$D63,SUM(I47:L47)/$D63))</f>
        <v>0</v>
      </c>
      <c r="N63" s="135">
        <f>IF($D63&gt;5,SUM($F47:M47)/$D63,IF($D63&gt;4,SUM(I47:M47)/$D63,SUM(J47:M47)/$D63))</f>
        <v>0</v>
      </c>
      <c r="O63" s="135">
        <f>IF($D63&gt;5,SUM($F47:N47)/$D63,IF($D63&gt;4,SUM(J47:N47)/$D63,SUM(K47:N47)/$D63))</f>
        <v>0</v>
      </c>
      <c r="P63" s="135">
        <f>IF($D63&gt;5,SUM($F47:O47)/$D63,IF($D63&gt;4,SUM(K47:O47)/$D63,SUM(L47:O47)/$D63))</f>
        <v>0</v>
      </c>
      <c r="Q63" s="135">
        <f>IF($D63&gt;10,SUM($F47:P47)/$D63,IF($D63&gt;5,SUM(G47:P47)/$D63,IF($D63&gt;4,SUM(L47:P47)/$D63,SUM(M47:P47)/$D63)))</f>
        <v>0</v>
      </c>
      <c r="R63" s="135">
        <f>IF($D63&gt;10,SUM($F47:Q47)/$D63,IF($D63&gt;5,SUM(H47:Q47)/$D63,IF($D63&gt;4,SUM(M47:Q47)/$D63,SUM(N47:Q47)/$D63)))</f>
        <v>0</v>
      </c>
      <c r="S63" s="135">
        <f>IF($D63&gt;10,SUM($F47:R47)/$D63,IF($D63&gt;5,SUM(I47:R47)/$D63,IF($D63&gt;4,SUM(N47:R47)/$D63,SUM(O47:R47)/$D63)))</f>
        <v>0</v>
      </c>
      <c r="T63" s="135">
        <f>IF($D63&gt;10,SUM($F47:S47)/$D63,IF($D63&gt;5,SUM(J47:S47)/$D63,IF($D63&gt;4,SUM(O47:S47)/$D63,SUM(P47:S47)/$D63)))</f>
        <v>0</v>
      </c>
      <c r="U63" s="136">
        <f>IF($D63&gt;10,SUM($F47:T47)/$D63,IF($D63&gt;5,SUM(K47:T47)/$D63,IF($D63&gt;4,SUM(P47:T47)/$D63,SUM(Q47:T47)/$D63)))</f>
        <v>0</v>
      </c>
    </row>
  </sheetData>
  <phoneticPr fontId="54" type="noConversion"/>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02DD6-17C2-47DE-A3CD-B40F3CC05A43}">
  <dimension ref="B1:L58"/>
  <sheetViews>
    <sheetView showGridLines="0" zoomScale="90" zoomScaleNormal="90" workbookViewId="0">
      <pane ySplit="6" topLeftCell="A7" activePane="bottomLeft" state="frozen"/>
      <selection activeCell="D35" sqref="D35"/>
      <selection pane="bottomLeft" activeCell="F17" sqref="F17"/>
    </sheetView>
  </sheetViews>
  <sheetFormatPr defaultColWidth="9.140625" defaultRowHeight="12.75"/>
  <cols>
    <col min="1" max="1" width="3.7109375" style="288" customWidth="1"/>
    <col min="2" max="2" width="5.42578125" style="289" customWidth="1"/>
    <col min="3" max="3" width="34.7109375" style="288" customWidth="1"/>
    <col min="4" max="4" width="10.7109375" style="289" bestFit="1" customWidth="1"/>
    <col min="5" max="7" width="24.42578125" style="288" customWidth="1"/>
    <col min="8" max="8" width="23.7109375" style="298" customWidth="1"/>
    <col min="9" max="16384" width="9.140625" style="288"/>
  </cols>
  <sheetData>
    <row r="1" spans="2:12" ht="18.75" customHeight="1">
      <c r="B1" s="287" t="s">
        <v>622</v>
      </c>
      <c r="E1" s="290" t="s">
        <v>623</v>
      </c>
      <c r="H1" s="288"/>
    </row>
    <row r="2" spans="2:12" ht="15">
      <c r="B2" s="291"/>
      <c r="C2" s="292"/>
      <c r="D2" s="292"/>
      <c r="E2" s="292"/>
      <c r="F2" s="292"/>
      <c r="G2" s="292"/>
      <c r="H2" s="292"/>
    </row>
    <row r="3" spans="2:12" ht="15">
      <c r="B3" s="293" t="s">
        <v>624</v>
      </c>
      <c r="C3" s="292"/>
      <c r="D3" s="294" t="s">
        <v>625</v>
      </c>
      <c r="E3" s="295">
        <v>4.5599999999999996</v>
      </c>
      <c r="F3" s="296" t="s">
        <v>544</v>
      </c>
      <c r="G3" s="297" t="s">
        <v>626</v>
      </c>
    </row>
    <row r="4" spans="2:12" ht="15">
      <c r="B4" s="292" t="s">
        <v>627</v>
      </c>
      <c r="C4" s="292"/>
      <c r="D4" s="294"/>
      <c r="E4" s="299"/>
      <c r="F4" s="299"/>
      <c r="G4" s="299"/>
      <c r="H4" s="300"/>
    </row>
    <row r="5" spans="2:12" ht="15">
      <c r="B5" s="292" t="s">
        <v>628</v>
      </c>
      <c r="C5" s="292"/>
      <c r="D5" s="291"/>
      <c r="E5" s="301" t="str">
        <f>F3</f>
        <v>MYR</v>
      </c>
      <c r="F5" s="301" t="str">
        <f>E5</f>
        <v>MYR</v>
      </c>
      <c r="G5" s="301" t="s">
        <v>629</v>
      </c>
    </row>
    <row r="6" spans="2:12" ht="22.9" customHeight="1">
      <c r="B6" s="302" t="s">
        <v>630</v>
      </c>
      <c r="C6" s="303" t="s">
        <v>631</v>
      </c>
      <c r="D6" s="304" t="s">
        <v>632</v>
      </c>
      <c r="E6" s="305" t="s">
        <v>633</v>
      </c>
      <c r="F6" s="305" t="s">
        <v>634</v>
      </c>
      <c r="G6" s="306" t="s">
        <v>635</v>
      </c>
      <c r="H6" s="307" t="s">
        <v>636</v>
      </c>
    </row>
    <row r="7" spans="2:12" ht="41.25" customHeight="1">
      <c r="B7" s="308">
        <v>1</v>
      </c>
      <c r="C7" s="309" t="s">
        <v>637</v>
      </c>
      <c r="D7" s="310">
        <v>1</v>
      </c>
      <c r="E7" s="311">
        <v>2250</v>
      </c>
      <c r="F7" s="311">
        <f t="shared" ref="F7:F8" si="0">E7*D7</f>
        <v>2250</v>
      </c>
      <c r="G7" s="312">
        <f>E7*D7/E$3</f>
        <v>493.42105263157902</v>
      </c>
      <c r="H7" s="313"/>
    </row>
    <row r="8" spans="2:12" ht="23.65" customHeight="1">
      <c r="B8" s="314">
        <v>2</v>
      </c>
      <c r="C8" s="315" t="s">
        <v>638</v>
      </c>
      <c r="D8" s="316">
        <v>1</v>
      </c>
      <c r="E8" s="317">
        <v>60</v>
      </c>
      <c r="F8" s="312">
        <f t="shared" si="0"/>
        <v>60</v>
      </c>
      <c r="G8" s="312">
        <f t="shared" ref="G8" si="1">E8*D8/E$3</f>
        <v>13.157894736842106</v>
      </c>
      <c r="H8" s="313"/>
    </row>
    <row r="9" spans="2:12" ht="24" customHeight="1">
      <c r="B9" s="302">
        <v>1</v>
      </c>
      <c r="C9" s="303" t="s">
        <v>639</v>
      </c>
      <c r="D9" s="304"/>
      <c r="E9" s="305"/>
      <c r="F9" s="318">
        <f>SUM(F7:F8)</f>
        <v>2310</v>
      </c>
      <c r="G9" s="319">
        <f>SUM(G7:G8)</f>
        <v>506.5789473684211</v>
      </c>
      <c r="H9" s="307"/>
    </row>
    <row r="10" spans="2:12" ht="26.65" customHeight="1">
      <c r="B10" s="320">
        <v>2.1</v>
      </c>
      <c r="C10" s="321" t="s">
        <v>640</v>
      </c>
      <c r="D10" s="322">
        <v>0</v>
      </c>
      <c r="E10" s="323"/>
      <c r="F10" s="324">
        <f>F9*D10</f>
        <v>0</v>
      </c>
      <c r="G10" s="325">
        <f>F10/E$3</f>
        <v>0</v>
      </c>
      <c r="H10" s="326" t="s">
        <v>641</v>
      </c>
      <c r="L10" s="288" t="s">
        <v>642</v>
      </c>
    </row>
    <row r="11" spans="2:12" ht="24.75" customHeight="1">
      <c r="B11" s="327">
        <v>2.2000000000000002</v>
      </c>
      <c r="C11" s="328" t="s">
        <v>643</v>
      </c>
      <c r="D11" s="329">
        <v>0</v>
      </c>
      <c r="E11" s="330"/>
      <c r="F11" s="331">
        <f>F9*D11</f>
        <v>0</v>
      </c>
      <c r="G11" s="325">
        <f>F11/E$3</f>
        <v>0</v>
      </c>
      <c r="H11" s="332" t="s">
        <v>644</v>
      </c>
    </row>
    <row r="12" spans="2:12" ht="24.75" customHeight="1">
      <c r="B12" s="302">
        <v>2</v>
      </c>
      <c r="C12" s="303" t="s">
        <v>645</v>
      </c>
      <c r="D12" s="304"/>
      <c r="E12" s="305"/>
      <c r="F12" s="318">
        <f>SUM(F9:F11)</f>
        <v>2310</v>
      </c>
      <c r="G12" s="319">
        <f>SUM(G9:G11)</f>
        <v>506.5789473684211</v>
      </c>
      <c r="H12" s="307" t="s">
        <v>646</v>
      </c>
    </row>
    <row r="13" spans="2:12" ht="33" customHeight="1">
      <c r="B13" s="314">
        <v>3.1</v>
      </c>
      <c r="C13" s="333" t="s">
        <v>647</v>
      </c>
      <c r="D13" s="334">
        <v>0.06</v>
      </c>
      <c r="E13" s="330"/>
      <c r="F13" s="335">
        <f>F9*D13</f>
        <v>138.6</v>
      </c>
      <c r="G13" s="325">
        <f>F13/E$3</f>
        <v>30.394736842105264</v>
      </c>
      <c r="H13" s="332" t="s">
        <v>648</v>
      </c>
      <c r="K13" s="288" t="s">
        <v>642</v>
      </c>
      <c r="L13" s="288" t="s">
        <v>642</v>
      </c>
    </row>
    <row r="14" spans="2:12" ht="28.15" customHeight="1">
      <c r="B14" s="302">
        <v>3</v>
      </c>
      <c r="C14" s="303" t="s">
        <v>649</v>
      </c>
      <c r="D14" s="304"/>
      <c r="E14" s="305"/>
      <c r="F14" s="318">
        <f>SUM(F12:F13)</f>
        <v>2448.6</v>
      </c>
      <c r="G14" s="319">
        <f>SUM(G12:G13)</f>
        <v>536.97368421052636</v>
      </c>
      <c r="H14" s="307" t="s">
        <v>650</v>
      </c>
    </row>
    <row r="15" spans="2:12" ht="27" customHeight="1">
      <c r="B15" s="314">
        <v>3.2</v>
      </c>
      <c r="C15" s="333" t="s">
        <v>651</v>
      </c>
      <c r="D15" s="334">
        <v>0.02</v>
      </c>
      <c r="E15" s="330"/>
      <c r="F15" s="335">
        <f>F9*D15</f>
        <v>46.2</v>
      </c>
      <c r="G15" s="325">
        <f>F15/E$3</f>
        <v>10.131578947368423</v>
      </c>
      <c r="H15" s="332" t="s">
        <v>652</v>
      </c>
      <c r="K15" s="288" t="s">
        <v>642</v>
      </c>
    </row>
    <row r="16" spans="2:12" ht="24.75" customHeight="1">
      <c r="B16" s="302">
        <v>3</v>
      </c>
      <c r="C16" s="303" t="s">
        <v>653</v>
      </c>
      <c r="D16" s="304"/>
      <c r="E16" s="305"/>
      <c r="F16" s="318">
        <f>SUM(F14:F15)</f>
        <v>2494.7999999999997</v>
      </c>
      <c r="G16" s="319">
        <f>SUM(G14:G15)</f>
        <v>547.1052631578948</v>
      </c>
      <c r="H16" s="307" t="s">
        <v>654</v>
      </c>
    </row>
    <row r="17" spans="2:8" ht="19.5" customHeight="1">
      <c r="B17" s="302"/>
      <c r="C17" s="303" t="s">
        <v>655</v>
      </c>
      <c r="D17" s="304"/>
      <c r="E17" s="305"/>
      <c r="F17" s="318">
        <v>2493</v>
      </c>
      <c r="G17" s="319">
        <v>547</v>
      </c>
      <c r="H17" s="307" t="s">
        <v>656</v>
      </c>
    </row>
    <row r="18" spans="2:8">
      <c r="C18" s="336"/>
      <c r="D18" s="337"/>
      <c r="E18" s="338"/>
      <c r="F18" s="338" t="s">
        <v>657</v>
      </c>
      <c r="G18" s="338"/>
    </row>
    <row r="19" spans="2:8" ht="15" customHeight="1">
      <c r="F19" s="339" t="s">
        <v>658</v>
      </c>
      <c r="G19" s="339"/>
    </row>
    <row r="20" spans="2:8" ht="19.5" customHeight="1">
      <c r="B20" s="340"/>
      <c r="C20" s="341" t="s">
        <v>659</v>
      </c>
      <c r="D20" s="304" t="s">
        <v>660</v>
      </c>
      <c r="E20" s="304" t="s">
        <v>661</v>
      </c>
      <c r="F20" s="301" t="str">
        <f>F3</f>
        <v>MYR</v>
      </c>
      <c r="G20" s="415" t="s">
        <v>658</v>
      </c>
      <c r="H20" s="415"/>
    </row>
    <row r="21" spans="2:8" ht="19.5" customHeight="1">
      <c r="B21" s="342"/>
      <c r="C21" s="343"/>
      <c r="D21" s="416">
        <v>2025</v>
      </c>
      <c r="E21" s="344" t="s">
        <v>662</v>
      </c>
      <c r="F21" s="345"/>
      <c r="G21" s="346">
        <f>F21/E$3</f>
        <v>0</v>
      </c>
      <c r="H21" s="347"/>
    </row>
    <row r="22" spans="2:8" ht="19.5" customHeight="1">
      <c r="B22" s="348"/>
      <c r="C22" s="349"/>
      <c r="D22" s="417"/>
      <c r="E22" s="350" t="s">
        <v>663</v>
      </c>
      <c r="F22" s="345"/>
      <c r="G22" s="351">
        <v>0</v>
      </c>
      <c r="H22" s="346"/>
    </row>
    <row r="23" spans="2:8" ht="19.5" customHeight="1">
      <c r="B23" s="348"/>
      <c r="C23" s="349"/>
      <c r="D23" s="417"/>
      <c r="E23" s="350" t="s">
        <v>664</v>
      </c>
      <c r="F23" s="352">
        <v>1000</v>
      </c>
      <c r="G23" s="346">
        <v>220</v>
      </c>
      <c r="H23" s="346"/>
    </row>
    <row r="24" spans="2:8" ht="19.5" customHeight="1">
      <c r="B24" s="348"/>
      <c r="C24" s="349"/>
      <c r="D24" s="418"/>
      <c r="E24" s="353" t="s">
        <v>665</v>
      </c>
      <c r="F24" s="352">
        <v>1449</v>
      </c>
      <c r="G24" s="346">
        <v>317</v>
      </c>
      <c r="H24" s="354"/>
    </row>
    <row r="25" spans="2:8" ht="19.5" customHeight="1">
      <c r="B25" s="340"/>
      <c r="C25" s="341" t="s">
        <v>666</v>
      </c>
      <c r="D25" s="304"/>
      <c r="E25" s="304"/>
      <c r="F25" s="355">
        <f>SUM(F21:F24)</f>
        <v>2449</v>
      </c>
      <c r="G25" s="356">
        <f>SUM(G21:G24)</f>
        <v>537</v>
      </c>
      <c r="H25" s="357"/>
    </row>
    <row r="53" spans="2:2">
      <c r="B53" s="289" t="s">
        <v>570</v>
      </c>
    </row>
    <row r="54" spans="2:2">
      <c r="B54" s="289" t="s">
        <v>544</v>
      </c>
    </row>
    <row r="55" spans="2:2">
      <c r="B55" s="289" t="s">
        <v>494</v>
      </c>
    </row>
    <row r="56" spans="2:2">
      <c r="B56" s="289" t="s">
        <v>577</v>
      </c>
    </row>
    <row r="57" spans="2:2">
      <c r="B57" s="289" t="s">
        <v>667</v>
      </c>
    </row>
    <row r="58" spans="2:2">
      <c r="B58" s="289" t="s">
        <v>668</v>
      </c>
    </row>
  </sheetData>
  <mergeCells count="2">
    <mergeCell ref="G20:H20"/>
    <mergeCell ref="D21:D24"/>
  </mergeCells>
  <dataValidations count="1">
    <dataValidation type="list" allowBlank="1" showInputMessage="1" showErrorMessage="1" sqref="F3" xr:uid="{83E10145-675A-4B59-AF35-9A9A7532BBE3}">
      <formula1>$B$53:$B$58</formula1>
    </dataValidation>
  </dataValidation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F9BF3-7907-4857-9254-FA6FD8ACDF75}">
  <dimension ref="B2:I19"/>
  <sheetViews>
    <sheetView workbookViewId="0">
      <selection activeCell="D12" sqref="D12"/>
    </sheetView>
  </sheetViews>
  <sheetFormatPr defaultRowHeight="12.75"/>
  <cols>
    <col min="2" max="2" width="18.5703125" bestFit="1" customWidth="1"/>
    <col min="4" max="4" width="11.85546875" bestFit="1" customWidth="1"/>
    <col min="5" max="9" width="14" bestFit="1" customWidth="1"/>
  </cols>
  <sheetData>
    <row r="2" spans="2:9">
      <c r="B2" s="285" t="s">
        <v>621</v>
      </c>
      <c r="C2" s="286">
        <v>2024</v>
      </c>
      <c r="D2" s="286">
        <f>C2+1</f>
        <v>2025</v>
      </c>
      <c r="E2" s="286">
        <f t="shared" ref="E2:I2" si="0">D2+1</f>
        <v>2026</v>
      </c>
      <c r="F2" s="286">
        <f t="shared" si="0"/>
        <v>2027</v>
      </c>
      <c r="G2" s="286">
        <f t="shared" si="0"/>
        <v>2028</v>
      </c>
      <c r="H2" s="286">
        <f t="shared" si="0"/>
        <v>2029</v>
      </c>
      <c r="I2" s="286">
        <f t="shared" si="0"/>
        <v>2030</v>
      </c>
    </row>
    <row r="3" spans="2:9">
      <c r="B3" t="s">
        <v>613</v>
      </c>
      <c r="C3" s="282">
        <f>30238204/1000000</f>
        <v>30.238204</v>
      </c>
      <c r="D3" s="282">
        <f>C3</f>
        <v>30.238204</v>
      </c>
      <c r="E3" s="282">
        <f t="shared" ref="E3:I3" si="1">D3</f>
        <v>30.238204</v>
      </c>
      <c r="F3" s="282">
        <f t="shared" si="1"/>
        <v>30.238204</v>
      </c>
      <c r="G3" s="282">
        <f t="shared" si="1"/>
        <v>30.238204</v>
      </c>
      <c r="H3" s="282">
        <f t="shared" si="1"/>
        <v>30.238204</v>
      </c>
      <c r="I3" s="282">
        <f t="shared" si="1"/>
        <v>30.238204</v>
      </c>
    </row>
    <row r="4" spans="2:9">
      <c r="B4" t="s">
        <v>614</v>
      </c>
      <c r="C4" s="282"/>
      <c r="D4" s="282"/>
      <c r="E4" s="283">
        <v>0.05</v>
      </c>
      <c r="F4" s="283">
        <v>0.05</v>
      </c>
      <c r="G4" s="283">
        <v>0.05</v>
      </c>
      <c r="H4" s="283">
        <v>0.05</v>
      </c>
      <c r="I4" s="283">
        <v>0.05</v>
      </c>
    </row>
    <row r="5" spans="2:9">
      <c r="C5" s="282"/>
      <c r="D5" s="282"/>
      <c r="E5" s="283"/>
      <c r="F5" s="283"/>
      <c r="G5" s="283"/>
      <c r="H5" s="283"/>
      <c r="I5" s="283"/>
    </row>
    <row r="6" spans="2:9">
      <c r="B6" t="s">
        <v>67</v>
      </c>
      <c r="C6" s="282"/>
      <c r="D6" s="282"/>
      <c r="E6" s="368">
        <f>E3*E4*1000000</f>
        <v>1511910.2</v>
      </c>
      <c r="F6" s="368">
        <f t="shared" ref="F6:I6" si="2">F3*F4*1000000</f>
        <v>1511910.2</v>
      </c>
      <c r="G6" s="368">
        <f t="shared" si="2"/>
        <v>1511910.2</v>
      </c>
      <c r="H6" s="368">
        <f t="shared" si="2"/>
        <v>1511910.2</v>
      </c>
      <c r="I6" s="368">
        <f t="shared" si="2"/>
        <v>1511910.2</v>
      </c>
    </row>
    <row r="7" spans="2:9">
      <c r="B7" t="s">
        <v>616</v>
      </c>
      <c r="C7" s="282"/>
      <c r="D7" s="282"/>
      <c r="E7" s="282">
        <v>0.9</v>
      </c>
      <c r="F7" s="282">
        <v>0.9</v>
      </c>
      <c r="G7" s="282">
        <v>0.9</v>
      </c>
      <c r="H7" s="282">
        <v>0.9</v>
      </c>
      <c r="I7" s="282">
        <v>0.9</v>
      </c>
    </row>
    <row r="8" spans="2:9">
      <c r="B8" t="s">
        <v>615</v>
      </c>
      <c r="C8" s="282"/>
      <c r="D8" s="282"/>
      <c r="E8" s="368">
        <f>E6*E7</f>
        <v>1360719.18</v>
      </c>
      <c r="F8" s="368">
        <f t="shared" ref="F8:I8" si="3">F6*F7</f>
        <v>1360719.18</v>
      </c>
      <c r="G8" s="368">
        <f t="shared" si="3"/>
        <v>1360719.18</v>
      </c>
      <c r="H8" s="368">
        <f t="shared" si="3"/>
        <v>1360719.18</v>
      </c>
      <c r="I8" s="368">
        <f t="shared" si="3"/>
        <v>1360719.18</v>
      </c>
    </row>
    <row r="9" spans="2:9">
      <c r="B9" t="s">
        <v>617</v>
      </c>
      <c r="C9" s="282"/>
      <c r="D9" s="282"/>
      <c r="E9" s="368">
        <f>-0.24*E8</f>
        <v>-326572.60319999995</v>
      </c>
      <c r="F9" s="368">
        <f t="shared" ref="F9:I9" si="4">-0.24*F8</f>
        <v>-326572.60319999995</v>
      </c>
      <c r="G9" s="368">
        <f t="shared" si="4"/>
        <v>-326572.60319999995</v>
      </c>
      <c r="H9" s="368">
        <f t="shared" si="4"/>
        <v>-326572.60319999995</v>
      </c>
      <c r="I9" s="368">
        <f t="shared" si="4"/>
        <v>-326572.60319999995</v>
      </c>
    </row>
    <row r="10" spans="2:9">
      <c r="B10" t="s">
        <v>618</v>
      </c>
      <c r="C10" s="282"/>
      <c r="D10" s="282"/>
      <c r="E10" s="368">
        <f>E8+E9</f>
        <v>1034146.5767999999</v>
      </c>
      <c r="F10" s="368">
        <f t="shared" ref="F10:I10" si="5">F8+F9</f>
        <v>1034146.5767999999</v>
      </c>
      <c r="G10" s="368">
        <f t="shared" si="5"/>
        <v>1034146.5767999999</v>
      </c>
      <c r="H10" s="368">
        <f t="shared" si="5"/>
        <v>1034146.5767999999</v>
      </c>
      <c r="I10" s="368">
        <f t="shared" si="5"/>
        <v>1034146.5767999999</v>
      </c>
    </row>
    <row r="11" spans="2:9">
      <c r="C11" s="282"/>
      <c r="D11" s="282"/>
      <c r="E11" s="282"/>
      <c r="F11" s="282"/>
      <c r="G11" s="282"/>
      <c r="H11" s="282"/>
      <c r="I11" s="282"/>
    </row>
    <row r="12" spans="2:9">
      <c r="B12" t="s">
        <v>619</v>
      </c>
      <c r="C12" s="284"/>
      <c r="D12" s="369">
        <f>-0.547*1000000</f>
        <v>-547000</v>
      </c>
      <c r="E12" s="284"/>
      <c r="F12" s="284"/>
      <c r="G12" s="284"/>
      <c r="H12" s="284"/>
      <c r="I12" s="284"/>
    </row>
    <row r="13" spans="2:9">
      <c r="C13" s="284"/>
      <c r="D13" s="284"/>
      <c r="E13" s="284"/>
      <c r="F13" s="284"/>
      <c r="G13" s="284"/>
      <c r="H13" s="284"/>
      <c r="I13" s="284"/>
    </row>
    <row r="14" spans="2:9">
      <c r="B14" t="s">
        <v>620</v>
      </c>
      <c r="C14" s="284"/>
      <c r="D14" s="284"/>
      <c r="E14" s="284"/>
      <c r="F14" s="284"/>
      <c r="G14" s="284"/>
      <c r="H14" s="284"/>
      <c r="I14" s="284"/>
    </row>
    <row r="15" spans="2:9">
      <c r="C15" s="284"/>
      <c r="D15" s="284"/>
      <c r="E15" s="284"/>
      <c r="F15" s="284"/>
      <c r="G15" s="284"/>
      <c r="H15" s="284"/>
      <c r="I15" s="284"/>
    </row>
    <row r="16" spans="2:9">
      <c r="C16" s="284"/>
      <c r="D16" s="284"/>
      <c r="E16" s="284"/>
      <c r="F16" s="284"/>
      <c r="G16" s="284"/>
      <c r="H16" s="284"/>
      <c r="I16" s="284"/>
    </row>
    <row r="17" spans="3:9">
      <c r="C17" s="284"/>
      <c r="D17" s="284"/>
      <c r="E17" s="284"/>
      <c r="F17" s="284"/>
      <c r="G17" s="284"/>
      <c r="H17" s="284"/>
      <c r="I17" s="284"/>
    </row>
    <row r="18" spans="3:9">
      <c r="C18" s="284"/>
      <c r="D18" s="284"/>
      <c r="E18" s="284"/>
      <c r="F18" s="284"/>
      <c r="G18" s="284"/>
      <c r="H18" s="284"/>
      <c r="I18" s="284"/>
    </row>
    <row r="19" spans="3:9">
      <c r="C19" s="284"/>
      <c r="D19" s="284"/>
      <c r="E19" s="284"/>
      <c r="F19" s="284"/>
      <c r="G19" s="284"/>
      <c r="H19" s="284"/>
      <c r="I19" s="28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EB42D-E4B4-4647-84C5-32D9666261B2}">
  <sheetPr>
    <tabColor theme="0" tint="-0.499984740745262"/>
  </sheetPr>
  <dimension ref="A1:F81"/>
  <sheetViews>
    <sheetView showGridLines="0" workbookViewId="0">
      <selection activeCell="K14" sqref="K14"/>
    </sheetView>
  </sheetViews>
  <sheetFormatPr defaultRowHeight="12.75"/>
  <cols>
    <col min="1" max="1" width="17.140625" style="73" customWidth="1"/>
    <col min="2" max="2" width="48.28515625" style="73" customWidth="1"/>
    <col min="3" max="3" width="38.28515625" style="73" bestFit="1" customWidth="1"/>
    <col min="4" max="4" width="15.140625" style="73" customWidth="1"/>
    <col min="5" max="5" width="2.28515625" style="73" customWidth="1"/>
    <col min="6" max="6" width="19.85546875" style="73" bestFit="1" customWidth="1"/>
    <col min="7" max="16384" width="9.140625" style="73"/>
  </cols>
  <sheetData>
    <row r="1" spans="1:6">
      <c r="A1" s="426" t="s">
        <v>271</v>
      </c>
      <c r="B1" s="426"/>
      <c r="C1" s="426"/>
      <c r="D1" s="426"/>
      <c r="F1" s="233" t="s">
        <v>599</v>
      </c>
    </row>
    <row r="2" spans="1:6" ht="13.5" thickBot="1"/>
    <row r="3" spans="1:6" ht="20.25" customHeight="1" thickBot="1">
      <c r="B3" s="234" t="s">
        <v>272</v>
      </c>
      <c r="C3" s="235" t="s">
        <v>273</v>
      </c>
    </row>
    <row r="4" spans="1:6" ht="54.75" thickBot="1">
      <c r="A4" s="236" t="s">
        <v>274</v>
      </c>
      <c r="B4" s="237" t="s">
        <v>275</v>
      </c>
      <c r="C4" s="238" t="s">
        <v>276</v>
      </c>
      <c r="D4" s="237" t="s">
        <v>277</v>
      </c>
      <c r="F4" s="237" t="s">
        <v>600</v>
      </c>
    </row>
    <row r="5" spans="1:6" ht="16.5">
      <c r="A5" s="427" t="s">
        <v>278</v>
      </c>
      <c r="B5" s="239" t="s">
        <v>279</v>
      </c>
      <c r="C5" s="240" t="s">
        <v>280</v>
      </c>
      <c r="D5" s="241">
        <v>20</v>
      </c>
      <c r="F5" s="242">
        <v>30</v>
      </c>
    </row>
    <row r="6" spans="1:6">
      <c r="A6" s="424"/>
      <c r="B6" s="239" t="s">
        <v>281</v>
      </c>
      <c r="C6" s="243" t="s">
        <v>282</v>
      </c>
      <c r="D6" s="244">
        <v>10</v>
      </c>
      <c r="F6" s="245">
        <v>10</v>
      </c>
    </row>
    <row r="7" spans="1:6">
      <c r="A7" s="424"/>
      <c r="B7" s="239" t="s">
        <v>283</v>
      </c>
      <c r="C7" s="243" t="s">
        <v>282</v>
      </c>
      <c r="D7" s="244">
        <v>10</v>
      </c>
      <c r="F7" s="245">
        <v>10</v>
      </c>
    </row>
    <row r="8" spans="1:6">
      <c r="A8" s="424"/>
      <c r="B8" s="239" t="s">
        <v>284</v>
      </c>
      <c r="C8" s="243" t="s">
        <v>285</v>
      </c>
      <c r="D8" s="244">
        <v>10</v>
      </c>
      <c r="F8" s="245">
        <v>10</v>
      </c>
    </row>
    <row r="9" spans="1:6">
      <c r="A9" s="424"/>
      <c r="B9" s="239" t="s">
        <v>286</v>
      </c>
      <c r="C9" s="243" t="s">
        <v>287</v>
      </c>
      <c r="D9" s="244">
        <v>5</v>
      </c>
      <c r="F9" s="245">
        <v>5</v>
      </c>
    </row>
    <row r="10" spans="1:6">
      <c r="A10" s="424"/>
      <c r="B10" s="239" t="s">
        <v>288</v>
      </c>
      <c r="C10" s="243" t="s">
        <v>289</v>
      </c>
      <c r="D10" s="244">
        <v>5</v>
      </c>
      <c r="F10" s="245">
        <v>5</v>
      </c>
    </row>
    <row r="11" spans="1:6" ht="13.5" thickBot="1">
      <c r="A11" s="425"/>
      <c r="B11" s="246" t="s">
        <v>290</v>
      </c>
      <c r="C11" s="247" t="s">
        <v>291</v>
      </c>
      <c r="D11" s="248">
        <v>10</v>
      </c>
      <c r="F11" s="249">
        <v>10</v>
      </c>
    </row>
    <row r="12" spans="1:6" ht="16.5">
      <c r="A12" s="427" t="s">
        <v>292</v>
      </c>
      <c r="B12" s="250" t="s">
        <v>293</v>
      </c>
      <c r="C12" s="240" t="s">
        <v>294</v>
      </c>
      <c r="D12" s="241">
        <v>20</v>
      </c>
      <c r="F12" s="242">
        <v>30</v>
      </c>
    </row>
    <row r="13" spans="1:6">
      <c r="A13" s="424"/>
      <c r="B13" s="239" t="s">
        <v>286</v>
      </c>
      <c r="C13" s="243" t="s">
        <v>295</v>
      </c>
      <c r="D13" s="244">
        <v>5</v>
      </c>
      <c r="F13" s="245">
        <v>5</v>
      </c>
    </row>
    <row r="14" spans="1:6">
      <c r="A14" s="424"/>
      <c r="B14" s="239" t="s">
        <v>283</v>
      </c>
      <c r="C14" s="243" t="s">
        <v>296</v>
      </c>
      <c r="D14" s="244">
        <v>10</v>
      </c>
      <c r="F14" s="245">
        <v>10</v>
      </c>
    </row>
    <row r="15" spans="1:6">
      <c r="A15" s="424"/>
      <c r="B15" s="239" t="s">
        <v>297</v>
      </c>
      <c r="C15" s="243" t="s">
        <v>298</v>
      </c>
      <c r="D15" s="244">
        <v>5</v>
      </c>
      <c r="F15" s="245">
        <v>5</v>
      </c>
    </row>
    <row r="16" spans="1:6">
      <c r="A16" s="424"/>
      <c r="B16" s="239" t="s">
        <v>299</v>
      </c>
      <c r="C16" s="243" t="s">
        <v>300</v>
      </c>
      <c r="D16" s="244">
        <v>10</v>
      </c>
      <c r="F16" s="245">
        <v>10</v>
      </c>
    </row>
    <row r="17" spans="1:6" ht="17.25" thickBot="1">
      <c r="A17" s="425"/>
      <c r="B17" s="246" t="s">
        <v>301</v>
      </c>
      <c r="C17" s="247" t="s">
        <v>302</v>
      </c>
      <c r="D17" s="248">
        <v>10</v>
      </c>
      <c r="F17" s="251">
        <v>25</v>
      </c>
    </row>
    <row r="18" spans="1:6" ht="16.5">
      <c r="A18" s="427" t="s">
        <v>303</v>
      </c>
      <c r="B18" s="250" t="s">
        <v>293</v>
      </c>
      <c r="C18" s="240" t="s">
        <v>304</v>
      </c>
      <c r="D18" s="241">
        <v>20</v>
      </c>
      <c r="F18" s="242">
        <v>30</v>
      </c>
    </row>
    <row r="19" spans="1:6">
      <c r="A19" s="424"/>
      <c r="B19" s="239" t="s">
        <v>286</v>
      </c>
      <c r="C19" s="243" t="s">
        <v>305</v>
      </c>
      <c r="D19" s="244">
        <v>5</v>
      </c>
      <c r="F19" s="245">
        <v>5</v>
      </c>
    </row>
    <row r="20" spans="1:6">
      <c r="A20" s="424"/>
      <c r="B20" s="239" t="s">
        <v>306</v>
      </c>
      <c r="C20" s="243" t="s">
        <v>307</v>
      </c>
      <c r="D20" s="244">
        <v>10</v>
      </c>
      <c r="F20" s="245">
        <v>10</v>
      </c>
    </row>
    <row r="21" spans="1:6">
      <c r="A21" s="424"/>
      <c r="B21" s="239" t="s">
        <v>299</v>
      </c>
      <c r="C21" s="243" t="s">
        <v>308</v>
      </c>
      <c r="D21" s="244">
        <v>10</v>
      </c>
      <c r="F21" s="245">
        <v>10</v>
      </c>
    </row>
    <row r="22" spans="1:6">
      <c r="A22" s="424"/>
      <c r="B22" s="239" t="s">
        <v>309</v>
      </c>
      <c r="C22" s="243" t="s">
        <v>310</v>
      </c>
      <c r="D22" s="244">
        <v>5</v>
      </c>
      <c r="F22" s="245">
        <v>5</v>
      </c>
    </row>
    <row r="23" spans="1:6" ht="17.25" thickBot="1">
      <c r="A23" s="425"/>
      <c r="B23" s="246" t="s">
        <v>311</v>
      </c>
      <c r="C23" s="247" t="s">
        <v>312</v>
      </c>
      <c r="D23" s="248">
        <v>10</v>
      </c>
      <c r="F23" s="251">
        <v>25</v>
      </c>
    </row>
    <row r="24" spans="1:6" ht="16.5">
      <c r="A24" s="427" t="s">
        <v>313</v>
      </c>
      <c r="B24" s="250" t="s">
        <v>314</v>
      </c>
      <c r="C24" s="240" t="s">
        <v>315</v>
      </c>
      <c r="D24" s="241">
        <v>20</v>
      </c>
      <c r="F24" s="242">
        <v>30</v>
      </c>
    </row>
    <row r="25" spans="1:6" ht="16.5">
      <c r="A25" s="424"/>
      <c r="B25" s="239" t="s">
        <v>316</v>
      </c>
      <c r="C25" s="243" t="s">
        <v>317</v>
      </c>
      <c r="D25" s="244">
        <v>20</v>
      </c>
      <c r="F25" s="252">
        <v>30</v>
      </c>
    </row>
    <row r="26" spans="1:6">
      <c r="A26" s="424"/>
      <c r="B26" s="239" t="s">
        <v>318</v>
      </c>
      <c r="C26" s="243" t="s">
        <v>319</v>
      </c>
      <c r="D26" s="244">
        <v>10</v>
      </c>
      <c r="F26" s="245">
        <v>10</v>
      </c>
    </row>
    <row r="27" spans="1:6">
      <c r="A27" s="424"/>
      <c r="B27" s="239" t="s">
        <v>286</v>
      </c>
      <c r="C27" s="243" t="s">
        <v>320</v>
      </c>
      <c r="D27" s="244">
        <v>5</v>
      </c>
      <c r="F27" s="245">
        <v>5</v>
      </c>
    </row>
    <row r="28" spans="1:6">
      <c r="A28" s="424"/>
      <c r="B28" s="239" t="s">
        <v>321</v>
      </c>
      <c r="C28" s="243" t="s">
        <v>322</v>
      </c>
      <c r="D28" s="244">
        <v>5</v>
      </c>
      <c r="F28" s="245">
        <v>5</v>
      </c>
    </row>
    <row r="29" spans="1:6">
      <c r="A29" s="424"/>
      <c r="B29" s="239" t="s">
        <v>323</v>
      </c>
      <c r="C29" s="243" t="s">
        <v>324</v>
      </c>
      <c r="D29" s="244">
        <v>10</v>
      </c>
      <c r="F29" s="245">
        <v>10</v>
      </c>
    </row>
    <row r="30" spans="1:6">
      <c r="A30" s="424"/>
      <c r="B30" s="239" t="s">
        <v>325</v>
      </c>
      <c r="C30" s="243" t="s">
        <v>326</v>
      </c>
      <c r="D30" s="244">
        <v>10</v>
      </c>
      <c r="F30" s="245">
        <v>10</v>
      </c>
    </row>
    <row r="31" spans="1:6" ht="17.25" thickBot="1">
      <c r="A31" s="425"/>
      <c r="B31" s="246" t="s">
        <v>327</v>
      </c>
      <c r="C31" s="247" t="s">
        <v>328</v>
      </c>
      <c r="D31" s="248">
        <v>10</v>
      </c>
      <c r="F31" s="251">
        <v>20</v>
      </c>
    </row>
    <row r="32" spans="1:6" ht="16.5">
      <c r="A32" s="419" t="s">
        <v>329</v>
      </c>
      <c r="B32" s="250" t="s">
        <v>330</v>
      </c>
      <c r="C32" s="240" t="s">
        <v>331</v>
      </c>
      <c r="D32" s="241">
        <v>10</v>
      </c>
      <c r="F32" s="242">
        <v>20</v>
      </c>
    </row>
    <row r="33" spans="1:6" ht="15.75">
      <c r="A33" s="420"/>
      <c r="B33" s="239" t="s">
        <v>332</v>
      </c>
      <c r="C33" s="243" t="s">
        <v>333</v>
      </c>
      <c r="D33" s="244">
        <v>10</v>
      </c>
      <c r="F33" s="253">
        <v>20</v>
      </c>
    </row>
    <row r="34" spans="1:6" ht="16.5">
      <c r="A34" s="420"/>
      <c r="B34" s="239" t="s">
        <v>334</v>
      </c>
      <c r="C34" s="243" t="s">
        <v>335</v>
      </c>
      <c r="D34" s="244">
        <v>15</v>
      </c>
      <c r="F34" s="252">
        <v>20</v>
      </c>
    </row>
    <row r="35" spans="1:6" ht="16.5">
      <c r="A35" s="420"/>
      <c r="B35" s="239" t="s">
        <v>336</v>
      </c>
      <c r="C35" s="243" t="s">
        <v>337</v>
      </c>
      <c r="D35" s="244">
        <v>15</v>
      </c>
      <c r="F35" s="252">
        <v>20</v>
      </c>
    </row>
    <row r="36" spans="1:6" ht="16.5">
      <c r="A36" s="420"/>
      <c r="B36" s="239" t="s">
        <v>338</v>
      </c>
      <c r="C36" s="243" t="s">
        <v>339</v>
      </c>
      <c r="D36" s="244">
        <v>15</v>
      </c>
      <c r="F36" s="252">
        <v>20</v>
      </c>
    </row>
    <row r="37" spans="1:6" ht="15.75">
      <c r="A37" s="420"/>
      <c r="B37" s="239" t="s">
        <v>340</v>
      </c>
      <c r="C37" s="243" t="s">
        <v>341</v>
      </c>
      <c r="D37" s="244">
        <v>10</v>
      </c>
      <c r="F37" s="253">
        <v>20</v>
      </c>
    </row>
    <row r="38" spans="1:6">
      <c r="A38" s="420"/>
      <c r="B38" s="239" t="s">
        <v>342</v>
      </c>
      <c r="C38" s="243" t="s">
        <v>343</v>
      </c>
      <c r="D38" s="244">
        <v>10</v>
      </c>
      <c r="F38" s="245">
        <v>10</v>
      </c>
    </row>
    <row r="39" spans="1:6">
      <c r="A39" s="420"/>
      <c r="B39" s="239" t="s">
        <v>344</v>
      </c>
      <c r="C39" s="243" t="s">
        <v>345</v>
      </c>
      <c r="D39" s="244">
        <v>10</v>
      </c>
      <c r="F39" s="245">
        <v>10</v>
      </c>
    </row>
    <row r="40" spans="1:6">
      <c r="A40" s="420"/>
      <c r="B40" s="239" t="s">
        <v>346</v>
      </c>
      <c r="C40" s="243" t="s">
        <v>347</v>
      </c>
      <c r="D40" s="244">
        <v>5</v>
      </c>
      <c r="F40" s="245">
        <v>5</v>
      </c>
    </row>
    <row r="41" spans="1:6" ht="15.75">
      <c r="A41" s="420"/>
      <c r="B41" s="239" t="s">
        <v>348</v>
      </c>
      <c r="C41" s="243" t="s">
        <v>349</v>
      </c>
      <c r="D41" s="244">
        <v>10</v>
      </c>
      <c r="F41" s="253">
        <v>20</v>
      </c>
    </row>
    <row r="42" spans="1:6">
      <c r="A42" s="420"/>
      <c r="B42" s="239" t="s">
        <v>321</v>
      </c>
      <c r="C42" s="243" t="s">
        <v>350</v>
      </c>
      <c r="D42" s="244">
        <v>5</v>
      </c>
      <c r="F42" s="245">
        <v>5</v>
      </c>
    </row>
    <row r="43" spans="1:6">
      <c r="A43" s="420"/>
      <c r="B43" s="239" t="s">
        <v>351</v>
      </c>
      <c r="C43" s="243" t="s">
        <v>352</v>
      </c>
      <c r="D43" s="244">
        <v>10</v>
      </c>
      <c r="F43" s="245">
        <v>10</v>
      </c>
    </row>
    <row r="44" spans="1:6" ht="16.5">
      <c r="A44" s="420"/>
      <c r="B44" s="239" t="s">
        <v>353</v>
      </c>
      <c r="C44" s="243" t="s">
        <v>354</v>
      </c>
      <c r="D44" s="244">
        <v>10</v>
      </c>
      <c r="F44" s="252">
        <v>20</v>
      </c>
    </row>
    <row r="45" spans="1:6" ht="16.5">
      <c r="A45" s="420"/>
      <c r="B45" s="239" t="s">
        <v>355</v>
      </c>
      <c r="C45" s="243" t="s">
        <v>356</v>
      </c>
      <c r="D45" s="244">
        <v>10</v>
      </c>
      <c r="F45" s="252">
        <v>20</v>
      </c>
    </row>
    <row r="46" spans="1:6" ht="16.5">
      <c r="A46" s="420"/>
      <c r="B46" s="239" t="s">
        <v>357</v>
      </c>
      <c r="C46" s="243" t="s">
        <v>358</v>
      </c>
      <c r="D46" s="244">
        <v>10</v>
      </c>
      <c r="F46" s="252">
        <v>20</v>
      </c>
    </row>
    <row r="47" spans="1:6" ht="17.25" thickBot="1">
      <c r="A47" s="421"/>
      <c r="B47" s="246" t="s">
        <v>359</v>
      </c>
      <c r="C47" s="247" t="s">
        <v>360</v>
      </c>
      <c r="D47" s="248">
        <v>20</v>
      </c>
      <c r="F47" s="251">
        <v>30</v>
      </c>
    </row>
    <row r="48" spans="1:6">
      <c r="A48" s="419" t="s">
        <v>361</v>
      </c>
      <c r="B48" s="250" t="s">
        <v>362</v>
      </c>
      <c r="C48" s="240" t="s">
        <v>363</v>
      </c>
      <c r="D48" s="241">
        <v>10</v>
      </c>
      <c r="F48" s="254">
        <v>10</v>
      </c>
    </row>
    <row r="49" spans="1:6" ht="16.5">
      <c r="A49" s="422"/>
      <c r="B49" s="239" t="s">
        <v>364</v>
      </c>
      <c r="C49" s="243" t="s">
        <v>365</v>
      </c>
      <c r="D49" s="244">
        <v>20</v>
      </c>
      <c r="F49" s="252">
        <v>30</v>
      </c>
    </row>
    <row r="50" spans="1:6">
      <c r="A50" s="422"/>
      <c r="B50" s="239" t="s">
        <v>366</v>
      </c>
      <c r="C50" s="243" t="s">
        <v>367</v>
      </c>
      <c r="D50" s="244">
        <v>10</v>
      </c>
      <c r="F50" s="245">
        <v>10</v>
      </c>
    </row>
    <row r="51" spans="1:6">
      <c r="A51" s="422"/>
      <c r="B51" s="239" t="s">
        <v>368</v>
      </c>
      <c r="C51" s="243" t="s">
        <v>369</v>
      </c>
      <c r="D51" s="244">
        <v>10</v>
      </c>
      <c r="F51" s="245">
        <v>10</v>
      </c>
    </row>
    <row r="52" spans="1:6" ht="13.5" thickBot="1">
      <c r="A52" s="423"/>
      <c r="B52" s="246" t="s">
        <v>370</v>
      </c>
      <c r="C52" s="247" t="s">
        <v>371</v>
      </c>
      <c r="D52" s="248">
        <v>10</v>
      </c>
      <c r="F52" s="249">
        <v>10</v>
      </c>
    </row>
    <row r="53" spans="1:6">
      <c r="A53" s="419" t="s">
        <v>372</v>
      </c>
      <c r="B53" s="250" t="s">
        <v>373</v>
      </c>
      <c r="C53" s="240" t="s">
        <v>374</v>
      </c>
      <c r="D53" s="241">
        <v>10</v>
      </c>
      <c r="F53" s="254">
        <v>10</v>
      </c>
    </row>
    <row r="54" spans="1:6">
      <c r="A54" s="422"/>
      <c r="B54" s="239" t="s">
        <v>375</v>
      </c>
      <c r="C54" s="243" t="s">
        <v>376</v>
      </c>
      <c r="D54" s="244">
        <v>10</v>
      </c>
      <c r="F54" s="245">
        <v>10</v>
      </c>
    </row>
    <row r="55" spans="1:6">
      <c r="A55" s="422"/>
      <c r="B55" s="239" t="s">
        <v>377</v>
      </c>
      <c r="C55" s="243" t="s">
        <v>378</v>
      </c>
      <c r="D55" s="244">
        <v>10</v>
      </c>
      <c r="F55" s="245">
        <v>10</v>
      </c>
    </row>
    <row r="56" spans="1:6">
      <c r="A56" s="422"/>
      <c r="B56" s="239" t="s">
        <v>379</v>
      </c>
      <c r="C56" s="243" t="s">
        <v>380</v>
      </c>
      <c r="D56" s="244">
        <v>10</v>
      </c>
      <c r="F56" s="245">
        <v>10</v>
      </c>
    </row>
    <row r="57" spans="1:6" ht="16.5">
      <c r="A57" s="422"/>
      <c r="B57" s="239" t="s">
        <v>381</v>
      </c>
      <c r="C57" s="243" t="s">
        <v>382</v>
      </c>
      <c r="D57" s="244">
        <v>20</v>
      </c>
      <c r="F57" s="252">
        <v>30</v>
      </c>
    </row>
    <row r="58" spans="1:6">
      <c r="A58" s="422"/>
      <c r="B58" s="239" t="s">
        <v>383</v>
      </c>
      <c r="C58" s="243" t="s">
        <v>384</v>
      </c>
      <c r="D58" s="244">
        <v>10</v>
      </c>
      <c r="F58" s="245">
        <v>10</v>
      </c>
    </row>
    <row r="59" spans="1:6">
      <c r="A59" s="422"/>
      <c r="B59" s="239" t="s">
        <v>385</v>
      </c>
      <c r="C59" s="243" t="s">
        <v>386</v>
      </c>
      <c r="D59" s="244">
        <v>5</v>
      </c>
      <c r="F59" s="245">
        <v>5</v>
      </c>
    </row>
    <row r="60" spans="1:6">
      <c r="A60" s="422"/>
      <c r="B60" s="239" t="s">
        <v>387</v>
      </c>
      <c r="C60" s="243" t="s">
        <v>388</v>
      </c>
      <c r="D60" s="244">
        <v>10</v>
      </c>
      <c r="F60" s="245">
        <v>10</v>
      </c>
    </row>
    <row r="61" spans="1:6">
      <c r="A61" s="422"/>
      <c r="B61" s="239" t="s">
        <v>389</v>
      </c>
      <c r="C61" s="243" t="s">
        <v>390</v>
      </c>
      <c r="D61" s="244">
        <v>10</v>
      </c>
      <c r="F61" s="245">
        <v>10</v>
      </c>
    </row>
    <row r="62" spans="1:6">
      <c r="A62" s="422"/>
      <c r="B62" s="239" t="s">
        <v>391</v>
      </c>
      <c r="C62" s="243" t="s">
        <v>392</v>
      </c>
      <c r="D62" s="244">
        <v>10</v>
      </c>
      <c r="F62" s="245">
        <v>10</v>
      </c>
    </row>
    <row r="63" spans="1:6">
      <c r="A63" s="422"/>
      <c r="B63" s="239" t="s">
        <v>393</v>
      </c>
      <c r="C63" s="243" t="s">
        <v>394</v>
      </c>
      <c r="D63" s="244">
        <v>5</v>
      </c>
      <c r="F63" s="245">
        <v>5</v>
      </c>
    </row>
    <row r="64" spans="1:6">
      <c r="A64" s="422"/>
      <c r="B64" s="239" t="s">
        <v>395</v>
      </c>
      <c r="C64" s="243" t="s">
        <v>396</v>
      </c>
      <c r="D64" s="244">
        <v>5</v>
      </c>
      <c r="F64" s="245">
        <v>5</v>
      </c>
    </row>
    <row r="65" spans="1:6">
      <c r="A65" s="422"/>
      <c r="B65" s="239" t="s">
        <v>397</v>
      </c>
      <c r="C65" s="243" t="s">
        <v>398</v>
      </c>
      <c r="D65" s="244">
        <v>10</v>
      </c>
      <c r="F65" s="245">
        <v>10</v>
      </c>
    </row>
    <row r="66" spans="1:6" ht="13.5" thickBot="1">
      <c r="A66" s="423"/>
      <c r="B66" s="246" t="s">
        <v>399</v>
      </c>
      <c r="C66" s="247" t="s">
        <v>400</v>
      </c>
      <c r="D66" s="248">
        <v>10</v>
      </c>
      <c r="F66" s="249">
        <v>10</v>
      </c>
    </row>
    <row r="68" spans="1:6" ht="13.5" thickBot="1">
      <c r="B68" s="255" t="s">
        <v>401</v>
      </c>
    </row>
    <row r="69" spans="1:6" ht="36.75" thickBot="1">
      <c r="A69" s="256"/>
      <c r="B69" s="257" t="s">
        <v>402</v>
      </c>
      <c r="C69" s="238" t="s">
        <v>276</v>
      </c>
      <c r="D69" s="237" t="s">
        <v>277</v>
      </c>
      <c r="F69" s="237" t="s">
        <v>277</v>
      </c>
    </row>
    <row r="70" spans="1:6">
      <c r="A70" s="424" t="s">
        <v>403</v>
      </c>
      <c r="B70" s="239" t="s">
        <v>404</v>
      </c>
      <c r="C70" s="258" t="s">
        <v>405</v>
      </c>
      <c r="D70" s="244">
        <v>10</v>
      </c>
      <c r="F70" s="245">
        <v>10</v>
      </c>
    </row>
    <row r="71" spans="1:6">
      <c r="A71" s="424"/>
      <c r="B71" s="239" t="s">
        <v>406</v>
      </c>
      <c r="C71" s="258" t="s">
        <v>407</v>
      </c>
      <c r="D71" s="244">
        <v>10</v>
      </c>
      <c r="F71" s="245">
        <v>10</v>
      </c>
    </row>
    <row r="72" spans="1:6">
      <c r="A72" s="424"/>
      <c r="B72" s="239" t="s">
        <v>408</v>
      </c>
      <c r="C72" s="258" t="s">
        <v>409</v>
      </c>
      <c r="D72" s="244">
        <v>10</v>
      </c>
      <c r="F72" s="245">
        <v>10</v>
      </c>
    </row>
    <row r="73" spans="1:6">
      <c r="A73" s="424"/>
      <c r="B73" s="239" t="s">
        <v>410</v>
      </c>
      <c r="C73" s="258" t="s">
        <v>411</v>
      </c>
      <c r="D73" s="244">
        <v>10</v>
      </c>
      <c r="F73" s="245">
        <v>10</v>
      </c>
    </row>
    <row r="74" spans="1:6">
      <c r="A74" s="424"/>
      <c r="B74" s="239" t="s">
        <v>412</v>
      </c>
      <c r="C74" s="258" t="s">
        <v>413</v>
      </c>
      <c r="D74" s="244">
        <v>10</v>
      </c>
      <c r="F74" s="245">
        <v>10</v>
      </c>
    </row>
    <row r="75" spans="1:6">
      <c r="A75" s="424"/>
      <c r="B75" s="239" t="s">
        <v>414</v>
      </c>
      <c r="C75" s="258" t="s">
        <v>415</v>
      </c>
      <c r="D75" s="244">
        <v>10</v>
      </c>
      <c r="F75" s="245">
        <v>10</v>
      </c>
    </row>
    <row r="76" spans="1:6">
      <c r="A76" s="424"/>
      <c r="B76" s="239" t="s">
        <v>416</v>
      </c>
      <c r="C76" s="258" t="s">
        <v>417</v>
      </c>
      <c r="D76" s="244">
        <v>10</v>
      </c>
      <c r="F76" s="245">
        <v>10</v>
      </c>
    </row>
    <row r="77" spans="1:6">
      <c r="A77" s="424"/>
      <c r="B77" s="239" t="s">
        <v>418</v>
      </c>
      <c r="C77" s="258" t="s">
        <v>419</v>
      </c>
      <c r="D77" s="244">
        <v>5</v>
      </c>
      <c r="F77" s="245">
        <v>5</v>
      </c>
    </row>
    <row r="78" spans="1:6">
      <c r="A78" s="424"/>
      <c r="B78" s="239" t="s">
        <v>420</v>
      </c>
      <c r="C78" s="258" t="s">
        <v>421</v>
      </c>
      <c r="D78" s="244">
        <v>5</v>
      </c>
      <c r="F78" s="245">
        <v>5</v>
      </c>
    </row>
    <row r="79" spans="1:6">
      <c r="A79" s="424"/>
      <c r="B79" s="239" t="s">
        <v>422</v>
      </c>
      <c r="C79" s="258" t="s">
        <v>423</v>
      </c>
      <c r="D79" s="244">
        <v>5</v>
      </c>
      <c r="F79" s="245">
        <v>5</v>
      </c>
    </row>
    <row r="80" spans="1:6" ht="13.5" thickBot="1">
      <c r="A80" s="425"/>
      <c r="B80" s="246" t="s">
        <v>424</v>
      </c>
      <c r="C80" s="259" t="s">
        <v>425</v>
      </c>
      <c r="D80" s="248">
        <v>5</v>
      </c>
      <c r="F80" s="249">
        <v>5</v>
      </c>
    </row>
    <row r="81" spans="2:2">
      <c r="B81" s="260"/>
    </row>
  </sheetData>
  <mergeCells count="9">
    <mergeCell ref="A32:A47"/>
    <mergeCell ref="A48:A52"/>
    <mergeCell ref="A53:A66"/>
    <mergeCell ref="A70:A80"/>
    <mergeCell ref="A1:D1"/>
    <mergeCell ref="A5:A11"/>
    <mergeCell ref="A12:A17"/>
    <mergeCell ref="A18:A23"/>
    <mergeCell ref="A24:A3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31565-677B-4EAF-B989-5FA39C81CDA3}">
  <sheetPr>
    <tabColor theme="0" tint="-0.499984740745262"/>
  </sheetPr>
  <dimension ref="B1:C15"/>
  <sheetViews>
    <sheetView showGridLines="0" zoomScale="125" zoomScaleNormal="125" workbookViewId="0">
      <selection activeCell="F6" sqref="F6"/>
    </sheetView>
  </sheetViews>
  <sheetFormatPr defaultRowHeight="12.75"/>
  <cols>
    <col min="1" max="1" width="1.28515625" style="199" customWidth="1"/>
    <col min="2" max="2" width="6.5703125" style="208" customWidth="1"/>
    <col min="3" max="3" width="160.140625" style="199" customWidth="1"/>
    <col min="4" max="254" width="9.140625" style="199"/>
    <col min="255" max="255" width="6.85546875" style="199" customWidth="1"/>
    <col min="256" max="256" width="100.7109375" style="199" customWidth="1"/>
    <col min="257" max="257" width="50" style="199" customWidth="1"/>
    <col min="258" max="258" width="24.7109375" style="199" customWidth="1"/>
    <col min="259" max="510" width="9.140625" style="199"/>
    <col min="511" max="511" width="6.85546875" style="199" customWidth="1"/>
    <col min="512" max="512" width="100.7109375" style="199" customWidth="1"/>
    <col min="513" max="513" width="50" style="199" customWidth="1"/>
    <col min="514" max="514" width="24.7109375" style="199" customWidth="1"/>
    <col min="515" max="766" width="9.140625" style="199"/>
    <col min="767" max="767" width="6.85546875" style="199" customWidth="1"/>
    <col min="768" max="768" width="100.7109375" style="199" customWidth="1"/>
    <col min="769" max="769" width="50" style="199" customWidth="1"/>
    <col min="770" max="770" width="24.7109375" style="199" customWidth="1"/>
    <col min="771" max="1022" width="9.140625" style="199"/>
    <col min="1023" max="1023" width="6.85546875" style="199" customWidth="1"/>
    <col min="1024" max="1024" width="100.7109375" style="199" customWidth="1"/>
    <col min="1025" max="1025" width="50" style="199" customWidth="1"/>
    <col min="1026" max="1026" width="24.7109375" style="199" customWidth="1"/>
    <col min="1027" max="1278" width="9.140625" style="199"/>
    <col min="1279" max="1279" width="6.85546875" style="199" customWidth="1"/>
    <col min="1280" max="1280" width="100.7109375" style="199" customWidth="1"/>
    <col min="1281" max="1281" width="50" style="199" customWidth="1"/>
    <col min="1282" max="1282" width="24.7109375" style="199" customWidth="1"/>
    <col min="1283" max="1534" width="9.140625" style="199"/>
    <col min="1535" max="1535" width="6.85546875" style="199" customWidth="1"/>
    <col min="1536" max="1536" width="100.7109375" style="199" customWidth="1"/>
    <col min="1537" max="1537" width="50" style="199" customWidth="1"/>
    <col min="1538" max="1538" width="24.7109375" style="199" customWidth="1"/>
    <col min="1539" max="1790" width="9.140625" style="199"/>
    <col min="1791" max="1791" width="6.85546875" style="199" customWidth="1"/>
    <col min="1792" max="1792" width="100.7109375" style="199" customWidth="1"/>
    <col min="1793" max="1793" width="50" style="199" customWidth="1"/>
    <col min="1794" max="1794" width="24.7109375" style="199" customWidth="1"/>
    <col min="1795" max="2046" width="9.140625" style="199"/>
    <col min="2047" max="2047" width="6.85546875" style="199" customWidth="1"/>
    <col min="2048" max="2048" width="100.7109375" style="199" customWidth="1"/>
    <col min="2049" max="2049" width="50" style="199" customWidth="1"/>
    <col min="2050" max="2050" width="24.7109375" style="199" customWidth="1"/>
    <col min="2051" max="2302" width="9.140625" style="199"/>
    <col min="2303" max="2303" width="6.85546875" style="199" customWidth="1"/>
    <col min="2304" max="2304" width="100.7109375" style="199" customWidth="1"/>
    <col min="2305" max="2305" width="50" style="199" customWidth="1"/>
    <col min="2306" max="2306" width="24.7109375" style="199" customWidth="1"/>
    <col min="2307" max="2558" width="9.140625" style="199"/>
    <col min="2559" max="2559" width="6.85546875" style="199" customWidth="1"/>
    <col min="2560" max="2560" width="100.7109375" style="199" customWidth="1"/>
    <col min="2561" max="2561" width="50" style="199" customWidth="1"/>
    <col min="2562" max="2562" width="24.7109375" style="199" customWidth="1"/>
    <col min="2563" max="2814" width="9.140625" style="199"/>
    <col min="2815" max="2815" width="6.85546875" style="199" customWidth="1"/>
    <col min="2816" max="2816" width="100.7109375" style="199" customWidth="1"/>
    <col min="2817" max="2817" width="50" style="199" customWidth="1"/>
    <col min="2818" max="2818" width="24.7109375" style="199" customWidth="1"/>
    <col min="2819" max="3070" width="9.140625" style="199"/>
    <col min="3071" max="3071" width="6.85546875" style="199" customWidth="1"/>
    <col min="3072" max="3072" width="100.7109375" style="199" customWidth="1"/>
    <col min="3073" max="3073" width="50" style="199" customWidth="1"/>
    <col min="3074" max="3074" width="24.7109375" style="199" customWidth="1"/>
    <col min="3075" max="3326" width="9.140625" style="199"/>
    <col min="3327" max="3327" width="6.85546875" style="199" customWidth="1"/>
    <col min="3328" max="3328" width="100.7109375" style="199" customWidth="1"/>
    <col min="3329" max="3329" width="50" style="199" customWidth="1"/>
    <col min="3330" max="3330" width="24.7109375" style="199" customWidth="1"/>
    <col min="3331" max="3582" width="9.140625" style="199"/>
    <col min="3583" max="3583" width="6.85546875" style="199" customWidth="1"/>
    <col min="3584" max="3584" width="100.7109375" style="199" customWidth="1"/>
    <col min="3585" max="3585" width="50" style="199" customWidth="1"/>
    <col min="3586" max="3586" width="24.7109375" style="199" customWidth="1"/>
    <col min="3587" max="3838" width="9.140625" style="199"/>
    <col min="3839" max="3839" width="6.85546875" style="199" customWidth="1"/>
    <col min="3840" max="3840" width="100.7109375" style="199" customWidth="1"/>
    <col min="3841" max="3841" width="50" style="199" customWidth="1"/>
    <col min="3842" max="3842" width="24.7109375" style="199" customWidth="1"/>
    <col min="3843" max="4094" width="9.140625" style="199"/>
    <col min="4095" max="4095" width="6.85546875" style="199" customWidth="1"/>
    <col min="4096" max="4096" width="100.7109375" style="199" customWidth="1"/>
    <col min="4097" max="4097" width="50" style="199" customWidth="1"/>
    <col min="4098" max="4098" width="24.7109375" style="199" customWidth="1"/>
    <col min="4099" max="4350" width="9.140625" style="199"/>
    <col min="4351" max="4351" width="6.85546875" style="199" customWidth="1"/>
    <col min="4352" max="4352" width="100.7109375" style="199" customWidth="1"/>
    <col min="4353" max="4353" width="50" style="199" customWidth="1"/>
    <col min="4354" max="4354" width="24.7109375" style="199" customWidth="1"/>
    <col min="4355" max="4606" width="9.140625" style="199"/>
    <col min="4607" max="4607" width="6.85546875" style="199" customWidth="1"/>
    <col min="4608" max="4608" width="100.7109375" style="199" customWidth="1"/>
    <col min="4609" max="4609" width="50" style="199" customWidth="1"/>
    <col min="4610" max="4610" width="24.7109375" style="199" customWidth="1"/>
    <col min="4611" max="4862" width="9.140625" style="199"/>
    <col min="4863" max="4863" width="6.85546875" style="199" customWidth="1"/>
    <col min="4864" max="4864" width="100.7109375" style="199" customWidth="1"/>
    <col min="4865" max="4865" width="50" style="199" customWidth="1"/>
    <col min="4866" max="4866" width="24.7109375" style="199" customWidth="1"/>
    <col min="4867" max="5118" width="9.140625" style="199"/>
    <col min="5119" max="5119" width="6.85546875" style="199" customWidth="1"/>
    <col min="5120" max="5120" width="100.7109375" style="199" customWidth="1"/>
    <col min="5121" max="5121" width="50" style="199" customWidth="1"/>
    <col min="5122" max="5122" width="24.7109375" style="199" customWidth="1"/>
    <col min="5123" max="5374" width="9.140625" style="199"/>
    <col min="5375" max="5375" width="6.85546875" style="199" customWidth="1"/>
    <col min="5376" max="5376" width="100.7109375" style="199" customWidth="1"/>
    <col min="5377" max="5377" width="50" style="199" customWidth="1"/>
    <col min="5378" max="5378" width="24.7109375" style="199" customWidth="1"/>
    <col min="5379" max="5630" width="9.140625" style="199"/>
    <col min="5631" max="5631" width="6.85546875" style="199" customWidth="1"/>
    <col min="5632" max="5632" width="100.7109375" style="199" customWidth="1"/>
    <col min="5633" max="5633" width="50" style="199" customWidth="1"/>
    <col min="5634" max="5634" width="24.7109375" style="199" customWidth="1"/>
    <col min="5635" max="5886" width="9.140625" style="199"/>
    <col min="5887" max="5887" width="6.85546875" style="199" customWidth="1"/>
    <col min="5888" max="5888" width="100.7109375" style="199" customWidth="1"/>
    <col min="5889" max="5889" width="50" style="199" customWidth="1"/>
    <col min="5890" max="5890" width="24.7109375" style="199" customWidth="1"/>
    <col min="5891" max="6142" width="9.140625" style="199"/>
    <col min="6143" max="6143" width="6.85546875" style="199" customWidth="1"/>
    <col min="6144" max="6144" width="100.7109375" style="199" customWidth="1"/>
    <col min="6145" max="6145" width="50" style="199" customWidth="1"/>
    <col min="6146" max="6146" width="24.7109375" style="199" customWidth="1"/>
    <col min="6147" max="6398" width="9.140625" style="199"/>
    <col min="6399" max="6399" width="6.85546875" style="199" customWidth="1"/>
    <col min="6400" max="6400" width="100.7109375" style="199" customWidth="1"/>
    <col min="6401" max="6401" width="50" style="199" customWidth="1"/>
    <col min="6402" max="6402" width="24.7109375" style="199" customWidth="1"/>
    <col min="6403" max="6654" width="9.140625" style="199"/>
    <col min="6655" max="6655" width="6.85546875" style="199" customWidth="1"/>
    <col min="6656" max="6656" width="100.7109375" style="199" customWidth="1"/>
    <col min="6657" max="6657" width="50" style="199" customWidth="1"/>
    <col min="6658" max="6658" width="24.7109375" style="199" customWidth="1"/>
    <col min="6659" max="6910" width="9.140625" style="199"/>
    <col min="6911" max="6911" width="6.85546875" style="199" customWidth="1"/>
    <col min="6912" max="6912" width="100.7109375" style="199" customWidth="1"/>
    <col min="6913" max="6913" width="50" style="199" customWidth="1"/>
    <col min="6914" max="6914" width="24.7109375" style="199" customWidth="1"/>
    <col min="6915" max="7166" width="9.140625" style="199"/>
    <col min="7167" max="7167" width="6.85546875" style="199" customWidth="1"/>
    <col min="7168" max="7168" width="100.7109375" style="199" customWidth="1"/>
    <col min="7169" max="7169" width="50" style="199" customWidth="1"/>
    <col min="7170" max="7170" width="24.7109375" style="199" customWidth="1"/>
    <col min="7171" max="7422" width="9.140625" style="199"/>
    <col min="7423" max="7423" width="6.85546875" style="199" customWidth="1"/>
    <col min="7424" max="7424" width="100.7109375" style="199" customWidth="1"/>
    <col min="7425" max="7425" width="50" style="199" customWidth="1"/>
    <col min="7426" max="7426" width="24.7109375" style="199" customWidth="1"/>
    <col min="7427" max="7678" width="9.140625" style="199"/>
    <col min="7679" max="7679" width="6.85546875" style="199" customWidth="1"/>
    <col min="7680" max="7680" width="100.7109375" style="199" customWidth="1"/>
    <col min="7681" max="7681" width="50" style="199" customWidth="1"/>
    <col min="7682" max="7682" width="24.7109375" style="199" customWidth="1"/>
    <col min="7683" max="7934" width="9.140625" style="199"/>
    <col min="7935" max="7935" width="6.85546875" style="199" customWidth="1"/>
    <col min="7936" max="7936" width="100.7109375" style="199" customWidth="1"/>
    <col min="7937" max="7937" width="50" style="199" customWidth="1"/>
    <col min="7938" max="7938" width="24.7109375" style="199" customWidth="1"/>
    <col min="7939" max="8190" width="9.140625" style="199"/>
    <col min="8191" max="8191" width="6.85546875" style="199" customWidth="1"/>
    <col min="8192" max="8192" width="100.7109375" style="199" customWidth="1"/>
    <col min="8193" max="8193" width="50" style="199" customWidth="1"/>
    <col min="8194" max="8194" width="24.7109375" style="199" customWidth="1"/>
    <col min="8195" max="8446" width="9.140625" style="199"/>
    <col min="8447" max="8447" width="6.85546875" style="199" customWidth="1"/>
    <col min="8448" max="8448" width="100.7109375" style="199" customWidth="1"/>
    <col min="8449" max="8449" width="50" style="199" customWidth="1"/>
    <col min="8450" max="8450" width="24.7109375" style="199" customWidth="1"/>
    <col min="8451" max="8702" width="9.140625" style="199"/>
    <col min="8703" max="8703" width="6.85546875" style="199" customWidth="1"/>
    <col min="8704" max="8704" width="100.7109375" style="199" customWidth="1"/>
    <col min="8705" max="8705" width="50" style="199" customWidth="1"/>
    <col min="8706" max="8706" width="24.7109375" style="199" customWidth="1"/>
    <col min="8707" max="8958" width="9.140625" style="199"/>
    <col min="8959" max="8959" width="6.85546875" style="199" customWidth="1"/>
    <col min="8960" max="8960" width="100.7109375" style="199" customWidth="1"/>
    <col min="8961" max="8961" width="50" style="199" customWidth="1"/>
    <col min="8962" max="8962" width="24.7109375" style="199" customWidth="1"/>
    <col min="8963" max="9214" width="9.140625" style="199"/>
    <col min="9215" max="9215" width="6.85546875" style="199" customWidth="1"/>
    <col min="9216" max="9216" width="100.7109375" style="199" customWidth="1"/>
    <col min="9217" max="9217" width="50" style="199" customWidth="1"/>
    <col min="9218" max="9218" width="24.7109375" style="199" customWidth="1"/>
    <col min="9219" max="9470" width="9.140625" style="199"/>
    <col min="9471" max="9471" width="6.85546875" style="199" customWidth="1"/>
    <col min="9472" max="9472" width="100.7109375" style="199" customWidth="1"/>
    <col min="9473" max="9473" width="50" style="199" customWidth="1"/>
    <col min="9474" max="9474" width="24.7109375" style="199" customWidth="1"/>
    <col min="9475" max="9726" width="9.140625" style="199"/>
    <col min="9727" max="9727" width="6.85546875" style="199" customWidth="1"/>
    <col min="9728" max="9728" width="100.7109375" style="199" customWidth="1"/>
    <col min="9729" max="9729" width="50" style="199" customWidth="1"/>
    <col min="9730" max="9730" width="24.7109375" style="199" customWidth="1"/>
    <col min="9731" max="9982" width="9.140625" style="199"/>
    <col min="9983" max="9983" width="6.85546875" style="199" customWidth="1"/>
    <col min="9984" max="9984" width="100.7109375" style="199" customWidth="1"/>
    <col min="9985" max="9985" width="50" style="199" customWidth="1"/>
    <col min="9986" max="9986" width="24.7109375" style="199" customWidth="1"/>
    <col min="9987" max="10238" width="9.140625" style="199"/>
    <col min="10239" max="10239" width="6.85546875" style="199" customWidth="1"/>
    <col min="10240" max="10240" width="100.7109375" style="199" customWidth="1"/>
    <col min="10241" max="10241" width="50" style="199" customWidth="1"/>
    <col min="10242" max="10242" width="24.7109375" style="199" customWidth="1"/>
    <col min="10243" max="10494" width="9.140625" style="199"/>
    <col min="10495" max="10495" width="6.85546875" style="199" customWidth="1"/>
    <col min="10496" max="10496" width="100.7109375" style="199" customWidth="1"/>
    <col min="10497" max="10497" width="50" style="199" customWidth="1"/>
    <col min="10498" max="10498" width="24.7109375" style="199" customWidth="1"/>
    <col min="10499" max="10750" width="9.140625" style="199"/>
    <col min="10751" max="10751" width="6.85546875" style="199" customWidth="1"/>
    <col min="10752" max="10752" width="100.7109375" style="199" customWidth="1"/>
    <col min="10753" max="10753" width="50" style="199" customWidth="1"/>
    <col min="10754" max="10754" width="24.7109375" style="199" customWidth="1"/>
    <col min="10755" max="11006" width="9.140625" style="199"/>
    <col min="11007" max="11007" width="6.85546875" style="199" customWidth="1"/>
    <col min="11008" max="11008" width="100.7109375" style="199" customWidth="1"/>
    <col min="11009" max="11009" width="50" style="199" customWidth="1"/>
    <col min="11010" max="11010" width="24.7109375" style="199" customWidth="1"/>
    <col min="11011" max="11262" width="9.140625" style="199"/>
    <col min="11263" max="11263" width="6.85546875" style="199" customWidth="1"/>
    <col min="11264" max="11264" width="100.7109375" style="199" customWidth="1"/>
    <col min="11265" max="11265" width="50" style="199" customWidth="1"/>
    <col min="11266" max="11266" width="24.7109375" style="199" customWidth="1"/>
    <col min="11267" max="11518" width="9.140625" style="199"/>
    <col min="11519" max="11519" width="6.85546875" style="199" customWidth="1"/>
    <col min="11520" max="11520" width="100.7109375" style="199" customWidth="1"/>
    <col min="11521" max="11521" width="50" style="199" customWidth="1"/>
    <col min="11522" max="11522" width="24.7109375" style="199" customWidth="1"/>
    <col min="11523" max="11774" width="9.140625" style="199"/>
    <col min="11775" max="11775" width="6.85546875" style="199" customWidth="1"/>
    <col min="11776" max="11776" width="100.7109375" style="199" customWidth="1"/>
    <col min="11777" max="11777" width="50" style="199" customWidth="1"/>
    <col min="11778" max="11778" width="24.7109375" style="199" customWidth="1"/>
    <col min="11779" max="12030" width="9.140625" style="199"/>
    <col min="12031" max="12031" width="6.85546875" style="199" customWidth="1"/>
    <col min="12032" max="12032" width="100.7109375" style="199" customWidth="1"/>
    <col min="12033" max="12033" width="50" style="199" customWidth="1"/>
    <col min="12034" max="12034" width="24.7109375" style="199" customWidth="1"/>
    <col min="12035" max="12286" width="9.140625" style="199"/>
    <col min="12287" max="12287" width="6.85546875" style="199" customWidth="1"/>
    <col min="12288" max="12288" width="100.7109375" style="199" customWidth="1"/>
    <col min="12289" max="12289" width="50" style="199" customWidth="1"/>
    <col min="12290" max="12290" width="24.7109375" style="199" customWidth="1"/>
    <col min="12291" max="12542" width="9.140625" style="199"/>
    <col min="12543" max="12543" width="6.85546875" style="199" customWidth="1"/>
    <col min="12544" max="12544" width="100.7109375" style="199" customWidth="1"/>
    <col min="12545" max="12545" width="50" style="199" customWidth="1"/>
    <col min="12546" max="12546" width="24.7109375" style="199" customWidth="1"/>
    <col min="12547" max="12798" width="9.140625" style="199"/>
    <col min="12799" max="12799" width="6.85546875" style="199" customWidth="1"/>
    <col min="12800" max="12800" width="100.7109375" style="199" customWidth="1"/>
    <col min="12801" max="12801" width="50" style="199" customWidth="1"/>
    <col min="12802" max="12802" width="24.7109375" style="199" customWidth="1"/>
    <col min="12803" max="13054" width="9.140625" style="199"/>
    <col min="13055" max="13055" width="6.85546875" style="199" customWidth="1"/>
    <col min="13056" max="13056" width="100.7109375" style="199" customWidth="1"/>
    <col min="13057" max="13057" width="50" style="199" customWidth="1"/>
    <col min="13058" max="13058" width="24.7109375" style="199" customWidth="1"/>
    <col min="13059" max="13310" width="9.140625" style="199"/>
    <col min="13311" max="13311" width="6.85546875" style="199" customWidth="1"/>
    <col min="13312" max="13312" width="100.7109375" style="199" customWidth="1"/>
    <col min="13313" max="13313" width="50" style="199" customWidth="1"/>
    <col min="13314" max="13314" width="24.7109375" style="199" customWidth="1"/>
    <col min="13315" max="13566" width="9.140625" style="199"/>
    <col min="13567" max="13567" width="6.85546875" style="199" customWidth="1"/>
    <col min="13568" max="13568" width="100.7109375" style="199" customWidth="1"/>
    <col min="13569" max="13569" width="50" style="199" customWidth="1"/>
    <col min="13570" max="13570" width="24.7109375" style="199" customWidth="1"/>
    <col min="13571" max="13822" width="9.140625" style="199"/>
    <col min="13823" max="13823" width="6.85546875" style="199" customWidth="1"/>
    <col min="13824" max="13824" width="100.7109375" style="199" customWidth="1"/>
    <col min="13825" max="13825" width="50" style="199" customWidth="1"/>
    <col min="13826" max="13826" width="24.7109375" style="199" customWidth="1"/>
    <col min="13827" max="14078" width="9.140625" style="199"/>
    <col min="14079" max="14079" width="6.85546875" style="199" customWidth="1"/>
    <col min="14080" max="14080" width="100.7109375" style="199" customWidth="1"/>
    <col min="14081" max="14081" width="50" style="199" customWidth="1"/>
    <col min="14082" max="14082" width="24.7109375" style="199" customWidth="1"/>
    <col min="14083" max="14334" width="9.140625" style="199"/>
    <col min="14335" max="14335" width="6.85546875" style="199" customWidth="1"/>
    <col min="14336" max="14336" width="100.7109375" style="199" customWidth="1"/>
    <col min="14337" max="14337" width="50" style="199" customWidth="1"/>
    <col min="14338" max="14338" width="24.7109375" style="199" customWidth="1"/>
    <col min="14339" max="14590" width="9.140625" style="199"/>
    <col min="14591" max="14591" width="6.85546875" style="199" customWidth="1"/>
    <col min="14592" max="14592" width="100.7109375" style="199" customWidth="1"/>
    <col min="14593" max="14593" width="50" style="199" customWidth="1"/>
    <col min="14594" max="14594" width="24.7109375" style="199" customWidth="1"/>
    <col min="14595" max="14846" width="9.140625" style="199"/>
    <col min="14847" max="14847" width="6.85546875" style="199" customWidth="1"/>
    <col min="14848" max="14848" width="100.7109375" style="199" customWidth="1"/>
    <col min="14849" max="14849" width="50" style="199" customWidth="1"/>
    <col min="14850" max="14850" width="24.7109375" style="199" customWidth="1"/>
    <col min="14851" max="15102" width="9.140625" style="199"/>
    <col min="15103" max="15103" width="6.85546875" style="199" customWidth="1"/>
    <col min="15104" max="15104" width="100.7109375" style="199" customWidth="1"/>
    <col min="15105" max="15105" width="50" style="199" customWidth="1"/>
    <col min="15106" max="15106" width="24.7109375" style="199" customWidth="1"/>
    <col min="15107" max="15358" width="9.140625" style="199"/>
    <col min="15359" max="15359" width="6.85546875" style="199" customWidth="1"/>
    <col min="15360" max="15360" width="100.7109375" style="199" customWidth="1"/>
    <col min="15361" max="15361" width="50" style="199" customWidth="1"/>
    <col min="15362" max="15362" width="24.7109375" style="199" customWidth="1"/>
    <col min="15363" max="15614" width="9.140625" style="199"/>
    <col min="15615" max="15615" width="6.85546875" style="199" customWidth="1"/>
    <col min="15616" max="15616" width="100.7109375" style="199" customWidth="1"/>
    <col min="15617" max="15617" width="50" style="199" customWidth="1"/>
    <col min="15618" max="15618" width="24.7109375" style="199" customWidth="1"/>
    <col min="15619" max="15870" width="9.140625" style="199"/>
    <col min="15871" max="15871" width="6.85546875" style="199" customWidth="1"/>
    <col min="15872" max="15872" width="100.7109375" style="199" customWidth="1"/>
    <col min="15873" max="15873" width="50" style="199" customWidth="1"/>
    <col min="15874" max="15874" width="24.7109375" style="199" customWidth="1"/>
    <col min="15875" max="16126" width="9.140625" style="199"/>
    <col min="16127" max="16127" width="6.85546875" style="199" customWidth="1"/>
    <col min="16128" max="16128" width="100.7109375" style="199" customWidth="1"/>
    <col min="16129" max="16129" width="50" style="199" customWidth="1"/>
    <col min="16130" max="16130" width="24.7109375" style="199" customWidth="1"/>
    <col min="16131" max="16384" width="9.140625" style="199"/>
  </cols>
  <sheetData>
    <row r="1" spans="2:3" ht="4.5" customHeight="1"/>
    <row r="2" spans="2:3">
      <c r="B2" s="209" t="s">
        <v>435</v>
      </c>
      <c r="C2" s="210"/>
    </row>
    <row r="3" spans="2:3" ht="6" customHeight="1">
      <c r="B3" s="200"/>
      <c r="C3" s="201"/>
    </row>
    <row r="4" spans="2:3" ht="17.25" customHeight="1">
      <c r="B4" s="202" t="s">
        <v>436</v>
      </c>
      <c r="C4" s="203" t="s">
        <v>437</v>
      </c>
    </row>
    <row r="5" spans="2:3" ht="121.5" customHeight="1">
      <c r="B5" s="207">
        <v>1</v>
      </c>
      <c r="C5" s="204" t="s">
        <v>438</v>
      </c>
    </row>
    <row r="6" spans="2:3" ht="89.25">
      <c r="B6" s="207">
        <v>2</v>
      </c>
      <c r="C6" s="204" t="s">
        <v>442</v>
      </c>
    </row>
    <row r="7" spans="2:3" ht="114.75">
      <c r="B7" s="207">
        <v>3</v>
      </c>
      <c r="C7" s="204" t="s">
        <v>475</v>
      </c>
    </row>
    <row r="8" spans="2:3">
      <c r="C8" s="205"/>
    </row>
    <row r="9" spans="2:3">
      <c r="C9" s="279" t="s">
        <v>606</v>
      </c>
    </row>
    <row r="10" spans="2:3">
      <c r="C10" s="205"/>
    </row>
    <row r="11" spans="2:3">
      <c r="C11" s="205"/>
    </row>
    <row r="12" spans="2:3">
      <c r="C12" s="205"/>
    </row>
    <row r="13" spans="2:3">
      <c r="C13" s="205"/>
    </row>
    <row r="15" spans="2:3">
      <c r="C15" s="201"/>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466747C239C646BAD73ED951381766" ma:contentTypeVersion="8" ma:contentTypeDescription="Create a new document." ma:contentTypeScope="" ma:versionID="6a3aed98cccc3fda436ae08d3b1cf3a5">
  <xsd:schema xmlns:xsd="http://www.w3.org/2001/XMLSchema" xmlns:xs="http://www.w3.org/2001/XMLSchema" xmlns:p="http://schemas.microsoft.com/office/2006/metadata/properties" xmlns:ns3="d75c8966-dbf1-4ee6-8dd2-08a8ebbceafc" targetNamespace="http://schemas.microsoft.com/office/2006/metadata/properties" ma:root="true" ma:fieldsID="3d5a794c71add0d29089a303732cebe7" ns3:_="">
    <xsd:import namespace="d75c8966-dbf1-4ee6-8dd2-08a8ebbceafc"/>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Location"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c8966-dbf1-4ee6-8dd2-08a8ebbcea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ECA3EDD-0017-4E61-9105-78F29B7A7D43}">
  <ds:schemaRefs>
    <ds:schemaRef ds:uri="http://schemas.microsoft.com/sharepoint/v3/contenttype/forms"/>
  </ds:schemaRefs>
</ds:datastoreItem>
</file>

<file path=customXml/itemProps2.xml><?xml version="1.0" encoding="utf-8"?>
<ds:datastoreItem xmlns:ds="http://schemas.openxmlformats.org/officeDocument/2006/customXml" ds:itemID="{3A9B901E-B548-4B6D-AB21-34753817C9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c8966-dbf1-4ee6-8dd2-08a8ebbcea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29EA78E-F2FE-49B4-A19D-6081946B682D}">
  <ds:schemaRefs>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purl.org/dc/terms/"/>
    <ds:schemaRef ds:uri="http://schemas.openxmlformats.org/package/2006/metadata/core-properties"/>
    <ds:schemaRef ds:uri="d75c8966-dbf1-4ee6-8dd2-08a8ebbceafc"/>
    <ds:schemaRef ds:uri="http://www.w3.org/XML/1998/namespace"/>
    <ds:schemaRef ds:uri="http://purl.org/dc/dcmitype/"/>
  </ds:schemaRefs>
</ds:datastoreItem>
</file>

<file path=docMetadata/LabelInfo.xml><?xml version="1.0" encoding="utf-8"?>
<clbl:labelList xmlns:clbl="http://schemas.microsoft.com/office/2020/mipLabelMetadata">
  <clbl:label id="{569bf4a9-87bd-4dbf-a36c-1db5158e5def}" enabled="1" method="Privileged" siteId="{ea80952e-a476-42d4-aaf4-5457852b0f7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instructions</vt:lpstr>
      <vt:lpstr>summary</vt:lpstr>
      <vt:lpstr>NPV PT</vt:lpstr>
      <vt:lpstr>NPV NTE</vt:lpstr>
      <vt:lpstr>Chart1 CashFlow</vt:lpstr>
      <vt:lpstr>Chart2 Tornado</vt:lpstr>
      <vt:lpstr>BB inflation</vt:lpstr>
      <vt:lpstr>BB FX</vt:lpstr>
      <vt:lpstr>countries</vt:lpstr>
      <vt:lpstr>tax rates</vt:lpstr>
      <vt:lpstr>Capex&amp;Depr</vt:lpstr>
      <vt:lpstr>Capex Estimate</vt:lpstr>
      <vt:lpstr>Working - MY OU 5% Imrpovement</vt:lpstr>
      <vt:lpstr>List for asset Useful lives</vt:lpstr>
      <vt:lpstr>FM Common mistakes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2013-01-14T17:46:42Z</dcterms:created>
  <dcterms:modified xsi:type="dcterms:W3CDTF">2025-07-28T01:39:43Z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69bf4a9-87bd-4dbf-a36c-1db5158e5def_Enabled">
    <vt:lpwstr>True</vt:lpwstr>
  </property>
  <property fmtid="{D5CDD505-2E9C-101B-9397-08002B2CF9AE}" pid="3" name="MSIP_Label_569bf4a9-87bd-4dbf-a36c-1db5158e5def_SiteId">
    <vt:lpwstr>ea80952e-a476-42d4-aaf4-5457852b0f7e</vt:lpwstr>
  </property>
  <property fmtid="{D5CDD505-2E9C-101B-9397-08002B2CF9AE}" pid="4" name="MSIP_Label_569bf4a9-87bd-4dbf-a36c-1db5158e5def_Owner">
    <vt:lpwstr>samir.gerenli@ec1.BP.COM</vt:lpwstr>
  </property>
  <property fmtid="{D5CDD505-2E9C-101B-9397-08002B2CF9AE}" pid="5" name="MSIP_Label_569bf4a9-87bd-4dbf-a36c-1db5158e5def_SetDate">
    <vt:lpwstr>2019-11-04T12:50:06.6280855Z</vt:lpwstr>
  </property>
  <property fmtid="{D5CDD505-2E9C-101B-9397-08002B2CF9AE}" pid="6" name="MSIP_Label_569bf4a9-87bd-4dbf-a36c-1db5158e5def_Name">
    <vt:lpwstr>General</vt:lpwstr>
  </property>
  <property fmtid="{D5CDD505-2E9C-101B-9397-08002B2CF9AE}" pid="7" name="MSIP_Label_569bf4a9-87bd-4dbf-a36c-1db5158e5def_Application">
    <vt:lpwstr>Microsoft Azure Information Protection</vt:lpwstr>
  </property>
  <property fmtid="{D5CDD505-2E9C-101B-9397-08002B2CF9AE}" pid="8" name="MSIP_Label_569bf4a9-87bd-4dbf-a36c-1db5158e5def_ActionId">
    <vt:lpwstr>67a60c17-e673-4940-8c1c-ca673fb7b072</vt:lpwstr>
  </property>
  <property fmtid="{D5CDD505-2E9C-101B-9397-08002B2CF9AE}" pid="9" name="MSIP_Label_569bf4a9-87bd-4dbf-a36c-1db5158e5def_Extended_MSFT_Method">
    <vt:lpwstr>Manual</vt:lpwstr>
  </property>
  <property fmtid="{D5CDD505-2E9C-101B-9397-08002B2CF9AE}" pid="10" name="Sensitivity">
    <vt:lpwstr>General</vt:lpwstr>
  </property>
  <property fmtid="{D5CDD505-2E9C-101B-9397-08002B2CF9AE}" pid="11" name="ContentTypeId">
    <vt:lpwstr>0x010100EE466747C239C646BAD73ED951381766</vt:lpwstr>
  </property>
</Properties>
</file>